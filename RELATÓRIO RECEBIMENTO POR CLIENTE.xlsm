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serverdell\Dados\Rede\SAMUEL\"/>
    </mc:Choice>
  </mc:AlternateContent>
  <xr:revisionPtr revIDLastSave="0" documentId="13_ncr:1_{720FD5C6-91BD-4F20-8A73-5EC1B95F54D5}" xr6:coauthVersionLast="47" xr6:coauthVersionMax="47" xr10:uidLastSave="{00000000-0000-0000-0000-000000000000}"/>
  <bookViews>
    <workbookView xWindow="-120" yWindow="-120" windowWidth="15600" windowHeight="11040" tabRatio="1" firstSheet="5" activeTab="5" xr2:uid="{00000000-000D-0000-FFFF-FFFF00000000}"/>
  </bookViews>
  <sheets>
    <sheet name="Plan1" sheetId="54" r:id="rId1"/>
    <sheet name="CONTROLE DE ALTERAÇÃO" sheetId="66" r:id="rId2"/>
    <sheet name="PAGAMENTO" sheetId="55" r:id="rId3"/>
    <sheet name="dashboard" sheetId="53" r:id="rId4"/>
    <sheet name="2025" sheetId="72" r:id="rId5"/>
    <sheet name="SENHA DO GOV" sheetId="71" r:id="rId6"/>
    <sheet name="2024" sheetId="69" r:id="rId7"/>
    <sheet name="CLIPP" sheetId="68" r:id="rId8"/>
    <sheet name="NFSE" sheetId="67" r:id="rId9"/>
    <sheet name="VENILTON" sheetId="62" r:id="rId10"/>
    <sheet name="AGENDA" sheetId="64" r:id="rId11"/>
    <sheet name="CHEQUES" sheetId="61" r:id="rId12"/>
    <sheet name="SILEIMAR, CASA DO PASTEL" sheetId="60" r:id="rId13"/>
    <sheet name="CLAUDIA MARQUES" sheetId="58" r:id="rId14"/>
    <sheet name="CONTROLE MEI" sheetId="56" r:id="rId15"/>
    <sheet name="2021" sheetId="1" r:id="rId16"/>
    <sheet name="2022" sheetId="6" r:id="rId17"/>
    <sheet name="2023" sheetId="16" r:id="rId18"/>
    <sheet name="silmar" sheetId="8" r:id="rId19"/>
    <sheet name="ewbank" sheetId="11" r:id="rId20"/>
    <sheet name="PETISCOS" sheetId="12" r:id="rId21"/>
    <sheet name="YES" sheetId="13" r:id="rId22"/>
    <sheet name="CARLOS EDUARDO" sheetId="14" r:id="rId23"/>
    <sheet name="VIAÇÃO PIRES" sheetId="15" r:id="rId24"/>
    <sheet name="INACLIN" sheetId="17" r:id="rId25"/>
    <sheet name="VIAÇÃO SÃO MIGUEL" sheetId="18" r:id="rId26"/>
    <sheet name="JORGE LUIZ FERREIRA RIBEIRO" sheetId="51" r:id="rId27"/>
    <sheet name="FLORIPES" sheetId="52" r:id="rId28"/>
  </sheets>
  <definedNames>
    <definedName name="_xlnm._FilterDatabase" localSheetId="15" hidden="1">'2021'!$A$2:$R$145</definedName>
    <definedName name="_xlnm._FilterDatabase" localSheetId="16" hidden="1">'2022'!$A$2:$J$558</definedName>
    <definedName name="_xlnm._FilterDatabase" localSheetId="2" hidden="1">PAGAMENTO!$A$561:$O$1264</definedName>
  </definedNames>
  <calcPr calcId="191029"/>
</workbook>
</file>

<file path=xl/calcChain.xml><?xml version="1.0" encoding="utf-8"?>
<calcChain xmlns="http://schemas.openxmlformats.org/spreadsheetml/2006/main">
  <c r="P321" i="72" l="1"/>
  <c r="P279" i="69"/>
  <c r="P585" i="72" l="1"/>
  <c r="P613" i="72" l="1"/>
  <c r="P629" i="72"/>
  <c r="P625" i="72"/>
  <c r="P408" i="72"/>
  <c r="P633" i="72"/>
  <c r="P589" i="72" l="1"/>
  <c r="P605" i="72"/>
  <c r="P577" i="72"/>
  <c r="P581" i="72"/>
  <c r="P593" i="72"/>
  <c r="P55" i="72"/>
  <c r="P517" i="72"/>
  <c r="P469" i="72"/>
  <c r="P441" i="72"/>
  <c r="P404" i="72"/>
  <c r="P341" i="72"/>
  <c r="P289" i="72"/>
  <c r="P234" i="72"/>
  <c r="P553" i="72"/>
  <c r="P525" i="72"/>
  <c r="P497" i="72"/>
  <c r="P493" i="72"/>
  <c r="P453" i="72"/>
  <c r="P445" i="72"/>
  <c r="P416" i="72"/>
  <c r="P412" i="72"/>
  <c r="P380" i="72"/>
  <c r="P376" i="72"/>
  <c r="P364" i="72"/>
  <c r="P360" i="72"/>
  <c r="P3" i="69"/>
  <c r="P368" i="72" l="1"/>
  <c r="P309" i="72" l="1"/>
  <c r="P277" i="72"/>
  <c r="P250" i="72"/>
  <c r="P226" i="72"/>
  <c r="P372" i="72"/>
  <c r="P359" i="69"/>
  <c r="P123" i="72"/>
  <c r="D634" i="55"/>
  <c r="F634" i="55" s="1"/>
  <c r="D633" i="55"/>
  <c r="F633" i="55" s="1"/>
  <c r="D632" i="55"/>
  <c r="F632" i="55" s="1"/>
  <c r="D631" i="55"/>
  <c r="F631" i="55" s="1"/>
  <c r="D630" i="55"/>
  <c r="F630" i="55" s="1"/>
  <c r="D629" i="55"/>
  <c r="F629" i="55" s="1"/>
  <c r="D628" i="55"/>
  <c r="F628" i="55" s="1"/>
  <c r="D627" i="55"/>
  <c r="F627" i="55" s="1"/>
  <c r="D626" i="55"/>
  <c r="F626" i="55" s="1"/>
  <c r="D625" i="55"/>
  <c r="F625" i="55" s="1"/>
  <c r="D624" i="55"/>
  <c r="F624" i="55" s="1"/>
  <c r="D623" i="55"/>
  <c r="F623" i="55" s="1"/>
  <c r="D622" i="55"/>
  <c r="F622" i="55" s="1"/>
  <c r="D617" i="55" l="1"/>
  <c r="F617" i="55" s="1"/>
  <c r="G617" i="55" s="1"/>
  <c r="J617" i="55"/>
  <c r="D621" i="55"/>
  <c r="K612" i="55"/>
  <c r="K617" i="55" l="1"/>
  <c r="L617" i="55" s="1"/>
  <c r="D606" i="55"/>
  <c r="P465" i="72" l="1"/>
  <c r="P681" i="72" l="1"/>
  <c r="P677" i="72"/>
  <c r="P673" i="72"/>
  <c r="P669" i="72"/>
  <c r="P665" i="72"/>
  <c r="P661" i="72"/>
  <c r="P657" i="72"/>
  <c r="P653" i="72"/>
  <c r="P649" i="72"/>
  <c r="P645" i="72"/>
  <c r="P641" i="72"/>
  <c r="P637" i="72"/>
  <c r="P621" i="72"/>
  <c r="P617" i="72"/>
  <c r="P609" i="72"/>
  <c r="P601" i="72"/>
  <c r="P597" i="72"/>
  <c r="P573" i="72"/>
  <c r="P569" i="72"/>
  <c r="P565" i="72"/>
  <c r="P561" i="72"/>
  <c r="P557" i="72"/>
  <c r="P549" i="72"/>
  <c r="P545" i="72"/>
  <c r="P541" i="72"/>
  <c r="P537" i="72"/>
  <c r="P533" i="72"/>
  <c r="P529" i="72"/>
  <c r="P521" i="72"/>
  <c r="P513" i="72"/>
  <c r="P509" i="72"/>
  <c r="P505" i="72"/>
  <c r="P501" i="72"/>
  <c r="P489" i="72"/>
  <c r="P485" i="72"/>
  <c r="P481" i="72"/>
  <c r="P477" i="72"/>
  <c r="P473" i="72"/>
  <c r="P461" i="72"/>
  <c r="P457" i="72"/>
  <c r="P449" i="72"/>
  <c r="P437" i="72"/>
  <c r="P432" i="72"/>
  <c r="P428" i="72"/>
  <c r="P424" i="72"/>
  <c r="P420" i="72"/>
  <c r="P400" i="72"/>
  <c r="P396" i="72"/>
  <c r="P392" i="72"/>
  <c r="P388" i="72"/>
  <c r="P384" i="72"/>
  <c r="P353" i="72"/>
  <c r="P349" i="72"/>
  <c r="P345" i="72"/>
  <c r="P337" i="72"/>
  <c r="P333" i="72"/>
  <c r="P329" i="72"/>
  <c r="P325" i="72"/>
  <c r="P317" i="72"/>
  <c r="P313" i="72"/>
  <c r="P305" i="72"/>
  <c r="P301" i="72"/>
  <c r="P297" i="72"/>
  <c r="P293" i="72"/>
  <c r="P285" i="72"/>
  <c r="P281" i="72"/>
  <c r="P273" i="72"/>
  <c r="P269" i="72"/>
  <c r="P265" i="72"/>
  <c r="P261" i="72"/>
  <c r="P257" i="72"/>
  <c r="P253" i="72"/>
  <c r="P246" i="72"/>
  <c r="P242" i="72"/>
  <c r="P238" i="72"/>
  <c r="P230" i="72"/>
  <c r="P222" i="72"/>
  <c r="P218" i="72"/>
  <c r="P214" i="72"/>
  <c r="P210" i="72"/>
  <c r="P206" i="72"/>
  <c r="P202" i="72"/>
  <c r="P198" i="72"/>
  <c r="P194" i="72"/>
  <c r="P190" i="72"/>
  <c r="P186" i="72"/>
  <c r="P182" i="72"/>
  <c r="P178" i="72"/>
  <c r="P174" i="72"/>
  <c r="P170" i="72"/>
  <c r="P166" i="72"/>
  <c r="P162" i="72"/>
  <c r="P158" i="72"/>
  <c r="P154" i="72"/>
  <c r="P150" i="72"/>
  <c r="P143" i="72"/>
  <c r="P139" i="72"/>
  <c r="P135" i="72"/>
  <c r="P131" i="72"/>
  <c r="P127" i="72"/>
  <c r="P119" i="72"/>
  <c r="P115" i="72"/>
  <c r="P111" i="72"/>
  <c r="P107" i="72"/>
  <c r="P103" i="72"/>
  <c r="P99" i="72"/>
  <c r="P95" i="72"/>
  <c r="P91" i="72"/>
  <c r="P87" i="72"/>
  <c r="P83" i="72"/>
  <c r="P79" i="72"/>
  <c r="P75" i="72"/>
  <c r="P71" i="72"/>
  <c r="P67" i="72"/>
  <c r="P63" i="72"/>
  <c r="P59" i="72"/>
  <c r="P51" i="72"/>
  <c r="P47" i="72"/>
  <c r="P43" i="72"/>
  <c r="P39" i="72"/>
  <c r="P35" i="72"/>
  <c r="P31" i="72"/>
  <c r="P27" i="72"/>
  <c r="P23" i="72"/>
  <c r="P19" i="72"/>
  <c r="P15" i="72"/>
  <c r="P11" i="72"/>
  <c r="P7" i="72"/>
  <c r="P3" i="72"/>
  <c r="D559" i="55"/>
  <c r="F559" i="55" s="1"/>
  <c r="G559" i="55" s="1"/>
  <c r="K559" i="55"/>
  <c r="L559" i="55" s="1"/>
  <c r="B2" i="72" l="1"/>
  <c r="J567" i="55"/>
  <c r="I542" i="55" l="1"/>
  <c r="I543" i="55"/>
  <c r="I544" i="55"/>
  <c r="I546" i="55"/>
  <c r="I553" i="55"/>
  <c r="I555" i="55"/>
  <c r="P179" i="69" l="1"/>
  <c r="P227" i="69"/>
  <c r="P627" i="69" l="1"/>
  <c r="P311" i="69" l="1"/>
  <c r="D399" i="55" l="1"/>
  <c r="K390" i="55" l="1"/>
  <c r="K326" i="55" l="1"/>
  <c r="D354" i="55" l="1"/>
  <c r="F354" i="55" s="1"/>
  <c r="G354" i="55" s="1"/>
  <c r="I354" i="55"/>
  <c r="J354" i="55"/>
  <c r="D355" i="55"/>
  <c r="F355" i="55" s="1"/>
  <c r="G355" i="55" s="1"/>
  <c r="D356" i="55"/>
  <c r="F356" i="55" s="1"/>
  <c r="G356" i="55" s="1"/>
  <c r="D357" i="55"/>
  <c r="F357" i="55" s="1"/>
  <c r="G357" i="55" s="1"/>
  <c r="D358" i="55"/>
  <c r="F358" i="55" s="1"/>
  <c r="G358" i="55" s="1"/>
  <c r="I358" i="55"/>
  <c r="J358" i="55"/>
  <c r="D359" i="55"/>
  <c r="F359" i="55" s="1"/>
  <c r="G359" i="55" s="1"/>
  <c r="I359" i="55"/>
  <c r="J359" i="55"/>
  <c r="D360" i="55"/>
  <c r="F360" i="55" s="1"/>
  <c r="G360" i="55" s="1"/>
  <c r="I360" i="55"/>
  <c r="J360" i="55"/>
  <c r="D361" i="55"/>
  <c r="F361" i="55" s="1"/>
  <c r="G361" i="55" s="1"/>
  <c r="D362" i="55"/>
  <c r="F362" i="55" s="1"/>
  <c r="G362" i="55" s="1"/>
  <c r="I362" i="55"/>
  <c r="J362" i="55"/>
  <c r="D363" i="55"/>
  <c r="F363" i="55" s="1"/>
  <c r="G363" i="55" s="1"/>
  <c r="D364" i="55"/>
  <c r="F364" i="55" s="1"/>
  <c r="G364" i="55" s="1"/>
  <c r="I364" i="55"/>
  <c r="J364" i="55"/>
  <c r="D365" i="55"/>
  <c r="F365" i="55" s="1"/>
  <c r="G365" i="55" s="1"/>
  <c r="I365" i="55"/>
  <c r="J365" i="55"/>
  <c r="D366" i="55"/>
  <c r="F366" i="55" s="1"/>
  <c r="G366" i="55" s="1"/>
  <c r="I366" i="55"/>
  <c r="J366" i="55"/>
  <c r="D367" i="55"/>
  <c r="F367" i="55" s="1"/>
  <c r="G367" i="55" s="1"/>
  <c r="I367" i="55"/>
  <c r="J367" i="55"/>
  <c r="D368" i="55"/>
  <c r="F368" i="55" s="1"/>
  <c r="G368" i="55" s="1"/>
  <c r="I368" i="55"/>
  <c r="J368" i="55"/>
  <c r="D369" i="55"/>
  <c r="F369" i="55" s="1"/>
  <c r="G369" i="55" s="1"/>
  <c r="D370" i="55"/>
  <c r="F370" i="55" s="1"/>
  <c r="G370" i="55" s="1"/>
  <c r="D371" i="55"/>
  <c r="F371" i="55" s="1"/>
  <c r="G371" i="55" s="1"/>
  <c r="D372" i="55"/>
  <c r="F372" i="55" s="1"/>
  <c r="G372" i="55" s="1"/>
  <c r="I372" i="55"/>
  <c r="J372" i="55"/>
  <c r="D373" i="55"/>
  <c r="F373" i="55" s="1"/>
  <c r="G373" i="55" s="1"/>
  <c r="D374" i="55"/>
  <c r="F374" i="55" s="1"/>
  <c r="G374" i="55" s="1"/>
  <c r="I374" i="55"/>
  <c r="J374" i="55"/>
  <c r="D375" i="55"/>
  <c r="F375" i="55" s="1"/>
  <c r="G375" i="55" s="1"/>
  <c r="D376" i="55"/>
  <c r="F376" i="55" s="1"/>
  <c r="G376" i="55" s="1"/>
  <c r="I376" i="55"/>
  <c r="J376" i="55"/>
  <c r="D377" i="55"/>
  <c r="F377" i="55" s="1"/>
  <c r="G377" i="55" s="1"/>
  <c r="D379" i="55"/>
  <c r="F379" i="55" s="1"/>
  <c r="G379" i="55" s="1"/>
  <c r="J379" i="55"/>
  <c r="D380" i="55"/>
  <c r="F380" i="55" s="1"/>
  <c r="G380" i="55" s="1"/>
  <c r="D381" i="55"/>
  <c r="F381" i="55" s="1"/>
  <c r="G381" i="55" s="1"/>
  <c r="D382" i="55"/>
  <c r="F382" i="55" s="1"/>
  <c r="G382" i="55" s="1"/>
  <c r="J382" i="55"/>
  <c r="D383" i="55"/>
  <c r="F383" i="55" s="1"/>
  <c r="G383" i="55" s="1"/>
  <c r="D384" i="55"/>
  <c r="F384" i="55" s="1"/>
  <c r="G384" i="55" s="1"/>
  <c r="D385" i="55"/>
  <c r="F385" i="55" s="1"/>
  <c r="G385" i="55" s="1"/>
  <c r="D386" i="55"/>
  <c r="F386" i="55" s="1"/>
  <c r="G386" i="55" s="1"/>
  <c r="D387" i="55"/>
  <c r="F387" i="55" s="1"/>
  <c r="G387" i="55" s="1"/>
  <c r="D388" i="55"/>
  <c r="F388" i="55" s="1"/>
  <c r="G388" i="55" s="1"/>
  <c r="D389" i="55"/>
  <c r="D390" i="55"/>
  <c r="F390" i="55" s="1"/>
  <c r="G390" i="55" s="1"/>
  <c r="D391" i="55"/>
  <c r="F391" i="55" s="1"/>
  <c r="G391" i="55" s="1"/>
  <c r="D392" i="55"/>
  <c r="F392" i="55" s="1"/>
  <c r="G392" i="55" s="1"/>
  <c r="J392" i="55"/>
  <c r="D393" i="55"/>
  <c r="F393" i="55" s="1"/>
  <c r="G393" i="55" s="1"/>
  <c r="J393" i="55"/>
  <c r="D394" i="55"/>
  <c r="F394" i="55" s="1"/>
  <c r="G394" i="55" s="1"/>
  <c r="D395" i="55"/>
  <c r="F395" i="55" s="1"/>
  <c r="G395" i="55" s="1"/>
  <c r="D396" i="55"/>
  <c r="F396" i="55" s="1"/>
  <c r="G396" i="55" s="1"/>
  <c r="D397" i="55"/>
  <c r="F397" i="55" s="1"/>
  <c r="G397" i="55" s="1"/>
  <c r="J397" i="55"/>
  <c r="D398" i="55"/>
  <c r="F398" i="55" s="1"/>
  <c r="G398" i="55" s="1"/>
  <c r="F399" i="55"/>
  <c r="G399" i="55" s="1"/>
  <c r="D400" i="55"/>
  <c r="F400" i="55" s="1"/>
  <c r="G400" i="55" s="1"/>
  <c r="D401" i="55"/>
  <c r="F401" i="55" s="1"/>
  <c r="G401" i="55" s="1"/>
  <c r="D402" i="55"/>
  <c r="F402" i="55" s="1"/>
  <c r="G402" i="55" s="1"/>
  <c r="J402" i="55"/>
  <c r="D403" i="55"/>
  <c r="F403" i="55" s="1"/>
  <c r="G403" i="55" s="1"/>
  <c r="D404" i="55"/>
  <c r="F404" i="55" s="1"/>
  <c r="G404" i="55" s="1"/>
  <c r="D405" i="55"/>
  <c r="F405" i="55" s="1"/>
  <c r="G405" i="55" s="1"/>
  <c r="J405" i="55"/>
  <c r="D406" i="55"/>
  <c r="F406" i="55" s="1"/>
  <c r="G406" i="55" s="1"/>
  <c r="D407" i="55"/>
  <c r="F407" i="55" s="1"/>
  <c r="G407" i="55" s="1"/>
  <c r="D408" i="55"/>
  <c r="F408" i="55" s="1"/>
  <c r="G408" i="55" s="1"/>
  <c r="D409" i="55"/>
  <c r="F409" i="55" s="1"/>
  <c r="G409" i="55" s="1"/>
  <c r="D410" i="55"/>
  <c r="F410" i="55" s="1"/>
  <c r="G410" i="55" s="1"/>
  <c r="D411" i="55"/>
  <c r="F411" i="55" s="1"/>
  <c r="G411" i="55" s="1"/>
  <c r="J411" i="55"/>
  <c r="D412" i="55"/>
  <c r="F412" i="55" s="1"/>
  <c r="G412" i="55" s="1"/>
  <c r="D413" i="55"/>
  <c r="F413" i="55" s="1"/>
  <c r="G413" i="55" s="1"/>
  <c r="J413" i="55"/>
  <c r="D414" i="55"/>
  <c r="F414" i="55" s="1"/>
  <c r="G414" i="55" s="1"/>
  <c r="D415" i="55"/>
  <c r="F415" i="55" s="1"/>
  <c r="G415" i="55" s="1"/>
  <c r="D416" i="55"/>
  <c r="F416" i="55" s="1"/>
  <c r="G416" i="55" s="1"/>
  <c r="J416" i="55"/>
  <c r="D417" i="55"/>
  <c r="F417" i="55" s="1"/>
  <c r="G417" i="55" s="1"/>
  <c r="D418" i="55"/>
  <c r="F418" i="55" s="1"/>
  <c r="G418" i="55" s="1"/>
  <c r="J418" i="55"/>
  <c r="D420" i="55"/>
  <c r="F420" i="55" s="1"/>
  <c r="G420" i="55" s="1"/>
  <c r="D421" i="55"/>
  <c r="F421" i="55" s="1"/>
  <c r="G421" i="55" s="1"/>
  <c r="J421" i="55"/>
  <c r="D422" i="55"/>
  <c r="F422" i="55" s="1"/>
  <c r="G422" i="55" s="1"/>
  <c r="I422" i="55"/>
  <c r="J422" i="55"/>
  <c r="D423" i="55"/>
  <c r="F423" i="55" s="1"/>
  <c r="G423" i="55" s="1"/>
  <c r="D424" i="55"/>
  <c r="F424" i="55" s="1"/>
  <c r="G424" i="55" s="1"/>
  <c r="D425" i="55"/>
  <c r="F425" i="55" s="1"/>
  <c r="G425" i="55" s="1"/>
  <c r="D426" i="55"/>
  <c r="F426" i="55" s="1"/>
  <c r="G426" i="55" s="1"/>
  <c r="D427" i="55"/>
  <c r="F427" i="55" s="1"/>
  <c r="G427" i="55" s="1"/>
  <c r="I427" i="55"/>
  <c r="J427" i="55"/>
  <c r="D428" i="55"/>
  <c r="F428" i="55" s="1"/>
  <c r="G428" i="55" s="1"/>
  <c r="I428" i="55"/>
  <c r="J428" i="55"/>
  <c r="D429" i="55"/>
  <c r="F429" i="55" s="1"/>
  <c r="G429" i="55" s="1"/>
  <c r="D430" i="55"/>
  <c r="F430" i="55" s="1"/>
  <c r="G430" i="55" s="1"/>
  <c r="I430" i="55"/>
  <c r="J430" i="55"/>
  <c r="D431" i="55"/>
  <c r="F431" i="55" s="1"/>
  <c r="G431" i="55" s="1"/>
  <c r="D432" i="55"/>
  <c r="F432" i="55" s="1"/>
  <c r="G432" i="55" s="1"/>
  <c r="D433" i="55"/>
  <c r="F433" i="55" s="1"/>
  <c r="G433" i="55" s="1"/>
  <c r="I433" i="55"/>
  <c r="J433" i="55"/>
  <c r="D434" i="55"/>
  <c r="F434" i="55" s="1"/>
  <c r="G434" i="55" s="1"/>
  <c r="I434" i="55"/>
  <c r="J434" i="55"/>
  <c r="D435" i="55"/>
  <c r="F435" i="55" s="1"/>
  <c r="G435" i="55" s="1"/>
  <c r="D436" i="55"/>
  <c r="F436" i="55" s="1"/>
  <c r="G436" i="55" s="1"/>
  <c r="D437" i="55"/>
  <c r="F437" i="55" s="1"/>
  <c r="G437" i="55" s="1"/>
  <c r="I437" i="55"/>
  <c r="J437" i="55"/>
  <c r="D438" i="55"/>
  <c r="F438" i="55" s="1"/>
  <c r="G438" i="55" s="1"/>
  <c r="D439" i="55"/>
  <c r="F439" i="55" s="1"/>
  <c r="G439" i="55" s="1"/>
  <c r="I439" i="55"/>
  <c r="J439" i="55"/>
  <c r="D440" i="55"/>
  <c r="F440" i="55" s="1"/>
  <c r="G440" i="55" s="1"/>
  <c r="D441" i="55"/>
  <c r="F441" i="55" s="1"/>
  <c r="G441" i="55" s="1"/>
  <c r="D442" i="55"/>
  <c r="F442" i="55" s="1"/>
  <c r="G442" i="55" s="1"/>
  <c r="I442" i="55"/>
  <c r="J442" i="55"/>
  <c r="D443" i="55"/>
  <c r="F443" i="55" s="1"/>
  <c r="G443" i="55" s="1"/>
  <c r="D444" i="55"/>
  <c r="F444" i="55" s="1"/>
  <c r="G444" i="55" s="1"/>
  <c r="I444" i="55"/>
  <c r="J444" i="55"/>
  <c r="D445" i="55"/>
  <c r="F445" i="55" s="1"/>
  <c r="G445" i="55" s="1"/>
  <c r="I445" i="55"/>
  <c r="J445" i="55"/>
  <c r="D446" i="55"/>
  <c r="F446" i="55" s="1"/>
  <c r="G446" i="55" s="1"/>
  <c r="I446" i="55"/>
  <c r="J446" i="55"/>
  <c r="D447" i="55"/>
  <c r="F447" i="55" s="1"/>
  <c r="G447" i="55" s="1"/>
  <c r="I447" i="55"/>
  <c r="J447" i="55"/>
  <c r="D448" i="55"/>
  <c r="F448" i="55" s="1"/>
  <c r="G448" i="55" s="1"/>
  <c r="D449" i="55"/>
  <c r="F449" i="55" s="1"/>
  <c r="G449" i="55" s="1"/>
  <c r="D450" i="55"/>
  <c r="F450" i="55" s="1"/>
  <c r="G450" i="55" s="1"/>
  <c r="J450" i="55"/>
  <c r="D452" i="55"/>
  <c r="F452" i="55" s="1"/>
  <c r="G452" i="55" s="1"/>
  <c r="I452" i="55"/>
  <c r="D453" i="55"/>
  <c r="F453" i="55" s="1"/>
  <c r="G453" i="55" s="1"/>
  <c r="D454" i="55"/>
  <c r="F454" i="55" s="1"/>
  <c r="G454" i="55" s="1"/>
  <c r="I454" i="55"/>
  <c r="J454" i="55"/>
  <c r="D455" i="55"/>
  <c r="F455" i="55" s="1"/>
  <c r="G455" i="55" s="1"/>
  <c r="I455" i="55"/>
  <c r="J455" i="55"/>
  <c r="D456" i="55"/>
  <c r="F456" i="55" s="1"/>
  <c r="G456" i="55" s="1"/>
  <c r="I456" i="55"/>
  <c r="J456" i="55"/>
  <c r="D457" i="55"/>
  <c r="F457" i="55" s="1"/>
  <c r="G457" i="55" s="1"/>
  <c r="D458" i="55"/>
  <c r="F458" i="55" s="1"/>
  <c r="G458" i="55" s="1"/>
  <c r="I458" i="55"/>
  <c r="J458" i="55"/>
  <c r="D459" i="55"/>
  <c r="F459" i="55" s="1"/>
  <c r="G459" i="55" s="1"/>
  <c r="I459" i="55"/>
  <c r="J459" i="55"/>
  <c r="D460" i="55"/>
  <c r="F460" i="55" s="1"/>
  <c r="G460" i="55" s="1"/>
  <c r="I460" i="55"/>
  <c r="J460" i="55"/>
  <c r="D461" i="55"/>
  <c r="F461" i="55" s="1"/>
  <c r="G461" i="55" s="1"/>
  <c r="D462" i="55"/>
  <c r="F462" i="55" s="1"/>
  <c r="G462" i="55" s="1"/>
  <c r="D463" i="55"/>
  <c r="F463" i="55" s="1"/>
  <c r="G463" i="55" s="1"/>
  <c r="I463" i="55"/>
  <c r="J463" i="55"/>
  <c r="D464" i="55"/>
  <c r="F464" i="55" s="1"/>
  <c r="G464" i="55" s="1"/>
  <c r="D465" i="55"/>
  <c r="F465" i="55" s="1"/>
  <c r="G465" i="55" s="1"/>
  <c r="I465" i="55"/>
  <c r="J465" i="55"/>
  <c r="D466" i="55"/>
  <c r="F466" i="55" s="1"/>
  <c r="G466" i="55" s="1"/>
  <c r="I466" i="55"/>
  <c r="J466" i="55"/>
  <c r="D467" i="55"/>
  <c r="F467" i="55" s="1"/>
  <c r="G467" i="55" s="1"/>
  <c r="I467" i="55"/>
  <c r="J467" i="55"/>
  <c r="D468" i="55"/>
  <c r="F468" i="55" s="1"/>
  <c r="G468" i="55" s="1"/>
  <c r="I468" i="55"/>
  <c r="J468" i="55"/>
  <c r="D469" i="55"/>
  <c r="F469" i="55" s="1"/>
  <c r="G469" i="55" s="1"/>
  <c r="I469" i="55"/>
  <c r="J469" i="55"/>
  <c r="D471" i="55"/>
  <c r="F471" i="55" s="1"/>
  <c r="G471" i="55" s="1"/>
  <c r="I471" i="55"/>
  <c r="J471" i="55"/>
  <c r="D472" i="55"/>
  <c r="F472" i="55" s="1"/>
  <c r="G472" i="55" s="1"/>
  <c r="D473" i="55"/>
  <c r="F473" i="55" s="1"/>
  <c r="G473" i="55" s="1"/>
  <c r="I473" i="55"/>
  <c r="J473" i="55"/>
  <c r="D474" i="55"/>
  <c r="F474" i="55" s="1"/>
  <c r="G474" i="55" s="1"/>
  <c r="I474" i="55"/>
  <c r="J474" i="55"/>
  <c r="D475" i="55"/>
  <c r="F475" i="55" s="1"/>
  <c r="G475" i="55" s="1"/>
  <c r="D476" i="55"/>
  <c r="F476" i="55" s="1"/>
  <c r="G476" i="55" s="1"/>
  <c r="I476" i="55"/>
  <c r="J476" i="55"/>
  <c r="D477" i="55"/>
  <c r="F477" i="55" s="1"/>
  <c r="G477" i="55" s="1"/>
  <c r="I477" i="55"/>
  <c r="J477" i="55"/>
  <c r="D478" i="55"/>
  <c r="F478" i="55" s="1"/>
  <c r="G478" i="55" s="1"/>
  <c r="I478" i="55"/>
  <c r="J478" i="55"/>
  <c r="D479" i="55"/>
  <c r="F479" i="55" s="1"/>
  <c r="G479" i="55" s="1"/>
  <c r="I479" i="55"/>
  <c r="J479" i="55"/>
  <c r="D480" i="55"/>
  <c r="F480" i="55" s="1"/>
  <c r="G480" i="55" s="1"/>
  <c r="I480" i="55"/>
  <c r="J480" i="55"/>
  <c r="D481" i="55"/>
  <c r="F481" i="55" s="1"/>
  <c r="G481" i="55" s="1"/>
  <c r="D482" i="55"/>
  <c r="F482" i="55" s="1"/>
  <c r="G482" i="55" s="1"/>
  <c r="D483" i="55"/>
  <c r="F483" i="55" s="1"/>
  <c r="G483" i="55" s="1"/>
  <c r="D484" i="55"/>
  <c r="F484" i="55" s="1"/>
  <c r="G484" i="55" s="1"/>
  <c r="I484" i="55"/>
  <c r="J484" i="55"/>
  <c r="D486" i="55"/>
  <c r="F486" i="55" s="1"/>
  <c r="G486" i="55" s="1"/>
  <c r="D487" i="55"/>
  <c r="F487" i="55" s="1"/>
  <c r="G487" i="55" s="1"/>
  <c r="D488" i="55"/>
  <c r="F488" i="55" s="1"/>
  <c r="G488" i="55" s="1"/>
  <c r="D489" i="55"/>
  <c r="F489" i="55" s="1"/>
  <c r="G489" i="55" s="1"/>
  <c r="D490" i="55"/>
  <c r="F490" i="55" s="1"/>
  <c r="G490" i="55" s="1"/>
  <c r="D491" i="55"/>
  <c r="F491" i="55" s="1"/>
  <c r="G491" i="55" s="1"/>
  <c r="J491" i="55"/>
  <c r="D492" i="55"/>
  <c r="F492" i="55" s="1"/>
  <c r="G492" i="55" s="1"/>
  <c r="D493" i="55"/>
  <c r="F493" i="55" s="1"/>
  <c r="G493" i="55" s="1"/>
  <c r="J493" i="55"/>
  <c r="D494" i="55"/>
  <c r="F494" i="55" s="1"/>
  <c r="G494" i="55" s="1"/>
  <c r="D495" i="55"/>
  <c r="F495" i="55" s="1"/>
  <c r="G495" i="55" s="1"/>
  <c r="D496" i="55"/>
  <c r="F496" i="55" s="1"/>
  <c r="G496" i="55" s="1"/>
  <c r="D497" i="55"/>
  <c r="F497" i="55" s="1"/>
  <c r="G497" i="55" s="1"/>
  <c r="D498" i="55"/>
  <c r="F498" i="55" s="1"/>
  <c r="G498" i="55" s="1"/>
  <c r="D499" i="55"/>
  <c r="F499" i="55" s="1"/>
  <c r="G499" i="55" s="1"/>
  <c r="J499" i="55"/>
  <c r="D500" i="55"/>
  <c r="F500" i="55" s="1"/>
  <c r="G500" i="55" s="1"/>
  <c r="J500" i="55"/>
  <c r="D501" i="55"/>
  <c r="F501" i="55" s="1"/>
  <c r="G501" i="55" s="1"/>
  <c r="J501" i="55"/>
  <c r="D502" i="55"/>
  <c r="F502" i="55" s="1"/>
  <c r="G502" i="55" s="1"/>
  <c r="D504" i="55"/>
  <c r="F504" i="55" s="1"/>
  <c r="G504" i="55" s="1"/>
  <c r="D505" i="55"/>
  <c r="F505" i="55" s="1"/>
  <c r="G505" i="55" s="1"/>
  <c r="D506" i="55"/>
  <c r="F506" i="55" s="1"/>
  <c r="G506" i="55" s="1"/>
  <c r="J506" i="55"/>
  <c r="D507" i="55"/>
  <c r="F507" i="55" s="1"/>
  <c r="G507" i="55" s="1"/>
  <c r="I507" i="55"/>
  <c r="J507" i="55"/>
  <c r="D508" i="55"/>
  <c r="F508" i="55" s="1"/>
  <c r="G508" i="55" s="1"/>
  <c r="I508" i="55"/>
  <c r="J508" i="55"/>
  <c r="D509" i="55"/>
  <c r="F509" i="55" s="1"/>
  <c r="G509" i="55" s="1"/>
  <c r="D510" i="55"/>
  <c r="F510" i="55" s="1"/>
  <c r="G510" i="55" s="1"/>
  <c r="I510" i="55"/>
  <c r="J510" i="55"/>
  <c r="D511" i="55"/>
  <c r="F511" i="55" s="1"/>
  <c r="G511" i="55" s="1"/>
  <c r="D512" i="55"/>
  <c r="F512" i="55" s="1"/>
  <c r="G512" i="55" s="1"/>
  <c r="D513" i="55"/>
  <c r="F513" i="55" s="1"/>
  <c r="G513" i="55" s="1"/>
  <c r="D514" i="55"/>
  <c r="F514" i="55" s="1"/>
  <c r="G514" i="55" s="1"/>
  <c r="D515" i="55"/>
  <c r="F515" i="55" s="1"/>
  <c r="G515" i="55" s="1"/>
  <c r="I515" i="55"/>
  <c r="J515" i="55"/>
  <c r="D516" i="55"/>
  <c r="F516" i="55" s="1"/>
  <c r="G516" i="55" s="1"/>
  <c r="I516" i="55"/>
  <c r="J516" i="55"/>
  <c r="D517" i="55"/>
  <c r="F517" i="55" s="1"/>
  <c r="G517" i="55" s="1"/>
  <c r="D519" i="55"/>
  <c r="F519" i="55" s="1"/>
  <c r="G519" i="55" s="1"/>
  <c r="I519" i="55"/>
  <c r="J519" i="55"/>
  <c r="D520" i="55"/>
  <c r="F520" i="55" s="1"/>
  <c r="G520" i="55" s="1"/>
  <c r="I520" i="55"/>
  <c r="J520" i="55"/>
  <c r="D521" i="55"/>
  <c r="F521" i="55" s="1"/>
  <c r="G521" i="55" s="1"/>
  <c r="D522" i="55"/>
  <c r="F522" i="55" s="1"/>
  <c r="G522" i="55" s="1"/>
  <c r="D523" i="55"/>
  <c r="F523" i="55" s="1"/>
  <c r="G523" i="55" s="1"/>
  <c r="D524" i="55"/>
  <c r="F524" i="55" s="1"/>
  <c r="G524" i="55" s="1"/>
  <c r="I524" i="55"/>
  <c r="J524" i="55"/>
  <c r="D525" i="55"/>
  <c r="F525" i="55" s="1"/>
  <c r="G525" i="55" s="1"/>
  <c r="D526" i="55"/>
  <c r="F526" i="55" s="1"/>
  <c r="G526" i="55" s="1"/>
  <c r="D527" i="55"/>
  <c r="F527" i="55" s="1"/>
  <c r="G527" i="55" s="1"/>
  <c r="D528" i="55"/>
  <c r="F528" i="55" s="1"/>
  <c r="G528" i="55" s="1"/>
  <c r="D529" i="55"/>
  <c r="F529" i="55" s="1"/>
  <c r="G529" i="55" s="1"/>
  <c r="D530" i="55"/>
  <c r="F530" i="55" s="1"/>
  <c r="G530" i="55" s="1"/>
  <c r="D531" i="55"/>
  <c r="F531" i="55" s="1"/>
  <c r="G531" i="55" s="1"/>
  <c r="D532" i="55"/>
  <c r="F532" i="55" s="1"/>
  <c r="G532" i="55" s="1"/>
  <c r="D533" i="55"/>
  <c r="F533" i="55" s="1"/>
  <c r="G533" i="55" s="1"/>
  <c r="I533" i="55"/>
  <c r="D534" i="55"/>
  <c r="F534" i="55" s="1"/>
  <c r="G534" i="55" s="1"/>
  <c r="I534" i="55"/>
  <c r="J534" i="55"/>
  <c r="D536" i="55"/>
  <c r="F536" i="55" s="1"/>
  <c r="G536" i="55" s="1"/>
  <c r="D537" i="55"/>
  <c r="F537" i="55" s="1"/>
  <c r="G537" i="55" s="1"/>
  <c r="D538" i="55"/>
  <c r="F538" i="55" s="1"/>
  <c r="G538" i="55" s="1"/>
  <c r="D539" i="55"/>
  <c r="F539" i="55" s="1"/>
  <c r="G539" i="55" s="1"/>
  <c r="D540" i="55"/>
  <c r="F540" i="55" s="1"/>
  <c r="G540" i="55" s="1"/>
  <c r="D541" i="55"/>
  <c r="F541" i="55" s="1"/>
  <c r="G541" i="55" s="1"/>
  <c r="D542" i="55"/>
  <c r="F542" i="55" s="1"/>
  <c r="G542" i="55" s="1"/>
  <c r="J542" i="55"/>
  <c r="D543" i="55"/>
  <c r="F543" i="55" s="1"/>
  <c r="G543" i="55" s="1"/>
  <c r="J543" i="55"/>
  <c r="D544" i="55"/>
  <c r="F544" i="55" s="1"/>
  <c r="G544" i="55" s="1"/>
  <c r="J544" i="55"/>
  <c r="D545" i="55"/>
  <c r="F545" i="55" s="1"/>
  <c r="G545" i="55" s="1"/>
  <c r="D546" i="55"/>
  <c r="F546" i="55" s="1"/>
  <c r="G546" i="55" s="1"/>
  <c r="J546" i="55"/>
  <c r="D547" i="55"/>
  <c r="F547" i="55" s="1"/>
  <c r="G547" i="55" s="1"/>
  <c r="D548" i="55"/>
  <c r="F548" i="55" s="1"/>
  <c r="G548" i="55" s="1"/>
  <c r="D549" i="55"/>
  <c r="F549" i="55" s="1"/>
  <c r="G549" i="55" s="1"/>
  <c r="D550" i="55"/>
  <c r="F550" i="55" s="1"/>
  <c r="G550" i="55" s="1"/>
  <c r="D551" i="55"/>
  <c r="F551" i="55" s="1"/>
  <c r="G551" i="55" s="1"/>
  <c r="D552" i="55"/>
  <c r="F552" i="55" s="1"/>
  <c r="G552" i="55" s="1"/>
  <c r="D553" i="55"/>
  <c r="F553" i="55" s="1"/>
  <c r="G553" i="55" s="1"/>
  <c r="J553" i="55"/>
  <c r="D554" i="55"/>
  <c r="F554" i="55" s="1"/>
  <c r="G554" i="55" s="1"/>
  <c r="D555" i="55"/>
  <c r="F555" i="55" s="1"/>
  <c r="G555" i="55" s="1"/>
  <c r="J555" i="55"/>
  <c r="D557" i="55"/>
  <c r="F557" i="55" s="1"/>
  <c r="G557" i="55" s="1"/>
  <c r="I557" i="55"/>
  <c r="J557" i="55"/>
  <c r="D558" i="55"/>
  <c r="F558" i="55" s="1"/>
  <c r="G558" i="55" s="1"/>
  <c r="D561" i="55"/>
  <c r="F561" i="55" s="1"/>
  <c r="G561" i="55" s="1"/>
  <c r="D562" i="55"/>
  <c r="F562" i="55" s="1"/>
  <c r="G562" i="55" s="1"/>
  <c r="D563" i="55"/>
  <c r="F563" i="55" s="1"/>
  <c r="G563" i="55" s="1"/>
  <c r="J563" i="55"/>
  <c r="D564" i="55"/>
  <c r="F564" i="55" s="1"/>
  <c r="G564" i="55" s="1"/>
  <c r="D565" i="55"/>
  <c r="F565" i="55" s="1"/>
  <c r="G565" i="55" s="1"/>
  <c r="J565" i="55"/>
  <c r="D566" i="55"/>
  <c r="F566" i="55" s="1"/>
  <c r="G566" i="55" s="1"/>
  <c r="D567" i="55"/>
  <c r="F567" i="55" s="1"/>
  <c r="G567" i="55" s="1"/>
  <c r="D568" i="55"/>
  <c r="F568" i="55" s="1"/>
  <c r="G568" i="55" s="1"/>
  <c r="D569" i="55"/>
  <c r="F569" i="55" s="1"/>
  <c r="G569" i="55" s="1"/>
  <c r="J569" i="55"/>
  <c r="D570" i="55"/>
  <c r="F570" i="55" s="1"/>
  <c r="G570" i="55" s="1"/>
  <c r="J570" i="55"/>
  <c r="D571" i="55"/>
  <c r="F571" i="55" s="1"/>
  <c r="G571" i="55" s="1"/>
  <c r="D572" i="55"/>
  <c r="F572" i="55" s="1"/>
  <c r="G572" i="55" s="1"/>
  <c r="J572" i="55"/>
  <c r="D573" i="55"/>
  <c r="F573" i="55" s="1"/>
  <c r="G573" i="55" s="1"/>
  <c r="J573" i="55"/>
  <c r="D575" i="55"/>
  <c r="F575" i="55" s="1"/>
  <c r="G575" i="55" s="1"/>
  <c r="J575" i="55"/>
  <c r="K575" i="55" s="1"/>
  <c r="D576" i="55"/>
  <c r="F576" i="55" s="1"/>
  <c r="G576" i="55" s="1"/>
  <c r="D577" i="55"/>
  <c r="F577" i="55" s="1"/>
  <c r="G577" i="55" s="1"/>
  <c r="D578" i="55"/>
  <c r="F578" i="55" s="1"/>
  <c r="G578" i="55" s="1"/>
  <c r="D579" i="55"/>
  <c r="F579" i="55" s="1"/>
  <c r="G579" i="55" s="1"/>
  <c r="J579" i="55"/>
  <c r="D580" i="55"/>
  <c r="F580" i="55" s="1"/>
  <c r="G580" i="55" s="1"/>
  <c r="D581" i="55"/>
  <c r="F581" i="55" s="1"/>
  <c r="G581" i="55" s="1"/>
  <c r="D582" i="55"/>
  <c r="F582" i="55" s="1"/>
  <c r="G582" i="55" s="1"/>
  <c r="J582" i="55"/>
  <c r="D583" i="55"/>
  <c r="F583" i="55" s="1"/>
  <c r="G583" i="55" s="1"/>
  <c r="D584" i="55"/>
  <c r="F584" i="55" s="1"/>
  <c r="G584" i="55" s="1"/>
  <c r="J584" i="55"/>
  <c r="D585" i="55"/>
  <c r="F585" i="55" s="1"/>
  <c r="G585" i="55" s="1"/>
  <c r="D586" i="55"/>
  <c r="F586" i="55" s="1"/>
  <c r="G586" i="55" s="1"/>
  <c r="J586" i="55"/>
  <c r="D587" i="55"/>
  <c r="F587" i="55" s="1"/>
  <c r="G587" i="55" s="1"/>
  <c r="J587" i="55"/>
  <c r="D588" i="55"/>
  <c r="F588" i="55" s="1"/>
  <c r="G588" i="55" s="1"/>
  <c r="J588" i="55"/>
  <c r="D589" i="55"/>
  <c r="F589" i="55" s="1"/>
  <c r="G589" i="55" s="1"/>
  <c r="J589" i="55"/>
  <c r="D590" i="55"/>
  <c r="F590" i="55" s="1"/>
  <c r="G590" i="55" s="1"/>
  <c r="J590" i="55"/>
  <c r="D591" i="55"/>
  <c r="F591" i="55" s="1"/>
  <c r="G591" i="55" s="1"/>
  <c r="J591" i="55"/>
  <c r="D592" i="55"/>
  <c r="F592" i="55" s="1"/>
  <c r="G592" i="55" s="1"/>
  <c r="J592" i="55"/>
  <c r="D593" i="55"/>
  <c r="F593" i="55" s="1"/>
  <c r="G593" i="55" s="1"/>
  <c r="J593" i="55"/>
  <c r="D594" i="55"/>
  <c r="F594" i="55" s="1"/>
  <c r="G594" i="55" s="1"/>
  <c r="J594" i="55"/>
  <c r="D595" i="55"/>
  <c r="F595" i="55" s="1"/>
  <c r="G595" i="55" s="1"/>
  <c r="J595" i="55"/>
  <c r="D596" i="55"/>
  <c r="F596" i="55" s="1"/>
  <c r="G596" i="55" s="1"/>
  <c r="J596" i="55"/>
  <c r="D597" i="55"/>
  <c r="F597" i="55" s="1"/>
  <c r="G597" i="55" s="1"/>
  <c r="J597" i="55"/>
  <c r="D598" i="55"/>
  <c r="F598" i="55" s="1"/>
  <c r="G598" i="55" s="1"/>
  <c r="D600" i="55"/>
  <c r="F600" i="55" s="1"/>
  <c r="G600" i="55" s="1"/>
  <c r="D601" i="55"/>
  <c r="F601" i="55" s="1"/>
  <c r="G601" i="55" s="1"/>
  <c r="J601" i="55"/>
  <c r="D602" i="55"/>
  <c r="F602" i="55" s="1"/>
  <c r="G602" i="55" s="1"/>
  <c r="D603" i="55"/>
  <c r="F603" i="55" s="1"/>
  <c r="G603" i="55" s="1"/>
  <c r="D604" i="55"/>
  <c r="F604" i="55" s="1"/>
  <c r="G604" i="55" s="1"/>
  <c r="J604" i="55"/>
  <c r="D605" i="55"/>
  <c r="F605" i="55" s="1"/>
  <c r="G605" i="55" s="1"/>
  <c r="F606" i="55"/>
  <c r="G606" i="55" s="1"/>
  <c r="J606" i="55"/>
  <c r="D607" i="55"/>
  <c r="F607" i="55" s="1"/>
  <c r="G607" i="55" s="1"/>
  <c r="D608" i="55"/>
  <c r="F608" i="55" s="1"/>
  <c r="G608" i="55" s="1"/>
  <c r="J608" i="55"/>
  <c r="D609" i="55"/>
  <c r="F609" i="55" s="1"/>
  <c r="G609" i="55" s="1"/>
  <c r="D610" i="55"/>
  <c r="F610" i="55" s="1"/>
  <c r="G610" i="55" s="1"/>
  <c r="D611" i="55"/>
  <c r="F611" i="55" s="1"/>
  <c r="G611" i="55" s="1"/>
  <c r="D612" i="55"/>
  <c r="F612" i="55" s="1"/>
  <c r="G612" i="55" s="1"/>
  <c r="D613" i="55"/>
  <c r="F613" i="55" s="1"/>
  <c r="G613" i="55" s="1"/>
  <c r="D614" i="55"/>
  <c r="F614" i="55" s="1"/>
  <c r="G614" i="55" s="1"/>
  <c r="J614" i="55"/>
  <c r="D616" i="55"/>
  <c r="F616" i="55" s="1"/>
  <c r="G616" i="55" s="1"/>
  <c r="J616" i="55"/>
  <c r="D618" i="55"/>
  <c r="F618" i="55" s="1"/>
  <c r="G618" i="55" s="1"/>
  <c r="D619" i="55"/>
  <c r="F619" i="55" s="1"/>
  <c r="G619" i="55" s="1"/>
  <c r="J619" i="55"/>
  <c r="D620" i="55"/>
  <c r="F620" i="55" s="1"/>
  <c r="G620" i="55" s="1"/>
  <c r="J620" i="55"/>
  <c r="F621" i="55"/>
  <c r="G621" i="55" s="1"/>
  <c r="G622" i="55"/>
  <c r="G623" i="55"/>
  <c r="G624" i="55"/>
  <c r="G625" i="55"/>
  <c r="G626" i="55"/>
  <c r="G627" i="55"/>
  <c r="G628" i="55"/>
  <c r="G629" i="55"/>
  <c r="J629" i="55"/>
  <c r="G630" i="55"/>
  <c r="J630" i="55"/>
  <c r="G631" i="55"/>
  <c r="G632" i="55"/>
  <c r="J632" i="55"/>
  <c r="G633" i="55"/>
  <c r="J633" i="55"/>
  <c r="G634" i="55"/>
  <c r="D635" i="55"/>
  <c r="F635" i="55" s="1"/>
  <c r="G635" i="55" s="1"/>
  <c r="J635" i="55"/>
  <c r="D636" i="55"/>
  <c r="F636" i="55" s="1"/>
  <c r="G636" i="55" s="1"/>
  <c r="D637" i="55"/>
  <c r="F637" i="55" s="1"/>
  <c r="G637" i="55" s="1"/>
  <c r="D638" i="55"/>
  <c r="F638" i="55" s="1"/>
  <c r="G638" i="55" s="1"/>
  <c r="J638" i="55"/>
  <c r="D639" i="55"/>
  <c r="F639" i="55" s="1"/>
  <c r="G639" i="55" s="1"/>
  <c r="J639" i="55"/>
  <c r="D640" i="55"/>
  <c r="F640" i="55" s="1"/>
  <c r="G640" i="55" s="1"/>
  <c r="D641" i="55"/>
  <c r="F641" i="55" s="1"/>
  <c r="G641" i="55" s="1"/>
  <c r="D642" i="55"/>
  <c r="F642" i="55" s="1"/>
  <c r="G642" i="55" s="1"/>
  <c r="D644" i="55"/>
  <c r="F644" i="55" s="1"/>
  <c r="G644" i="55" s="1"/>
  <c r="D645" i="55"/>
  <c r="F645" i="55" s="1"/>
  <c r="G645" i="55" s="1"/>
  <c r="J645" i="55"/>
  <c r="D646" i="55"/>
  <c r="F646" i="55" s="1"/>
  <c r="G646" i="55" s="1"/>
  <c r="J646" i="55"/>
  <c r="D647" i="55"/>
  <c r="F647" i="55" s="1"/>
  <c r="G647" i="55" s="1"/>
  <c r="J647" i="55"/>
  <c r="D648" i="55"/>
  <c r="F648" i="55" s="1"/>
  <c r="G648" i="55" s="1"/>
  <c r="D649" i="55"/>
  <c r="F649" i="55" s="1"/>
  <c r="G649" i="55" s="1"/>
  <c r="D650" i="55"/>
  <c r="F650" i="55" s="1"/>
  <c r="G650" i="55" s="1"/>
  <c r="J650" i="55"/>
  <c r="D651" i="55"/>
  <c r="F651" i="55" s="1"/>
  <c r="G651" i="55" s="1"/>
  <c r="D652" i="55"/>
  <c r="F652" i="55" s="1"/>
  <c r="G652" i="55" s="1"/>
  <c r="J652" i="55"/>
  <c r="D653" i="55"/>
  <c r="F653" i="55" s="1"/>
  <c r="G653" i="55" s="1"/>
  <c r="D654" i="55"/>
  <c r="F654" i="55" s="1"/>
  <c r="G654" i="55" s="1"/>
  <c r="D655" i="55"/>
  <c r="F655" i="55" s="1"/>
  <c r="G655" i="55" s="1"/>
  <c r="D656" i="55"/>
  <c r="F656" i="55" s="1"/>
  <c r="G656" i="55" s="1"/>
  <c r="J656" i="55"/>
  <c r="D658" i="55"/>
  <c r="F658" i="55" s="1"/>
  <c r="G658" i="55" s="1"/>
  <c r="D659" i="55"/>
  <c r="F659" i="55" s="1"/>
  <c r="G659" i="55" s="1"/>
  <c r="D660" i="55"/>
  <c r="F660" i="55" s="1"/>
  <c r="G660" i="55" s="1"/>
  <c r="D661" i="55"/>
  <c r="F661" i="55" s="1"/>
  <c r="G661" i="55" s="1"/>
  <c r="J661" i="55"/>
  <c r="D662" i="55"/>
  <c r="F662" i="55" s="1"/>
  <c r="G662" i="55" s="1"/>
  <c r="D663" i="55"/>
  <c r="F663" i="55" s="1"/>
  <c r="G663" i="55" s="1"/>
  <c r="D664" i="55"/>
  <c r="F664" i="55" s="1"/>
  <c r="G664" i="55" s="1"/>
  <c r="D665" i="55"/>
  <c r="F665" i="55" s="1"/>
  <c r="G665" i="55" s="1"/>
  <c r="D666" i="55"/>
  <c r="F666" i="55" s="1"/>
  <c r="G666" i="55" s="1"/>
  <c r="D667" i="55"/>
  <c r="F667" i="55" s="1"/>
  <c r="G667" i="55" s="1"/>
  <c r="D668" i="55"/>
  <c r="F668" i="55" s="1"/>
  <c r="G668" i="55" s="1"/>
  <c r="D669" i="55"/>
  <c r="F669" i="55" s="1"/>
  <c r="G669" i="55" s="1"/>
  <c r="D670" i="55"/>
  <c r="F670" i="55" s="1"/>
  <c r="G670" i="55" s="1"/>
  <c r="J670" i="55"/>
  <c r="D671" i="55"/>
  <c r="F671" i="55" s="1"/>
  <c r="G671" i="55" s="1"/>
  <c r="J671" i="55"/>
  <c r="D672" i="55"/>
  <c r="F672" i="55" s="1"/>
  <c r="G672" i="55" s="1"/>
  <c r="D673" i="55"/>
  <c r="F673" i="55" s="1"/>
  <c r="G673" i="55" s="1"/>
  <c r="D674" i="55"/>
  <c r="F674" i="55" s="1"/>
  <c r="G674" i="55" s="1"/>
  <c r="J674" i="55"/>
  <c r="D675" i="55"/>
  <c r="F675" i="55" s="1"/>
  <c r="G675" i="55" s="1"/>
  <c r="J675" i="55"/>
  <c r="D676" i="55"/>
  <c r="F676" i="55" s="1"/>
  <c r="G676" i="55" s="1"/>
  <c r="J676" i="55"/>
  <c r="D677" i="55"/>
  <c r="F677" i="55" s="1"/>
  <c r="G677" i="55" s="1"/>
  <c r="J677" i="55"/>
  <c r="D678" i="55"/>
  <c r="F678" i="55" s="1"/>
  <c r="G678" i="55" s="1"/>
  <c r="D679" i="55"/>
  <c r="F679" i="55" s="1"/>
  <c r="G679" i="55" s="1"/>
  <c r="J679" i="55"/>
  <c r="D680" i="55"/>
  <c r="F680" i="55" s="1"/>
  <c r="G680" i="55" s="1"/>
  <c r="D681" i="55"/>
  <c r="F681" i="55" s="1"/>
  <c r="G681" i="55" s="1"/>
  <c r="J681" i="55"/>
  <c r="D682" i="55"/>
  <c r="F682" i="55" s="1"/>
  <c r="G682" i="55" s="1"/>
  <c r="D683" i="55"/>
  <c r="F683" i="55" s="1"/>
  <c r="G683" i="55" s="1"/>
  <c r="D684" i="55"/>
  <c r="F684" i="55" s="1"/>
  <c r="G684" i="55" s="1"/>
  <c r="J684" i="55"/>
  <c r="D686" i="55"/>
  <c r="F686" i="55" s="1"/>
  <c r="G686" i="55" s="1"/>
  <c r="D687" i="55"/>
  <c r="F687" i="55" s="1"/>
  <c r="G687" i="55" s="1"/>
  <c r="J687" i="55"/>
  <c r="D688" i="55"/>
  <c r="F688" i="55" s="1"/>
  <c r="G688" i="55" s="1"/>
  <c r="D689" i="55"/>
  <c r="F689" i="55" s="1"/>
  <c r="G689" i="55" s="1"/>
  <c r="D690" i="55"/>
  <c r="F690" i="55" s="1"/>
  <c r="G690" i="55" s="1"/>
  <c r="J690" i="55"/>
  <c r="D691" i="55"/>
  <c r="F691" i="55" s="1"/>
  <c r="G691" i="55" s="1"/>
  <c r="J691" i="55"/>
  <c r="D692" i="55"/>
  <c r="F692" i="55" s="1"/>
  <c r="G692" i="55" s="1"/>
  <c r="J692" i="55"/>
  <c r="D693" i="55"/>
  <c r="F693" i="55" s="1"/>
  <c r="G693" i="55" s="1"/>
  <c r="J693" i="55"/>
  <c r="D694" i="55"/>
  <c r="F694" i="55" s="1"/>
  <c r="G694" i="55" s="1"/>
  <c r="J694" i="55"/>
  <c r="D695" i="55"/>
  <c r="F695" i="55" s="1"/>
  <c r="G695" i="55" s="1"/>
  <c r="J695" i="55"/>
  <c r="D696" i="55"/>
  <c r="F696" i="55" s="1"/>
  <c r="G696" i="55" s="1"/>
  <c r="J696" i="55"/>
  <c r="D697" i="55"/>
  <c r="F697" i="55" s="1"/>
  <c r="G697" i="55" s="1"/>
  <c r="D698" i="55"/>
  <c r="F698" i="55" s="1"/>
  <c r="G698" i="55" s="1"/>
  <c r="D699" i="55"/>
  <c r="G699" i="55" s="1"/>
  <c r="D700" i="55"/>
  <c r="F700" i="55" s="1"/>
  <c r="G700" i="55" s="1"/>
  <c r="J700" i="55"/>
  <c r="D701" i="55"/>
  <c r="F701" i="55" s="1"/>
  <c r="G701" i="55" s="1"/>
  <c r="D702" i="55"/>
  <c r="F702" i="55" s="1"/>
  <c r="G702" i="55" s="1"/>
  <c r="J702" i="55"/>
  <c r="D703" i="55"/>
  <c r="F703" i="55" s="1"/>
  <c r="G703" i="55" s="1"/>
  <c r="J703" i="55"/>
  <c r="D704" i="55"/>
  <c r="F704" i="55" s="1"/>
  <c r="G704" i="55" s="1"/>
  <c r="D706" i="55"/>
  <c r="F706" i="55" s="1"/>
  <c r="G706" i="55" s="1"/>
  <c r="D707" i="55"/>
  <c r="F707" i="55" s="1"/>
  <c r="G707" i="55" s="1"/>
  <c r="J707" i="55"/>
  <c r="D708" i="55"/>
  <c r="G708" i="55" s="1"/>
  <c r="D709" i="55"/>
  <c r="G709" i="55" s="1"/>
  <c r="D710" i="55"/>
  <c r="F710" i="55" s="1"/>
  <c r="G710" i="55" s="1"/>
  <c r="J710" i="55"/>
  <c r="D711" i="55"/>
  <c r="F711" i="55" s="1"/>
  <c r="G711" i="55" s="1"/>
  <c r="J711" i="55"/>
  <c r="D712" i="55"/>
  <c r="F712" i="55" s="1"/>
  <c r="G712" i="55" s="1"/>
  <c r="J712" i="55"/>
  <c r="D713" i="55"/>
  <c r="F713" i="55" s="1"/>
  <c r="G713" i="55" s="1"/>
  <c r="J713" i="55"/>
  <c r="D714" i="55"/>
  <c r="F714" i="55" s="1"/>
  <c r="G714" i="55" s="1"/>
  <c r="J714" i="55"/>
  <c r="D715" i="55"/>
  <c r="F715" i="55" s="1"/>
  <c r="G715" i="55" s="1"/>
  <c r="J715" i="55"/>
  <c r="D716" i="55"/>
  <c r="F716" i="55" s="1"/>
  <c r="G716" i="55" s="1"/>
  <c r="J716" i="55"/>
  <c r="D717" i="55"/>
  <c r="F717" i="55" s="1"/>
  <c r="G717" i="55" s="1"/>
  <c r="J717" i="55"/>
  <c r="D718" i="55"/>
  <c r="F718" i="55" s="1"/>
  <c r="G718" i="55" s="1"/>
  <c r="J718" i="55"/>
  <c r="D719" i="55"/>
  <c r="F719" i="55" s="1"/>
  <c r="G719" i="55" s="1"/>
  <c r="J719" i="55"/>
  <c r="D720" i="55"/>
  <c r="G720" i="55" s="1"/>
  <c r="D721" i="55"/>
  <c r="F721" i="55" s="1"/>
  <c r="G721" i="55" s="1"/>
  <c r="J721" i="55"/>
  <c r="D722" i="55"/>
  <c r="F722" i="55" s="1"/>
  <c r="G722" i="55" s="1"/>
  <c r="D724" i="55"/>
  <c r="F724" i="55" s="1"/>
  <c r="G724" i="55" s="1"/>
  <c r="J724" i="55"/>
  <c r="D725" i="55"/>
  <c r="F725" i="55" s="1"/>
  <c r="G725" i="55" s="1"/>
  <c r="J725" i="55"/>
  <c r="D726" i="55"/>
  <c r="F726" i="55" s="1"/>
  <c r="G726" i="55" s="1"/>
  <c r="D727" i="55"/>
  <c r="F727" i="55" s="1"/>
  <c r="G727" i="55" s="1"/>
  <c r="D728" i="55"/>
  <c r="F728" i="55" s="1"/>
  <c r="G728" i="55" s="1"/>
  <c r="D729" i="55"/>
  <c r="F729" i="55" s="1"/>
  <c r="G729" i="55" s="1"/>
  <c r="J729" i="55"/>
  <c r="D730" i="55"/>
  <c r="F730" i="55" s="1"/>
  <c r="G730" i="55" s="1"/>
  <c r="J730" i="55"/>
  <c r="D731" i="55"/>
  <c r="F731" i="55" s="1"/>
  <c r="G731" i="55" s="1"/>
  <c r="D732" i="55"/>
  <c r="F732" i="55" s="1"/>
  <c r="G732" i="55" s="1"/>
  <c r="D733" i="55"/>
  <c r="F733" i="55" s="1"/>
  <c r="G733" i="55" s="1"/>
  <c r="D734" i="55"/>
  <c r="F734" i="55" s="1"/>
  <c r="G734" i="55" s="1"/>
  <c r="D735" i="55"/>
  <c r="F735" i="55" s="1"/>
  <c r="G735" i="55" s="1"/>
  <c r="D736" i="55"/>
  <c r="F736" i="55" s="1"/>
  <c r="G736" i="55" s="1"/>
  <c r="J736" i="55"/>
  <c r="D738" i="55"/>
  <c r="F738" i="55" s="1"/>
  <c r="G738" i="55" s="1"/>
  <c r="D739" i="55"/>
  <c r="F739" i="55" s="1"/>
  <c r="G739" i="55" s="1"/>
  <c r="J739" i="55"/>
  <c r="D740" i="55"/>
  <c r="F740" i="55" s="1"/>
  <c r="G740" i="55" s="1"/>
  <c r="D741" i="55"/>
  <c r="F741" i="55" s="1"/>
  <c r="G741" i="55" s="1"/>
  <c r="D742" i="55"/>
  <c r="F742" i="55" s="1"/>
  <c r="G742" i="55" s="1"/>
  <c r="D743" i="55"/>
  <c r="F743" i="55" s="1"/>
  <c r="G743" i="55" s="1"/>
  <c r="D744" i="55"/>
  <c r="F744" i="55" s="1"/>
  <c r="G744" i="55" s="1"/>
  <c r="D745" i="55"/>
  <c r="F745" i="55" s="1"/>
  <c r="G745" i="55" s="1"/>
  <c r="D746" i="55"/>
  <c r="F746" i="55" s="1"/>
  <c r="G746" i="55" s="1"/>
  <c r="D747" i="55"/>
  <c r="F747" i="55" s="1"/>
  <c r="G747" i="55" s="1"/>
  <c r="J747" i="55"/>
  <c r="D748" i="55"/>
  <c r="F748" i="55" s="1"/>
  <c r="G748" i="55" s="1"/>
  <c r="D749" i="55"/>
  <c r="F749" i="55" s="1"/>
  <c r="G749" i="55" s="1"/>
  <c r="J749" i="55"/>
  <c r="D750" i="55"/>
  <c r="F750" i="55" s="1"/>
  <c r="G750" i="55" s="1"/>
  <c r="D752" i="55"/>
  <c r="F752" i="55" s="1"/>
  <c r="G752" i="55" s="1"/>
  <c r="J752" i="55"/>
  <c r="D753" i="55"/>
  <c r="G753" i="55" s="1"/>
  <c r="D754" i="55"/>
  <c r="F754" i="55" s="1"/>
  <c r="G754" i="55" s="1"/>
  <c r="D755" i="55"/>
  <c r="F755" i="55" s="1"/>
  <c r="G755" i="55" s="1"/>
  <c r="D756" i="55"/>
  <c r="F756" i="55" s="1"/>
  <c r="G756" i="55" s="1"/>
  <c r="D757" i="55"/>
  <c r="F757" i="55" s="1"/>
  <c r="G757" i="55" s="1"/>
  <c r="D758" i="55"/>
  <c r="F758" i="55" s="1"/>
  <c r="G758" i="55" s="1"/>
  <c r="D759" i="55"/>
  <c r="F759" i="55" s="1"/>
  <c r="G759" i="55" s="1"/>
  <c r="D760" i="55"/>
  <c r="F760" i="55" s="1"/>
  <c r="G760" i="55" s="1"/>
  <c r="D761" i="55"/>
  <c r="F761" i="55" s="1"/>
  <c r="G761" i="55" s="1"/>
  <c r="D762" i="55"/>
  <c r="F762" i="55" s="1"/>
  <c r="G762" i="55" s="1"/>
  <c r="D763" i="55"/>
  <c r="F763" i="55" s="1"/>
  <c r="G763" i="55" s="1"/>
  <c r="D764" i="55"/>
  <c r="F764" i="55" s="1"/>
  <c r="G764" i="55" s="1"/>
  <c r="J764" i="55"/>
  <c r="D765" i="55"/>
  <c r="F765" i="55" s="1"/>
  <c r="G765" i="55" s="1"/>
  <c r="D766" i="55"/>
  <c r="F766" i="55" s="1"/>
  <c r="G766" i="55" s="1"/>
  <c r="D767" i="55"/>
  <c r="F767" i="55" s="1"/>
  <c r="G767" i="55" s="1"/>
  <c r="D769" i="55"/>
  <c r="F769" i="55" s="1"/>
  <c r="G769" i="55" s="1"/>
  <c r="D770" i="55"/>
  <c r="F770" i="55" s="1"/>
  <c r="G770" i="55" s="1"/>
  <c r="D771" i="55"/>
  <c r="F771" i="55" s="1"/>
  <c r="G771" i="55" s="1"/>
  <c r="D772" i="55"/>
  <c r="F772" i="55" s="1"/>
  <c r="G772" i="55" s="1"/>
  <c r="J772" i="55"/>
  <c r="D773" i="55"/>
  <c r="F773" i="55" s="1"/>
  <c r="G773" i="55" s="1"/>
  <c r="D774" i="55"/>
  <c r="F774" i="55" s="1"/>
  <c r="G774" i="55" s="1"/>
  <c r="D775" i="55"/>
  <c r="F775" i="55" s="1"/>
  <c r="G775" i="55" s="1"/>
  <c r="D776" i="55"/>
  <c r="F776" i="55" s="1"/>
  <c r="G776" i="55" s="1"/>
  <c r="D777" i="55"/>
  <c r="F777" i="55" s="1"/>
  <c r="G777" i="55" s="1"/>
  <c r="D779" i="55"/>
  <c r="F779" i="55" s="1"/>
  <c r="G779" i="55" s="1"/>
  <c r="D780" i="55"/>
  <c r="F780" i="55" s="1"/>
  <c r="G780" i="55" s="1"/>
  <c r="D781" i="55"/>
  <c r="F781" i="55" s="1"/>
  <c r="G781" i="55" s="1"/>
  <c r="D782" i="55"/>
  <c r="F782" i="55" s="1"/>
  <c r="G782" i="55" s="1"/>
  <c r="D783" i="55"/>
  <c r="F783" i="55" s="1"/>
  <c r="G783" i="55" s="1"/>
  <c r="J783" i="55"/>
  <c r="D784" i="55"/>
  <c r="F784" i="55" s="1"/>
  <c r="G784" i="55" s="1"/>
  <c r="D785" i="55"/>
  <c r="F785" i="55" s="1"/>
  <c r="G785" i="55" s="1"/>
  <c r="D786" i="55"/>
  <c r="F786" i="55" s="1"/>
  <c r="G786" i="55" s="1"/>
  <c r="J786" i="55"/>
  <c r="D787" i="55"/>
  <c r="F787" i="55" s="1"/>
  <c r="G787" i="55" s="1"/>
  <c r="J787" i="55"/>
  <c r="D788" i="55"/>
  <c r="F788" i="55" s="1"/>
  <c r="G788" i="55" s="1"/>
  <c r="J788" i="55"/>
  <c r="D789" i="55"/>
  <c r="F789" i="55" s="1"/>
  <c r="G789" i="55" s="1"/>
  <c r="J789" i="55"/>
  <c r="D790" i="55"/>
  <c r="F790" i="55" s="1"/>
  <c r="G790" i="55" s="1"/>
  <c r="J790" i="55"/>
  <c r="D791" i="55"/>
  <c r="F791" i="55" s="1"/>
  <c r="G791" i="55" s="1"/>
  <c r="J791" i="55"/>
  <c r="D792" i="55"/>
  <c r="F792" i="55" s="1"/>
  <c r="G792" i="55" s="1"/>
  <c r="D793" i="55"/>
  <c r="F793" i="55" s="1"/>
  <c r="G793" i="55" s="1"/>
  <c r="I793" i="55"/>
  <c r="J793" i="55"/>
  <c r="D794" i="55"/>
  <c r="F794" i="55" s="1"/>
  <c r="G794" i="55" s="1"/>
  <c r="I794" i="55"/>
  <c r="J794" i="55"/>
  <c r="D795" i="55"/>
  <c r="F795" i="55" s="1"/>
  <c r="G795" i="55" s="1"/>
  <c r="I795" i="55"/>
  <c r="J795" i="55"/>
  <c r="D796" i="55"/>
  <c r="F796" i="55" s="1"/>
  <c r="G796" i="55" s="1"/>
  <c r="I796" i="55"/>
  <c r="J796" i="55"/>
  <c r="D797" i="55"/>
  <c r="F797" i="55" s="1"/>
  <c r="G797" i="55" s="1"/>
  <c r="I797" i="55"/>
  <c r="J797" i="55"/>
  <c r="D798" i="55"/>
  <c r="F798" i="55" s="1"/>
  <c r="G798" i="55" s="1"/>
  <c r="I798" i="55"/>
  <c r="J798" i="55"/>
  <c r="D799" i="55"/>
  <c r="F799" i="55" s="1"/>
  <c r="G799" i="55" s="1"/>
  <c r="I799" i="55"/>
  <c r="J799" i="55"/>
  <c r="D800" i="55"/>
  <c r="F800" i="55" s="1"/>
  <c r="G800" i="55" s="1"/>
  <c r="I800" i="55"/>
  <c r="J800" i="55"/>
  <c r="D801" i="55"/>
  <c r="F801" i="55" s="1"/>
  <c r="G801" i="55" s="1"/>
  <c r="I801" i="55"/>
  <c r="J801" i="55"/>
  <c r="D802" i="55"/>
  <c r="F802" i="55" s="1"/>
  <c r="G802" i="55" s="1"/>
  <c r="I802" i="55"/>
  <c r="J802" i="55"/>
  <c r="D803" i="55"/>
  <c r="F803" i="55" s="1"/>
  <c r="G803" i="55" s="1"/>
  <c r="I803" i="55"/>
  <c r="J803" i="55"/>
  <c r="D804" i="55"/>
  <c r="F804" i="55" s="1"/>
  <c r="G804" i="55" s="1"/>
  <c r="I804" i="55"/>
  <c r="J804" i="55"/>
  <c r="D805" i="55"/>
  <c r="F805" i="55" s="1"/>
  <c r="G805" i="55" s="1"/>
  <c r="I805" i="55"/>
  <c r="J805" i="55"/>
  <c r="D806" i="55"/>
  <c r="F806" i="55" s="1"/>
  <c r="G806" i="55" s="1"/>
  <c r="I806" i="55"/>
  <c r="J806" i="55"/>
  <c r="D807" i="55"/>
  <c r="F807" i="55" s="1"/>
  <c r="G807" i="55" s="1"/>
  <c r="I807" i="55"/>
  <c r="J807" i="55"/>
  <c r="D808" i="55"/>
  <c r="F808" i="55" s="1"/>
  <c r="G808" i="55" s="1"/>
  <c r="I808" i="55"/>
  <c r="J808" i="55"/>
  <c r="D809" i="55"/>
  <c r="F809" i="55" s="1"/>
  <c r="G809" i="55" s="1"/>
  <c r="I809" i="55"/>
  <c r="J809" i="55"/>
  <c r="D810" i="55"/>
  <c r="F810" i="55" s="1"/>
  <c r="G810" i="55" s="1"/>
  <c r="I810" i="55"/>
  <c r="J810" i="55"/>
  <c r="D811" i="55"/>
  <c r="F811" i="55" s="1"/>
  <c r="G811" i="55" s="1"/>
  <c r="I811" i="55"/>
  <c r="J811" i="55"/>
  <c r="D812" i="55"/>
  <c r="F812" i="55" s="1"/>
  <c r="G812" i="55" s="1"/>
  <c r="I812" i="55"/>
  <c r="J812" i="55"/>
  <c r="D813" i="55"/>
  <c r="F813" i="55" s="1"/>
  <c r="G813" i="55" s="1"/>
  <c r="I813" i="55"/>
  <c r="J813" i="55"/>
  <c r="D814" i="55"/>
  <c r="F814" i="55" s="1"/>
  <c r="G814" i="55" s="1"/>
  <c r="I814" i="55"/>
  <c r="J814" i="55"/>
  <c r="D815" i="55"/>
  <c r="F815" i="55" s="1"/>
  <c r="G815" i="55" s="1"/>
  <c r="I815" i="55"/>
  <c r="J815" i="55"/>
  <c r="D816" i="55"/>
  <c r="F816" i="55" s="1"/>
  <c r="G816" i="55" s="1"/>
  <c r="I816" i="55"/>
  <c r="J816" i="55"/>
  <c r="D817" i="55"/>
  <c r="F817" i="55" s="1"/>
  <c r="G817" i="55" s="1"/>
  <c r="I817" i="55"/>
  <c r="J817" i="55"/>
  <c r="D818" i="55"/>
  <c r="F818" i="55" s="1"/>
  <c r="G818" i="55" s="1"/>
  <c r="I818" i="55"/>
  <c r="J818" i="55"/>
  <c r="D819" i="55"/>
  <c r="F819" i="55" s="1"/>
  <c r="G819" i="55" s="1"/>
  <c r="I819" i="55"/>
  <c r="J819" i="55"/>
  <c r="D820" i="55"/>
  <c r="F820" i="55" s="1"/>
  <c r="G820" i="55" s="1"/>
  <c r="I820" i="55"/>
  <c r="J820" i="55"/>
  <c r="D821" i="55"/>
  <c r="F821" i="55" s="1"/>
  <c r="G821" i="55" s="1"/>
  <c r="I821" i="55"/>
  <c r="J821" i="55"/>
  <c r="D822" i="55"/>
  <c r="F822" i="55" s="1"/>
  <c r="G822" i="55" s="1"/>
  <c r="I822" i="55"/>
  <c r="J822" i="55"/>
  <c r="D823" i="55"/>
  <c r="F823" i="55" s="1"/>
  <c r="G823" i="55" s="1"/>
  <c r="I823" i="55"/>
  <c r="J823" i="55"/>
  <c r="D824" i="55"/>
  <c r="F824" i="55" s="1"/>
  <c r="G824" i="55" s="1"/>
  <c r="I824" i="55"/>
  <c r="J824" i="55"/>
  <c r="D825" i="55"/>
  <c r="F825" i="55" s="1"/>
  <c r="G825" i="55" s="1"/>
  <c r="I825" i="55"/>
  <c r="J825" i="55"/>
  <c r="D826" i="55"/>
  <c r="F826" i="55" s="1"/>
  <c r="G826" i="55" s="1"/>
  <c r="I826" i="55"/>
  <c r="J826" i="55"/>
  <c r="D827" i="55"/>
  <c r="F827" i="55" s="1"/>
  <c r="G827" i="55" s="1"/>
  <c r="I827" i="55"/>
  <c r="J827" i="55"/>
  <c r="D828" i="55"/>
  <c r="F828" i="55" s="1"/>
  <c r="G828" i="55" s="1"/>
  <c r="I828" i="55"/>
  <c r="J828" i="55"/>
  <c r="D829" i="55"/>
  <c r="F829" i="55" s="1"/>
  <c r="G829" i="55" s="1"/>
  <c r="I829" i="55"/>
  <c r="J829" i="55"/>
  <c r="D830" i="55"/>
  <c r="F830" i="55" s="1"/>
  <c r="G830" i="55" s="1"/>
  <c r="I830" i="55"/>
  <c r="J830" i="55"/>
  <c r="D831" i="55"/>
  <c r="F831" i="55" s="1"/>
  <c r="G831" i="55" s="1"/>
  <c r="I831" i="55"/>
  <c r="J831" i="55"/>
  <c r="D832" i="55"/>
  <c r="F832" i="55" s="1"/>
  <c r="G832" i="55" s="1"/>
  <c r="I832" i="55"/>
  <c r="J832" i="55"/>
  <c r="D833" i="55"/>
  <c r="F833" i="55" s="1"/>
  <c r="G833" i="55" s="1"/>
  <c r="I833" i="55"/>
  <c r="J833" i="55"/>
  <c r="D834" i="55"/>
  <c r="F834" i="55" s="1"/>
  <c r="G834" i="55" s="1"/>
  <c r="I834" i="55"/>
  <c r="J834" i="55"/>
  <c r="D835" i="55"/>
  <c r="F835" i="55" s="1"/>
  <c r="G835" i="55" s="1"/>
  <c r="I835" i="55"/>
  <c r="J835" i="55"/>
  <c r="D836" i="55"/>
  <c r="F836" i="55" s="1"/>
  <c r="G836" i="55" s="1"/>
  <c r="I836" i="55"/>
  <c r="J836" i="55"/>
  <c r="D837" i="55"/>
  <c r="F837" i="55" s="1"/>
  <c r="G837" i="55" s="1"/>
  <c r="I837" i="55"/>
  <c r="J837" i="55"/>
  <c r="D838" i="55"/>
  <c r="F838" i="55" s="1"/>
  <c r="G838" i="55" s="1"/>
  <c r="I838" i="55"/>
  <c r="J838" i="55"/>
  <c r="D839" i="55"/>
  <c r="F839" i="55" s="1"/>
  <c r="G839" i="55" s="1"/>
  <c r="I839" i="55"/>
  <c r="J839" i="55"/>
  <c r="D840" i="55"/>
  <c r="F840" i="55" s="1"/>
  <c r="G840" i="55" s="1"/>
  <c r="I840" i="55"/>
  <c r="J840" i="55"/>
  <c r="D841" i="55"/>
  <c r="F841" i="55" s="1"/>
  <c r="G841" i="55" s="1"/>
  <c r="I841" i="55"/>
  <c r="J841" i="55"/>
  <c r="D842" i="55"/>
  <c r="F842" i="55" s="1"/>
  <c r="G842" i="55" s="1"/>
  <c r="I842" i="55"/>
  <c r="J842" i="55"/>
  <c r="D843" i="55"/>
  <c r="F843" i="55" s="1"/>
  <c r="G843" i="55" s="1"/>
  <c r="I843" i="55"/>
  <c r="J843" i="55"/>
  <c r="F389" i="55" l="1"/>
  <c r="G389" i="55" s="1"/>
  <c r="K674" i="55"/>
  <c r="L674" i="55" s="1"/>
  <c r="K572" i="55"/>
  <c r="L572" i="55" s="1"/>
  <c r="K428" i="55"/>
  <c r="L428" i="55" s="1"/>
  <c r="K832" i="55"/>
  <c r="L832" i="55" s="1"/>
  <c r="K744" i="55"/>
  <c r="L744" i="55" s="1"/>
  <c r="K720" i="55"/>
  <c r="L720" i="55" s="1"/>
  <c r="K462" i="55"/>
  <c r="L462" i="55" s="1"/>
  <c r="K815" i="55"/>
  <c r="L815" i="55" s="1"/>
  <c r="K735" i="55"/>
  <c r="L735" i="55" s="1"/>
  <c r="K516" i="55"/>
  <c r="L516" i="55" s="1"/>
  <c r="K828" i="55"/>
  <c r="L828" i="55" s="1"/>
  <c r="K820" i="55"/>
  <c r="L820" i="55" s="1"/>
  <c r="K533" i="55"/>
  <c r="L533" i="55" s="1"/>
  <c r="K620" i="55"/>
  <c r="L620" i="55" s="1"/>
  <c r="K429" i="55"/>
  <c r="L429" i="55" s="1"/>
  <c r="K395" i="55"/>
  <c r="L395" i="55" s="1"/>
  <c r="K359" i="55"/>
  <c r="L359" i="55" s="1"/>
  <c r="K480" i="55"/>
  <c r="L480" i="55" s="1"/>
  <c r="K380" i="55"/>
  <c r="L380" i="55" s="1"/>
  <c r="K552" i="55"/>
  <c r="L552" i="55" s="1"/>
  <c r="K477" i="55"/>
  <c r="L477" i="55" s="1"/>
  <c r="K464" i="55"/>
  <c r="L464" i="55" s="1"/>
  <c r="K476" i="55"/>
  <c r="L476" i="55" s="1"/>
  <c r="K831" i="55"/>
  <c r="L831" i="55" s="1"/>
  <c r="K833" i="55"/>
  <c r="L833" i="55" s="1"/>
  <c r="K801" i="55"/>
  <c r="L801" i="55" s="1"/>
  <c r="K793" i="55"/>
  <c r="L793" i="55" s="1"/>
  <c r="K616" i="55"/>
  <c r="L616" i="55" s="1"/>
  <c r="K578" i="55"/>
  <c r="L578" i="55" s="1"/>
  <c r="K545" i="55"/>
  <c r="L545" i="55" s="1"/>
  <c r="K537" i="55"/>
  <c r="L537" i="55" s="1"/>
  <c r="K718" i="55"/>
  <c r="L718" i="55" s="1"/>
  <c r="K597" i="55"/>
  <c r="L597" i="55" s="1"/>
  <c r="L575" i="55"/>
  <c r="K373" i="55"/>
  <c r="L373" i="55" s="1"/>
  <c r="K805" i="55"/>
  <c r="L805" i="55" s="1"/>
  <c r="K782" i="55"/>
  <c r="L782" i="55" s="1"/>
  <c r="K722" i="55"/>
  <c r="L722" i="55" s="1"/>
  <c r="K566" i="55"/>
  <c r="L566" i="55" s="1"/>
  <c r="K561" i="55"/>
  <c r="L561" i="55" s="1"/>
  <c r="K488" i="55"/>
  <c r="L488" i="55" s="1"/>
  <c r="K458" i="55"/>
  <c r="L458" i="55" s="1"/>
  <c r="K453" i="55"/>
  <c r="L453" i="55" s="1"/>
  <c r="K358" i="55"/>
  <c r="L358" i="55" s="1"/>
  <c r="L612" i="55"/>
  <c r="K596" i="55"/>
  <c r="L596" i="55" s="1"/>
  <c r="K589" i="55"/>
  <c r="L589" i="55" s="1"/>
  <c r="K465" i="55"/>
  <c r="L465" i="55" s="1"/>
  <c r="K450" i="55"/>
  <c r="L450" i="55" s="1"/>
  <c r="K606" i="55"/>
  <c r="L606" i="55" s="1"/>
  <c r="K601" i="55"/>
  <c r="L601" i="55" s="1"/>
  <c r="K591" i="55"/>
  <c r="L591" i="55" s="1"/>
  <c r="K439" i="55"/>
  <c r="L439" i="55" s="1"/>
  <c r="K789" i="55"/>
  <c r="L789" i="55" s="1"/>
  <c r="K781" i="55"/>
  <c r="L781" i="55" s="1"/>
  <c r="K447" i="55"/>
  <c r="L447" i="55" s="1"/>
  <c r="K399" i="55"/>
  <c r="L399" i="55" s="1"/>
  <c r="K420" i="55"/>
  <c r="L420" i="55" s="1"/>
  <c r="K816" i="55"/>
  <c r="L816" i="55" s="1"/>
  <c r="K558" i="55"/>
  <c r="L558" i="55" s="1"/>
  <c r="K433" i="55"/>
  <c r="L433" i="55" s="1"/>
  <c r="K422" i="55"/>
  <c r="L422" i="55" s="1"/>
  <c r="K374" i="55"/>
  <c r="L374" i="55" s="1"/>
  <c r="K838" i="55"/>
  <c r="L838" i="55" s="1"/>
  <c r="K649" i="55"/>
  <c r="L649" i="55" s="1"/>
  <c r="K628" i="55"/>
  <c r="L628" i="55" s="1"/>
  <c r="K618" i="55"/>
  <c r="L618" i="55" s="1"/>
  <c r="K586" i="55"/>
  <c r="L586" i="55" s="1"/>
  <c r="K583" i="55"/>
  <c r="L583" i="55" s="1"/>
  <c r="K454" i="55"/>
  <c r="L454" i="55" s="1"/>
  <c r="K446" i="55"/>
  <c r="L446" i="55" s="1"/>
  <c r="K434" i="55"/>
  <c r="L434" i="55" s="1"/>
  <c r="K796" i="55"/>
  <c r="L796" i="55" s="1"/>
  <c r="K389" i="55"/>
  <c r="L389" i="55" s="1"/>
  <c r="K773" i="55"/>
  <c r="L773" i="55" s="1"/>
  <c r="K688" i="55"/>
  <c r="L688" i="55" s="1"/>
  <c r="K576" i="55"/>
  <c r="L576" i="55" s="1"/>
  <c r="K571" i="55"/>
  <c r="L571" i="55" s="1"/>
  <c r="K563" i="55"/>
  <c r="L563" i="55" s="1"/>
  <c r="K532" i="55"/>
  <c r="L532" i="55" s="1"/>
  <c r="K527" i="55"/>
  <c r="L527" i="55" s="1"/>
  <c r="K490" i="55"/>
  <c r="L490" i="55" s="1"/>
  <c r="K487" i="55"/>
  <c r="L487" i="55" s="1"/>
  <c r="K443" i="55"/>
  <c r="L443" i="55" s="1"/>
  <c r="K397" i="55"/>
  <c r="L397" i="55" s="1"/>
  <c r="K795" i="55"/>
  <c r="L795" i="55" s="1"/>
  <c r="K765" i="55"/>
  <c r="L765" i="55" s="1"/>
  <c r="K703" i="55"/>
  <c r="L703" i="55" s="1"/>
  <c r="K693" i="55"/>
  <c r="L693" i="55" s="1"/>
  <c r="K614" i="55"/>
  <c r="L614" i="55" s="1"/>
  <c r="K549" i="55"/>
  <c r="L549" i="55" s="1"/>
  <c r="K365" i="55"/>
  <c r="L365" i="55" s="1"/>
  <c r="K792" i="55"/>
  <c r="L792" i="55" s="1"/>
  <c r="K695" i="55"/>
  <c r="L695" i="55" s="1"/>
  <c r="K492" i="55"/>
  <c r="L492" i="55" s="1"/>
  <c r="K482" i="55"/>
  <c r="L482" i="55" s="1"/>
  <c r="K388" i="55"/>
  <c r="L388" i="55" s="1"/>
  <c r="K531" i="55"/>
  <c r="L531" i="55" s="1"/>
  <c r="K486" i="55"/>
  <c r="L486" i="55" s="1"/>
  <c r="K824" i="55"/>
  <c r="L824" i="55" s="1"/>
  <c r="K821" i="55"/>
  <c r="L821" i="55" s="1"/>
  <c r="K794" i="55"/>
  <c r="L794" i="55" s="1"/>
  <c r="K777" i="55"/>
  <c r="L777" i="55" s="1"/>
  <c r="K749" i="55"/>
  <c r="L749" i="55" s="1"/>
  <c r="K608" i="55"/>
  <c r="L608" i="55" s="1"/>
  <c r="K570" i="55"/>
  <c r="L570" i="55" s="1"/>
  <c r="K411" i="55"/>
  <c r="L411" i="55" s="1"/>
  <c r="K843" i="55"/>
  <c r="L843" i="55" s="1"/>
  <c r="K759" i="55"/>
  <c r="L759" i="55" s="1"/>
  <c r="K675" i="55"/>
  <c r="L675" i="55" s="1"/>
  <c r="K629" i="55"/>
  <c r="L629" i="55" s="1"/>
  <c r="K609" i="55"/>
  <c r="L609" i="55" s="1"/>
  <c r="K604" i="55"/>
  <c r="L604" i="55" s="1"/>
  <c r="K579" i="55"/>
  <c r="L579" i="55" s="1"/>
  <c r="K557" i="55"/>
  <c r="L557" i="55" s="1"/>
  <c r="K489" i="55"/>
  <c r="L489" i="55" s="1"/>
  <c r="K468" i="55"/>
  <c r="L468" i="55" s="1"/>
  <c r="K423" i="55"/>
  <c r="L423" i="55" s="1"/>
  <c r="K366" i="55"/>
  <c r="L366" i="55" s="1"/>
  <c r="K840" i="55"/>
  <c r="L840" i="55" s="1"/>
  <c r="K783" i="55"/>
  <c r="L783" i="55" s="1"/>
  <c r="K761" i="55"/>
  <c r="L761" i="55" s="1"/>
  <c r="K588" i="55"/>
  <c r="L588" i="55" s="1"/>
  <c r="K562" i="55"/>
  <c r="L562" i="55" s="1"/>
  <c r="K445" i="55"/>
  <c r="L445" i="55" s="1"/>
  <c r="K402" i="55"/>
  <c r="L402" i="55" s="1"/>
  <c r="K375" i="55"/>
  <c r="L375" i="55" s="1"/>
  <c r="K363" i="55"/>
  <c r="L363" i="55" s="1"/>
  <c r="K799" i="55"/>
  <c r="L799" i="55" s="1"/>
  <c r="K613" i="55"/>
  <c r="L613" i="55" s="1"/>
  <c r="K598" i="55"/>
  <c r="L598" i="55" s="1"/>
  <c r="K585" i="55"/>
  <c r="L585" i="55" s="1"/>
  <c r="K461" i="55"/>
  <c r="L461" i="55" s="1"/>
  <c r="K427" i="55"/>
  <c r="L427" i="55" s="1"/>
  <c r="K414" i="55"/>
  <c r="L414" i="55" s="1"/>
  <c r="K387" i="55"/>
  <c r="L387" i="55" s="1"/>
  <c r="K830" i="55"/>
  <c r="L830" i="55" s="1"/>
  <c r="K823" i="55"/>
  <c r="L823" i="55" s="1"/>
  <c r="K807" i="55"/>
  <c r="L807" i="55" s="1"/>
  <c r="K787" i="55"/>
  <c r="L787" i="55" s="1"/>
  <c r="K785" i="55"/>
  <c r="L785" i="55" s="1"/>
  <c r="K774" i="55"/>
  <c r="L774" i="55" s="1"/>
  <c r="K772" i="55"/>
  <c r="L772" i="55" s="1"/>
  <c r="K760" i="55"/>
  <c r="L760" i="55" s="1"/>
  <c r="K755" i="55"/>
  <c r="L755" i="55" s="1"/>
  <c r="K746" i="55"/>
  <c r="L746" i="55" s="1"/>
  <c r="K676" i="55"/>
  <c r="L676" i="55" s="1"/>
  <c r="K610" i="55"/>
  <c r="L610" i="55" s="1"/>
  <c r="K600" i="55"/>
  <c r="L600" i="55" s="1"/>
  <c r="K587" i="55"/>
  <c r="L587" i="55" s="1"/>
  <c r="K538" i="55"/>
  <c r="L538" i="55" s="1"/>
  <c r="K449" i="55"/>
  <c r="L449" i="55" s="1"/>
  <c r="K367" i="55"/>
  <c r="L367" i="55" s="1"/>
  <c r="K841" i="55"/>
  <c r="L841" i="55" s="1"/>
  <c r="K827" i="55"/>
  <c r="L827" i="55" s="1"/>
  <c r="K825" i="55"/>
  <c r="L825" i="55" s="1"/>
  <c r="K809" i="55"/>
  <c r="L809" i="55" s="1"/>
  <c r="K800" i="55"/>
  <c r="L800" i="55" s="1"/>
  <c r="K757" i="55"/>
  <c r="L757" i="55" s="1"/>
  <c r="K752" i="55"/>
  <c r="L752" i="55" s="1"/>
  <c r="K733" i="55"/>
  <c r="L733" i="55" s="1"/>
  <c r="K731" i="55"/>
  <c r="K699" i="55"/>
  <c r="L699" i="55" s="1"/>
  <c r="K678" i="55"/>
  <c r="L678" i="55" s="1"/>
  <c r="K602" i="55"/>
  <c r="L602" i="55" s="1"/>
  <c r="K593" i="55"/>
  <c r="L593" i="55" s="1"/>
  <c r="K565" i="55"/>
  <c r="L565" i="55" s="1"/>
  <c r="K431" i="55"/>
  <c r="L431" i="55" s="1"/>
  <c r="K398" i="55"/>
  <c r="L398" i="55" s="1"/>
  <c r="K386" i="55"/>
  <c r="L386" i="55" s="1"/>
  <c r="K369" i="55"/>
  <c r="L369" i="55" s="1"/>
  <c r="K356" i="55"/>
  <c r="L356" i="55" s="1"/>
  <c r="K842" i="55"/>
  <c r="L842" i="55" s="1"/>
  <c r="K839" i="55"/>
  <c r="L839" i="55" s="1"/>
  <c r="K814" i="55"/>
  <c r="L814" i="55" s="1"/>
  <c r="K690" i="55"/>
  <c r="L690" i="55" s="1"/>
  <c r="K594" i="55"/>
  <c r="L594" i="55" s="1"/>
  <c r="K493" i="55"/>
  <c r="L493" i="55" s="1"/>
  <c r="K822" i="55"/>
  <c r="L822" i="55" s="1"/>
  <c r="K826" i="55"/>
  <c r="L826" i="55" s="1"/>
  <c r="K806" i="55"/>
  <c r="L806" i="55" s="1"/>
  <c r="K497" i="55"/>
  <c r="L497" i="55" s="1"/>
  <c r="K474" i="55"/>
  <c r="L474" i="55" s="1"/>
  <c r="K817" i="55"/>
  <c r="L817" i="55" s="1"/>
  <c r="K813" i="55"/>
  <c r="L813" i="55" s="1"/>
  <c r="K808" i="55"/>
  <c r="L808" i="55" s="1"/>
  <c r="K776" i="55"/>
  <c r="L776" i="55" s="1"/>
  <c r="K701" i="55"/>
  <c r="L701" i="55" s="1"/>
  <c r="K671" i="55"/>
  <c r="L671" i="55" s="1"/>
  <c r="K651" i="55"/>
  <c r="L651" i="55" s="1"/>
  <c r="K811" i="55"/>
  <c r="L811" i="55" s="1"/>
  <c r="K804" i="55"/>
  <c r="L804" i="55" s="1"/>
  <c r="K798" i="55"/>
  <c r="L798" i="55" s="1"/>
  <c r="K790" i="55"/>
  <c r="L790" i="55" s="1"/>
  <c r="K786" i="55"/>
  <c r="L786" i="55" s="1"/>
  <c r="K764" i="55"/>
  <c r="L764" i="55" s="1"/>
  <c r="K762" i="55"/>
  <c r="L762" i="55" s="1"/>
  <c r="K753" i="55"/>
  <c r="L753" i="55" s="1"/>
  <c r="K747" i="55"/>
  <c r="L747" i="55" s="1"/>
  <c r="K740" i="55"/>
  <c r="L740" i="55" s="1"/>
  <c r="K711" i="55"/>
  <c r="L711" i="55" s="1"/>
  <c r="K702" i="55"/>
  <c r="L702" i="55" s="1"/>
  <c r="K691" i="55"/>
  <c r="L691" i="55" s="1"/>
  <c r="K687" i="55"/>
  <c r="L687" i="55" s="1"/>
  <c r="K679" i="55"/>
  <c r="L679" i="55" s="1"/>
  <c r="K662" i="55"/>
  <c r="L662" i="55" s="1"/>
  <c r="K658" i="55"/>
  <c r="L658" i="55" s="1"/>
  <c r="K645" i="55"/>
  <c r="L645" i="55" s="1"/>
  <c r="K638" i="55"/>
  <c r="L638" i="55" s="1"/>
  <c r="K627" i="55"/>
  <c r="L627" i="55" s="1"/>
  <c r="K611" i="55"/>
  <c r="L611" i="55" s="1"/>
  <c r="K607" i="55"/>
  <c r="L607" i="55" s="1"/>
  <c r="K605" i="55"/>
  <c r="L605" i="55" s="1"/>
  <c r="K584" i="55"/>
  <c r="L584" i="55" s="1"/>
  <c r="K582" i="55"/>
  <c r="L582" i="55" s="1"/>
  <c r="K581" i="55"/>
  <c r="L581" i="55" s="1"/>
  <c r="K555" i="55"/>
  <c r="L555" i="55" s="1"/>
  <c r="K546" i="55"/>
  <c r="L546" i="55" s="1"/>
  <c r="K544" i="55"/>
  <c r="L544" i="55" s="1"/>
  <c r="K536" i="55"/>
  <c r="L536" i="55" s="1"/>
  <c r="K534" i="55"/>
  <c r="L534" i="55" s="1"/>
  <c r="K498" i="55"/>
  <c r="L498" i="55" s="1"/>
  <c r="K472" i="55"/>
  <c r="L472" i="55" s="1"/>
  <c r="K466" i="55"/>
  <c r="L466" i="55" s="1"/>
  <c r="K440" i="55"/>
  <c r="L440" i="55" s="1"/>
  <c r="K425" i="55"/>
  <c r="L425" i="55" s="1"/>
  <c r="K412" i="55"/>
  <c r="L412" i="55" s="1"/>
  <c r="K407" i="55"/>
  <c r="L407" i="55" s="1"/>
  <c r="K400" i="55"/>
  <c r="L400" i="55" s="1"/>
  <c r="K393" i="55"/>
  <c r="L393" i="55" s="1"/>
  <c r="K381" i="55"/>
  <c r="L381" i="55" s="1"/>
  <c r="K660" i="55"/>
  <c r="L660" i="55" s="1"/>
  <c r="K647" i="55"/>
  <c r="L647" i="55" s="1"/>
  <c r="K633" i="55"/>
  <c r="L633" i="55" s="1"/>
  <c r="K631" i="55"/>
  <c r="L631" i="55" s="1"/>
  <c r="K624" i="55"/>
  <c r="L624" i="55" s="1"/>
  <c r="K590" i="55"/>
  <c r="L590" i="55" s="1"/>
  <c r="K573" i="55"/>
  <c r="L573" i="55" s="1"/>
  <c r="K553" i="55"/>
  <c r="L553" i="55" s="1"/>
  <c r="K542" i="55"/>
  <c r="L542" i="55" s="1"/>
  <c r="K530" i="55"/>
  <c r="L530" i="55" s="1"/>
  <c r="K528" i="55"/>
  <c r="L528" i="55" s="1"/>
  <c r="K509" i="55"/>
  <c r="L509" i="55" s="1"/>
  <c r="K507" i="55"/>
  <c r="L507" i="55" s="1"/>
  <c r="K478" i="55"/>
  <c r="L478" i="55" s="1"/>
  <c r="K457" i="55"/>
  <c r="L457" i="55" s="1"/>
  <c r="K442" i="55"/>
  <c r="L442" i="55" s="1"/>
  <c r="K404" i="55"/>
  <c r="L404" i="55" s="1"/>
  <c r="K392" i="55"/>
  <c r="L392" i="55" s="1"/>
  <c r="L390" i="55"/>
  <c r="K385" i="55"/>
  <c r="L385" i="55" s="1"/>
  <c r="K364" i="55"/>
  <c r="L364" i="55" s="1"/>
  <c r="K357" i="55"/>
  <c r="L357" i="55" s="1"/>
  <c r="K355" i="55"/>
  <c r="L355" i="55" s="1"/>
  <c r="K580" i="55"/>
  <c r="L580" i="55" s="1"/>
  <c r="K569" i="55"/>
  <c r="L569" i="55" s="1"/>
  <c r="K550" i="55"/>
  <c r="L550" i="55" s="1"/>
  <c r="K437" i="55"/>
  <c r="L437" i="55" s="1"/>
  <c r="K812" i="55"/>
  <c r="L812" i="55" s="1"/>
  <c r="K779" i="55"/>
  <c r="L779" i="55" s="1"/>
  <c r="K748" i="55"/>
  <c r="L748" i="55" s="1"/>
  <c r="K736" i="55"/>
  <c r="L736" i="55" s="1"/>
  <c r="K730" i="55"/>
  <c r="L730" i="55" s="1"/>
  <c r="K639" i="55"/>
  <c r="L639" i="55" s="1"/>
  <c r="K634" i="55"/>
  <c r="L634" i="55" s="1"/>
  <c r="K632" i="55"/>
  <c r="L632" i="55" s="1"/>
  <c r="K623" i="55"/>
  <c r="L623" i="55" s="1"/>
  <c r="K595" i="55"/>
  <c r="L595" i="55" s="1"/>
  <c r="K554" i="55"/>
  <c r="L554" i="55" s="1"/>
  <c r="K541" i="55"/>
  <c r="L541" i="55" s="1"/>
  <c r="K522" i="55"/>
  <c r="L522" i="55" s="1"/>
  <c r="K520" i="55"/>
  <c r="L520" i="55" s="1"/>
  <c r="K494" i="55"/>
  <c r="L494" i="55" s="1"/>
  <c r="K481" i="55"/>
  <c r="L481" i="55" s="1"/>
  <c r="K479" i="55"/>
  <c r="L479" i="55" s="1"/>
  <c r="K473" i="55"/>
  <c r="L473" i="55" s="1"/>
  <c r="K456" i="55"/>
  <c r="L456" i="55" s="1"/>
  <c r="K441" i="55"/>
  <c r="L441" i="55" s="1"/>
  <c r="K421" i="55"/>
  <c r="L421" i="55" s="1"/>
  <c r="K394" i="55"/>
  <c r="L394" i="55" s="1"/>
  <c r="K391" i="55"/>
  <c r="L391" i="55" s="1"/>
  <c r="K382" i="55"/>
  <c r="L382" i="55" s="1"/>
  <c r="K371" i="55"/>
  <c r="L371" i="55" s="1"/>
  <c r="K368" i="55"/>
  <c r="L368" i="55" s="1"/>
  <c r="K361" i="55"/>
  <c r="L361" i="55" s="1"/>
  <c r="K354" i="55"/>
  <c r="L354" i="55" s="1"/>
  <c r="K775" i="55"/>
  <c r="L775" i="55" s="1"/>
  <c r="K745" i="55"/>
  <c r="L745" i="55" s="1"/>
  <c r="K732" i="55"/>
  <c r="L732" i="55" s="1"/>
  <c r="K721" i="55"/>
  <c r="L721" i="55" s="1"/>
  <c r="K719" i="55"/>
  <c r="L719" i="55" s="1"/>
  <c r="K714" i="55"/>
  <c r="L714" i="55" s="1"/>
  <c r="K670" i="55"/>
  <c r="L670" i="55" s="1"/>
  <c r="K641" i="55"/>
  <c r="L641" i="55" s="1"/>
  <c r="K603" i="55"/>
  <c r="L603" i="55" s="1"/>
  <c r="K592" i="55"/>
  <c r="L592" i="55" s="1"/>
  <c r="K577" i="55"/>
  <c r="L577" i="55" s="1"/>
  <c r="K568" i="55"/>
  <c r="L568" i="55" s="1"/>
  <c r="K524" i="55"/>
  <c r="L524" i="55" s="1"/>
  <c r="K517" i="55"/>
  <c r="L517" i="55" s="1"/>
  <c r="K515" i="55"/>
  <c r="L515" i="55" s="1"/>
  <c r="K436" i="55"/>
  <c r="L436" i="55" s="1"/>
  <c r="K403" i="55"/>
  <c r="L403" i="55" s="1"/>
  <c r="K396" i="55"/>
  <c r="L396" i="55" s="1"/>
  <c r="K818" i="55"/>
  <c r="L818" i="55" s="1"/>
  <c r="K803" i="55"/>
  <c r="L803" i="55" s="1"/>
  <c r="K784" i="55"/>
  <c r="L784" i="55" s="1"/>
  <c r="K770" i="55"/>
  <c r="L770" i="55" s="1"/>
  <c r="K743" i="55"/>
  <c r="L743" i="55" s="1"/>
  <c r="K727" i="55"/>
  <c r="L727" i="55" s="1"/>
  <c r="K725" i="55"/>
  <c r="L725" i="55" s="1"/>
  <c r="K716" i="55"/>
  <c r="L716" i="55" s="1"/>
  <c r="K706" i="55"/>
  <c r="L706" i="55" s="1"/>
  <c r="K704" i="55"/>
  <c r="L704" i="55" s="1"/>
  <c r="K682" i="55"/>
  <c r="L682" i="55" s="1"/>
  <c r="K673" i="55"/>
  <c r="L673" i="55" s="1"/>
  <c r="K668" i="55"/>
  <c r="L668" i="55" s="1"/>
  <c r="K836" i="55"/>
  <c r="L836" i="55" s="1"/>
  <c r="K834" i="55"/>
  <c r="L834" i="55" s="1"/>
  <c r="K829" i="55"/>
  <c r="L829" i="55" s="1"/>
  <c r="K819" i="55"/>
  <c r="L819" i="55" s="1"/>
  <c r="K791" i="55"/>
  <c r="L791" i="55" s="1"/>
  <c r="K788" i="55"/>
  <c r="L788" i="55" s="1"/>
  <c r="K771" i="55"/>
  <c r="L771" i="55" s="1"/>
  <c r="K769" i="55"/>
  <c r="L769" i="55" s="1"/>
  <c r="K756" i="55"/>
  <c r="L756" i="55" s="1"/>
  <c r="K741" i="55"/>
  <c r="L741" i="55" s="1"/>
  <c r="K712" i="55"/>
  <c r="L712" i="55" s="1"/>
  <c r="K709" i="55"/>
  <c r="L709" i="55" s="1"/>
  <c r="K707" i="55"/>
  <c r="L707" i="55" s="1"/>
  <c r="K696" i="55"/>
  <c r="L696" i="55" s="1"/>
  <c r="K686" i="55"/>
  <c r="L686" i="55" s="1"/>
  <c r="K683" i="55"/>
  <c r="L683" i="55" s="1"/>
  <c r="K667" i="55"/>
  <c r="L667" i="55" s="1"/>
  <c r="K665" i="55"/>
  <c r="L665" i="55" s="1"/>
  <c r="K663" i="55"/>
  <c r="L663" i="55" s="1"/>
  <c r="K654" i="55"/>
  <c r="L654" i="55" s="1"/>
  <c r="K810" i="55"/>
  <c r="L810" i="55" s="1"/>
  <c r="K837" i="55"/>
  <c r="L837" i="55" s="1"/>
  <c r="K835" i="55"/>
  <c r="L835" i="55" s="1"/>
  <c r="K802" i="55"/>
  <c r="L802" i="55" s="1"/>
  <c r="K797" i="55"/>
  <c r="L797" i="55" s="1"/>
  <c r="K780" i="55"/>
  <c r="L780" i="55" s="1"/>
  <c r="K739" i="55"/>
  <c r="L739" i="55" s="1"/>
  <c r="K724" i="55"/>
  <c r="L724" i="55" s="1"/>
  <c r="K717" i="55"/>
  <c r="L717" i="55" s="1"/>
  <c r="K694" i="55"/>
  <c r="L694" i="55" s="1"/>
  <c r="K681" i="55"/>
  <c r="L681" i="55" s="1"/>
  <c r="K659" i="55"/>
  <c r="L659" i="55" s="1"/>
  <c r="K637" i="55"/>
  <c r="L637" i="55" s="1"/>
  <c r="K635" i="55"/>
  <c r="L635" i="55" s="1"/>
  <c r="K370" i="55"/>
  <c r="L370" i="55" s="1"/>
  <c r="K655" i="55"/>
  <c r="L655" i="55" s="1"/>
  <c r="K642" i="55"/>
  <c r="L642" i="55" s="1"/>
  <c r="K640" i="55"/>
  <c r="L640" i="55" s="1"/>
  <c r="K636" i="55"/>
  <c r="L636" i="55" s="1"/>
  <c r="K621" i="55"/>
  <c r="L621" i="55" s="1"/>
  <c r="K529" i="55"/>
  <c r="L529" i="55" s="1"/>
  <c r="K523" i="55"/>
  <c r="L523" i="55" s="1"/>
  <c r="K519" i="55"/>
  <c r="L519" i="55" s="1"/>
  <c r="K508" i="55"/>
  <c r="L508" i="55" s="1"/>
  <c r="K499" i="55"/>
  <c r="L499" i="55" s="1"/>
  <c r="K495" i="55"/>
  <c r="L495" i="55" s="1"/>
  <c r="K459" i="55"/>
  <c r="L459" i="55" s="1"/>
  <c r="K444" i="55"/>
  <c r="L444" i="55" s="1"/>
  <c r="K438" i="55"/>
  <c r="L438" i="55" s="1"/>
  <c r="K410" i="55"/>
  <c r="L410" i="55" s="1"/>
  <c r="K401" i="55"/>
  <c r="L401" i="55" s="1"/>
  <c r="K384" i="55"/>
  <c r="L384" i="55" s="1"/>
  <c r="K379" i="55"/>
  <c r="L379" i="55" s="1"/>
  <c r="K625" i="55"/>
  <c r="L625" i="55" s="1"/>
  <c r="K619" i="55"/>
  <c r="L619" i="55" s="1"/>
  <c r="K547" i="55"/>
  <c r="L547" i="55" s="1"/>
  <c r="K511" i="55"/>
  <c r="L511" i="55" s="1"/>
  <c r="K500" i="55"/>
  <c r="L500" i="55" s="1"/>
  <c r="K452" i="55"/>
  <c r="L452" i="55" s="1"/>
  <c r="K430" i="55"/>
  <c r="L430" i="55" s="1"/>
  <c r="K417" i="55"/>
  <c r="L417" i="55" s="1"/>
  <c r="K415" i="55"/>
  <c r="L415" i="55" s="1"/>
  <c r="K413" i="55"/>
  <c r="L413" i="55" s="1"/>
  <c r="K376" i="55"/>
  <c r="L376" i="55" s="1"/>
  <c r="K622" i="55"/>
  <c r="L622" i="55" s="1"/>
  <c r="K501" i="55"/>
  <c r="L501" i="55" s="1"/>
  <c r="K496" i="55"/>
  <c r="L496" i="55" s="1"/>
  <c r="K467" i="55"/>
  <c r="L467" i="55" s="1"/>
  <c r="K460" i="55"/>
  <c r="L460" i="55" s="1"/>
  <c r="K455" i="55"/>
  <c r="L455" i="55" s="1"/>
  <c r="K448" i="55"/>
  <c r="L448" i="55" s="1"/>
  <c r="K409" i="55"/>
  <c r="L409" i="55" s="1"/>
  <c r="K405" i="55"/>
  <c r="L405" i="55" s="1"/>
  <c r="K491" i="55"/>
  <c r="L491" i="55" s="1"/>
  <c r="K469" i="55"/>
  <c r="L469" i="55" s="1"/>
  <c r="K426" i="55"/>
  <c r="L426" i="55" s="1"/>
  <c r="K418" i="55"/>
  <c r="L418" i="55" s="1"/>
  <c r="K416" i="55"/>
  <c r="L416" i="55" s="1"/>
  <c r="K383" i="55"/>
  <c r="L383" i="55" s="1"/>
  <c r="K372" i="55"/>
  <c r="L372" i="55" s="1"/>
  <c r="K652" i="55"/>
  <c r="L652" i="55" s="1"/>
  <c r="K630" i="55"/>
  <c r="L630" i="55" s="1"/>
  <c r="K626" i="55"/>
  <c r="L626" i="55" s="1"/>
  <c r="K567" i="55"/>
  <c r="L567" i="55" s="1"/>
  <c r="K512" i="55"/>
  <c r="L512" i="55" s="1"/>
  <c r="K504" i="55"/>
  <c r="L504" i="55" s="1"/>
  <c r="K502" i="55"/>
  <c r="L502" i="55" s="1"/>
  <c r="K483" i="55"/>
  <c r="L483" i="55" s="1"/>
  <c r="K463" i="55"/>
  <c r="L463" i="55" s="1"/>
  <c r="K408" i="55"/>
  <c r="L408" i="55" s="1"/>
  <c r="K406" i="55"/>
  <c r="L406" i="55" s="1"/>
  <c r="K362" i="55"/>
  <c r="L362" i="55" s="1"/>
  <c r="K360" i="55"/>
  <c r="L360" i="55" s="1"/>
  <c r="K763" i="55"/>
  <c r="L763" i="55" s="1"/>
  <c r="K738" i="55"/>
  <c r="L738" i="55" s="1"/>
  <c r="K700" i="55"/>
  <c r="L700" i="55" s="1"/>
  <c r="K646" i="55"/>
  <c r="L646" i="55" s="1"/>
  <c r="K548" i="55"/>
  <c r="L548" i="55" s="1"/>
  <c r="K377" i="55"/>
  <c r="L377" i="55" s="1"/>
  <c r="K728" i="55"/>
  <c r="L728" i="55" s="1"/>
  <c r="K540" i="55"/>
  <c r="L540" i="55" s="1"/>
  <c r="K767" i="55"/>
  <c r="L767" i="55" s="1"/>
  <c r="K754" i="55"/>
  <c r="L754" i="55" s="1"/>
  <c r="K729" i="55"/>
  <c r="L729" i="55" s="1"/>
  <c r="K708" i="55"/>
  <c r="L708" i="55" s="1"/>
  <c r="K692" i="55"/>
  <c r="L692" i="55" s="1"/>
  <c r="K766" i="55"/>
  <c r="L766" i="55" s="1"/>
  <c r="K758" i="55"/>
  <c r="L758" i="55" s="1"/>
  <c r="K750" i="55"/>
  <c r="L750" i="55" s="1"/>
  <c r="K742" i="55"/>
  <c r="L742" i="55" s="1"/>
  <c r="K734" i="55"/>
  <c r="L734" i="55" s="1"/>
  <c r="K726" i="55"/>
  <c r="L726" i="55" s="1"/>
  <c r="K715" i="55"/>
  <c r="L715" i="55" s="1"/>
  <c r="K710" i="55"/>
  <c r="L710" i="55" s="1"/>
  <c r="K698" i="55"/>
  <c r="L698" i="55" s="1"/>
  <c r="K684" i="55"/>
  <c r="L684" i="55" s="1"/>
  <c r="K666" i="55"/>
  <c r="L666" i="55" s="1"/>
  <c r="K650" i="55"/>
  <c r="L650" i="55" s="1"/>
  <c r="K543" i="55"/>
  <c r="L543" i="55" s="1"/>
  <c r="K677" i="55"/>
  <c r="L677" i="55" s="1"/>
  <c r="K669" i="55"/>
  <c r="L669" i="55" s="1"/>
  <c r="K661" i="55"/>
  <c r="L661" i="55" s="1"/>
  <c r="K653" i="55"/>
  <c r="L653" i="55" s="1"/>
  <c r="K648" i="55"/>
  <c r="L648" i="55" s="1"/>
  <c r="K644" i="55"/>
  <c r="L644" i="55" s="1"/>
  <c r="K539" i="55"/>
  <c r="L539" i="55" s="1"/>
  <c r="K514" i="55"/>
  <c r="L514" i="55" s="1"/>
  <c r="K484" i="55"/>
  <c r="L484" i="55" s="1"/>
  <c r="K713" i="55"/>
  <c r="L713" i="55" s="1"/>
  <c r="K697" i="55"/>
  <c r="L697" i="55" s="1"/>
  <c r="K689" i="55"/>
  <c r="L689" i="55" s="1"/>
  <c r="K680" i="55"/>
  <c r="L680" i="55" s="1"/>
  <c r="K672" i="55"/>
  <c r="L672" i="55" s="1"/>
  <c r="K664" i="55"/>
  <c r="L664" i="55" s="1"/>
  <c r="K656" i="55"/>
  <c r="L656" i="55" s="1"/>
  <c r="K564" i="55"/>
  <c r="L564" i="55" s="1"/>
  <c r="K551" i="55"/>
  <c r="L551" i="55" s="1"/>
  <c r="K506" i="55"/>
  <c r="L506" i="55" s="1"/>
  <c r="K471" i="55"/>
  <c r="L471" i="55" s="1"/>
  <c r="K424" i="55"/>
  <c r="L424" i="55" s="1"/>
  <c r="K521" i="55"/>
  <c r="L521" i="55" s="1"/>
  <c r="K513" i="55"/>
  <c r="L513" i="55" s="1"/>
  <c r="K505" i="55"/>
  <c r="L505" i="55" s="1"/>
  <c r="K435" i="55"/>
  <c r="L435" i="55" s="1"/>
  <c r="K525" i="55"/>
  <c r="L525" i="55" s="1"/>
  <c r="K526" i="55"/>
  <c r="L526" i="55" s="1"/>
  <c r="K510" i="55"/>
  <c r="L510" i="55" s="1"/>
  <c r="K475" i="55"/>
  <c r="L475" i="55" s="1"/>
  <c r="K432" i="55"/>
  <c r="L432" i="55" s="1"/>
  <c r="P43" i="69"/>
  <c r="P343" i="69" l="1"/>
  <c r="J309" i="55" l="1"/>
  <c r="P484" i="16" l="1"/>
  <c r="P611" i="69"/>
  <c r="P227" i="16" l="1"/>
  <c r="P179" i="16"/>
  <c r="P95" i="16"/>
  <c r="O290" i="55" l="1"/>
  <c r="D298" i="55"/>
  <c r="F298" i="55" s="1"/>
  <c r="G298" i="55" s="1"/>
  <c r="K298" i="55"/>
  <c r="L298" i="55" s="1"/>
  <c r="B5" i="61" l="1"/>
  <c r="P548" i="16" l="1"/>
  <c r="P552" i="16"/>
  <c r="P460" i="16" l="1"/>
  <c r="P560" i="16"/>
  <c r="K291" i="55" l="1"/>
  <c r="P623" i="69" l="1"/>
  <c r="P619" i="69"/>
  <c r="P615" i="69"/>
  <c r="P607" i="69"/>
  <c r="P603" i="69"/>
  <c r="P599" i="69"/>
  <c r="P595" i="69"/>
  <c r="P591" i="69"/>
  <c r="P587" i="69"/>
  <c r="P583" i="69"/>
  <c r="P579" i="69"/>
  <c r="P572" i="69"/>
  <c r="P568" i="69"/>
  <c r="P564" i="69"/>
  <c r="P560" i="69"/>
  <c r="P556" i="69"/>
  <c r="P552" i="69"/>
  <c r="P548" i="69"/>
  <c r="P544" i="69"/>
  <c r="P540" i="69"/>
  <c r="P536" i="69"/>
  <c r="P532" i="69"/>
  <c r="P528" i="69"/>
  <c r="P524" i="69"/>
  <c r="P520" i="69"/>
  <c r="P516" i="69"/>
  <c r="P512" i="69"/>
  <c r="P508" i="69"/>
  <c r="P504" i="69"/>
  <c r="P500" i="69"/>
  <c r="P496" i="69"/>
  <c r="P492" i="69"/>
  <c r="P488" i="69"/>
  <c r="P484" i="69"/>
  <c r="P480" i="69"/>
  <c r="P476" i="69"/>
  <c r="P472" i="69"/>
  <c r="P468" i="69"/>
  <c r="P464" i="69"/>
  <c r="P460" i="69"/>
  <c r="P456" i="69"/>
  <c r="P452" i="69"/>
  <c r="P448" i="69"/>
  <c r="P444" i="69"/>
  <c r="P440" i="69"/>
  <c r="P436" i="69"/>
  <c r="P432" i="69"/>
  <c r="P428" i="69"/>
  <c r="P424" i="69"/>
  <c r="P420" i="69"/>
  <c r="P416" i="69"/>
  <c r="P412" i="69"/>
  <c r="P408" i="69"/>
  <c r="P403" i="69"/>
  <c r="P399" i="69"/>
  <c r="P395" i="69"/>
  <c r="P391" i="69"/>
  <c r="P387" i="69"/>
  <c r="P383" i="69"/>
  <c r="P379" i="69"/>
  <c r="P375" i="69"/>
  <c r="P371" i="69"/>
  <c r="P367" i="69"/>
  <c r="P355" i="69"/>
  <c r="P351" i="69"/>
  <c r="P347" i="69"/>
  <c r="P339" i="69"/>
  <c r="P335" i="69"/>
  <c r="P331" i="69"/>
  <c r="P327" i="69"/>
  <c r="P323" i="69"/>
  <c r="P319" i="69"/>
  <c r="P315" i="69"/>
  <c r="P307" i="69"/>
  <c r="P303" i="69"/>
  <c r="P299" i="69"/>
  <c r="P295" i="69"/>
  <c r="P291" i="69"/>
  <c r="P287" i="69"/>
  <c r="P283" i="69"/>
  <c r="P275" i="69"/>
  <c r="P271" i="69"/>
  <c r="P267" i="69"/>
  <c r="P263" i="69"/>
  <c r="P259" i="69"/>
  <c r="P255" i="69"/>
  <c r="P251" i="69"/>
  <c r="P247" i="69"/>
  <c r="P243" i="69"/>
  <c r="P239" i="69"/>
  <c r="P235" i="69"/>
  <c r="P231" i="69"/>
  <c r="P223" i="69"/>
  <c r="P219" i="69"/>
  <c r="P215" i="69"/>
  <c r="P211" i="69"/>
  <c r="P207" i="69"/>
  <c r="P203" i="69"/>
  <c r="P199" i="69"/>
  <c r="P195" i="69"/>
  <c r="P191" i="69"/>
  <c r="P187" i="69"/>
  <c r="P183" i="69"/>
  <c r="P175" i="69"/>
  <c r="P171" i="69"/>
  <c r="P167" i="69"/>
  <c r="P163" i="69"/>
  <c r="P159" i="69"/>
  <c r="P155" i="69"/>
  <c r="P151" i="69"/>
  <c r="P147" i="69"/>
  <c r="P143" i="69"/>
  <c r="P139" i="69"/>
  <c r="P135" i="69"/>
  <c r="P131" i="69"/>
  <c r="P127" i="69"/>
  <c r="P123" i="69"/>
  <c r="P119" i="69"/>
  <c r="P115" i="69"/>
  <c r="P111" i="69"/>
  <c r="P107" i="69"/>
  <c r="P103" i="69"/>
  <c r="P99" i="69"/>
  <c r="P95" i="69"/>
  <c r="P91" i="69"/>
  <c r="P87" i="69"/>
  <c r="P83" i="69"/>
  <c r="P79" i="69"/>
  <c r="P75" i="69"/>
  <c r="P71" i="69"/>
  <c r="P67" i="69"/>
  <c r="P63" i="69"/>
  <c r="P59" i="69"/>
  <c r="P55" i="69"/>
  <c r="P51" i="69"/>
  <c r="P47" i="69"/>
  <c r="P39" i="69"/>
  <c r="P35" i="69"/>
  <c r="P31" i="69"/>
  <c r="P27" i="69"/>
  <c r="P23" i="69"/>
  <c r="P19" i="69"/>
  <c r="P15" i="69"/>
  <c r="P11" i="69"/>
  <c r="P7" i="69"/>
  <c r="B2" i="69" l="1"/>
  <c r="P295" i="16"/>
  <c r="P15" i="16" l="1"/>
  <c r="P267" i="16" l="1"/>
  <c r="P39" i="16" l="1"/>
  <c r="P7" i="16" l="1"/>
  <c r="P347" i="16" l="1"/>
  <c r="P363" i="16" l="1"/>
  <c r="P251" i="16" l="1"/>
  <c r="P335" i="16" l="1"/>
  <c r="P392" i="16" l="1"/>
  <c r="P396" i="16"/>
  <c r="A5" i="52" l="1"/>
  <c r="I9" i="52" s="1"/>
  <c r="P307" i="16" l="1"/>
  <c r="P603" i="16" l="1"/>
  <c r="P279" i="16"/>
  <c r="A5" i="62" l="1"/>
  <c r="H6" i="62" s="1"/>
  <c r="D13" i="62"/>
  <c r="P617" i="16" l="1"/>
  <c r="P444" i="16"/>
  <c r="P620" i="16"/>
  <c r="P331" i="16" l="1"/>
  <c r="P339" i="16"/>
  <c r="P599" i="16" l="1"/>
  <c r="P595" i="16"/>
  <c r="P452" i="16" l="1"/>
  <c r="P591" i="16" l="1"/>
  <c r="D16" i="14" l="1"/>
  <c r="A8" i="14" l="1"/>
  <c r="G9" i="14" s="1"/>
  <c r="D40" i="17"/>
  <c r="A32" i="17"/>
  <c r="G33" i="17" s="1"/>
  <c r="D12" i="15"/>
  <c r="A4" i="15"/>
  <c r="G5" i="15" l="1"/>
  <c r="D10" i="18"/>
  <c r="A2" i="18"/>
  <c r="I6" i="18" s="1"/>
  <c r="A4" i="13"/>
  <c r="D12" i="13" l="1"/>
  <c r="I8" i="13"/>
  <c r="D13" i="52" l="1"/>
  <c r="F66" i="51" l="1"/>
  <c r="H4" i="51" s="1"/>
  <c r="K12" i="58"/>
  <c r="G7" i="58" s="1"/>
  <c r="P587" i="16" l="1"/>
  <c r="K20" i="6" l="1"/>
  <c r="K24" i="6"/>
  <c r="K28" i="6"/>
  <c r="K32" i="6"/>
  <c r="K36" i="6"/>
  <c r="K40" i="6"/>
  <c r="K44" i="6"/>
  <c r="K48" i="6"/>
  <c r="K52" i="6"/>
  <c r="K56" i="6"/>
  <c r="K60" i="6"/>
  <c r="K64" i="6"/>
  <c r="K68" i="6"/>
  <c r="K72" i="6"/>
  <c r="K76" i="6"/>
  <c r="K80" i="6"/>
  <c r="K84" i="6"/>
  <c r="K88" i="6"/>
  <c r="K92" i="6"/>
  <c r="K96" i="6"/>
  <c r="K100" i="6"/>
  <c r="K104" i="6"/>
  <c r="K108" i="6"/>
  <c r="K112" i="6"/>
  <c r="K116" i="6"/>
  <c r="K120" i="6"/>
  <c r="K124" i="6"/>
  <c r="K128" i="6"/>
  <c r="K132" i="6"/>
  <c r="K136" i="6"/>
  <c r="K140" i="6"/>
  <c r="K144" i="6"/>
  <c r="K148" i="6"/>
  <c r="K152" i="6"/>
  <c r="K156" i="6"/>
  <c r="K160" i="6"/>
  <c r="K164" i="6"/>
  <c r="K168" i="6"/>
  <c r="K172" i="6"/>
  <c r="K176" i="6"/>
  <c r="K180" i="6"/>
  <c r="K184" i="6"/>
  <c r="K188" i="6"/>
  <c r="K192" i="6"/>
  <c r="K196" i="6"/>
  <c r="K200" i="6"/>
  <c r="K204" i="6"/>
  <c r="K208" i="6"/>
  <c r="K212" i="6"/>
  <c r="K216" i="6"/>
  <c r="K220" i="6"/>
  <c r="K224" i="6"/>
  <c r="K228" i="6"/>
  <c r="K232" i="6"/>
  <c r="K236" i="6"/>
  <c r="K240" i="6"/>
  <c r="K244" i="6"/>
  <c r="K248" i="6"/>
  <c r="K252" i="6"/>
  <c r="K256" i="6"/>
  <c r="K260" i="6"/>
  <c r="K264" i="6"/>
  <c r="K268" i="6"/>
  <c r="K272" i="6"/>
  <c r="K276" i="6"/>
  <c r="K280" i="6"/>
  <c r="K284" i="6"/>
  <c r="K288" i="6"/>
  <c r="K292" i="6"/>
  <c r="K296" i="6"/>
  <c r="K300" i="6"/>
  <c r="K304" i="6"/>
  <c r="K308" i="6"/>
  <c r="K312" i="6"/>
  <c r="K316" i="6"/>
  <c r="K320" i="6"/>
  <c r="K324" i="6"/>
  <c r="K328" i="6"/>
  <c r="K332" i="6"/>
  <c r="K336" i="6"/>
  <c r="K340" i="6"/>
  <c r="K344" i="6"/>
  <c r="K348" i="6"/>
  <c r="K352" i="6"/>
  <c r="K356" i="6"/>
  <c r="K360" i="6"/>
  <c r="K364" i="6"/>
  <c r="K368" i="6"/>
  <c r="K372" i="6"/>
  <c r="K376" i="6"/>
  <c r="K380" i="6"/>
  <c r="K384" i="6"/>
  <c r="K388" i="6"/>
  <c r="K392" i="6"/>
  <c r="K396" i="6"/>
  <c r="K400" i="6"/>
  <c r="K404" i="6"/>
  <c r="K408" i="6"/>
  <c r="K412" i="6"/>
  <c r="K416" i="6"/>
  <c r="K420" i="6"/>
  <c r="K424" i="6"/>
  <c r="K428" i="6"/>
  <c r="K432" i="6"/>
  <c r="K436" i="6"/>
  <c r="K440" i="6"/>
  <c r="K444" i="6"/>
  <c r="K448" i="6"/>
  <c r="K452" i="6"/>
  <c r="K456" i="6"/>
  <c r="K460" i="6"/>
  <c r="K464" i="6"/>
  <c r="K468" i="6"/>
  <c r="K472" i="6"/>
  <c r="K476" i="6"/>
  <c r="K480" i="6"/>
  <c r="K484" i="6"/>
  <c r="K488" i="6"/>
  <c r="K492" i="6"/>
  <c r="K496" i="6"/>
  <c r="K500" i="6"/>
  <c r="K504" i="6"/>
  <c r="K508" i="6"/>
  <c r="K512" i="6"/>
  <c r="K516" i="6"/>
  <c r="K520" i="6"/>
  <c r="K524" i="6"/>
  <c r="K528" i="6"/>
  <c r="K532" i="6"/>
  <c r="K536" i="6"/>
  <c r="K540" i="6"/>
  <c r="K544" i="6"/>
  <c r="K548" i="6"/>
  <c r="K552" i="6"/>
  <c r="K556" i="6"/>
  <c r="K560" i="6"/>
  <c r="K564" i="6"/>
  <c r="K568" i="6"/>
  <c r="K572" i="6"/>
  <c r="K576" i="6"/>
  <c r="K8" i="6"/>
  <c r="K12" i="6"/>
  <c r="K16" i="6"/>
  <c r="K4" i="6"/>
  <c r="P567" i="16"/>
  <c r="P571" i="16"/>
  <c r="P575" i="16"/>
  <c r="P579" i="16"/>
  <c r="P583" i="16"/>
  <c r="P563" i="16"/>
  <c r="P319" i="16"/>
  <c r="P323" i="16"/>
  <c r="P327" i="16"/>
  <c r="P343" i="16"/>
  <c r="P351" i="16"/>
  <c r="P355" i="16"/>
  <c r="P359" i="16"/>
  <c r="P367" i="16"/>
  <c r="P371" i="16"/>
  <c r="P375" i="16"/>
  <c r="P379" i="16"/>
  <c r="P383" i="16"/>
  <c r="P387" i="16"/>
  <c r="P400" i="16"/>
  <c r="P404" i="16"/>
  <c r="P408" i="16"/>
  <c r="P412" i="16"/>
  <c r="P416" i="16"/>
  <c r="P420" i="16"/>
  <c r="P424" i="16"/>
  <c r="P428" i="16"/>
  <c r="P432" i="16"/>
  <c r="P436" i="16"/>
  <c r="P440" i="16"/>
  <c r="P448" i="16"/>
  <c r="P456" i="16"/>
  <c r="P464" i="16"/>
  <c r="P468" i="16"/>
  <c r="P472" i="16"/>
  <c r="P476" i="16"/>
  <c r="P480" i="16"/>
  <c r="P488" i="16"/>
  <c r="P492" i="16"/>
  <c r="P496" i="16"/>
  <c r="P500" i="16"/>
  <c r="P504" i="16"/>
  <c r="P508" i="16"/>
  <c r="P512" i="16"/>
  <c r="P516" i="16"/>
  <c r="P520" i="16"/>
  <c r="P524" i="16"/>
  <c r="P528" i="16"/>
  <c r="P532" i="16"/>
  <c r="P536" i="16"/>
  <c r="P540" i="16"/>
  <c r="P544" i="16"/>
  <c r="P556" i="16"/>
  <c r="P11" i="16"/>
  <c r="P19" i="16"/>
  <c r="P23" i="16"/>
  <c r="P27" i="16"/>
  <c r="P31" i="16"/>
  <c r="P35" i="16"/>
  <c r="P43" i="16"/>
  <c r="P47" i="16"/>
  <c r="P51" i="16"/>
  <c r="P55" i="16"/>
  <c r="P59" i="16"/>
  <c r="P63" i="16"/>
  <c r="P67" i="16"/>
  <c r="P71" i="16"/>
  <c r="P75" i="16"/>
  <c r="P79" i="16"/>
  <c r="P83" i="16"/>
  <c r="P87" i="16"/>
  <c r="P91" i="16"/>
  <c r="P99" i="16"/>
  <c r="P103" i="16"/>
  <c r="P107" i="16"/>
  <c r="P111" i="16"/>
  <c r="P115" i="16"/>
  <c r="P119" i="16"/>
  <c r="P123" i="16"/>
  <c r="P127" i="16"/>
  <c r="P131" i="16"/>
  <c r="P135" i="16"/>
  <c r="P139" i="16"/>
  <c r="P143" i="16"/>
  <c r="P147" i="16"/>
  <c r="P151" i="16"/>
  <c r="P155" i="16"/>
  <c r="P159" i="16"/>
  <c r="P163" i="16"/>
  <c r="P167" i="16"/>
  <c r="P171" i="16"/>
  <c r="P175" i="16"/>
  <c r="P183" i="16"/>
  <c r="P187" i="16"/>
  <c r="P191" i="16"/>
  <c r="P195" i="16"/>
  <c r="P199" i="16"/>
  <c r="P203" i="16"/>
  <c r="P207" i="16"/>
  <c r="P211" i="16"/>
  <c r="P215" i="16"/>
  <c r="P219" i="16"/>
  <c r="P223" i="16"/>
  <c r="P231" i="16"/>
  <c r="P235" i="16"/>
  <c r="P239" i="16"/>
  <c r="P243" i="16"/>
  <c r="P247" i="16"/>
  <c r="P255" i="16"/>
  <c r="P259" i="16"/>
  <c r="P263" i="16"/>
  <c r="P271" i="16"/>
  <c r="P275" i="16"/>
  <c r="P283" i="16"/>
  <c r="P287" i="16"/>
  <c r="P291" i="16"/>
  <c r="P299" i="16"/>
  <c r="P303" i="16"/>
  <c r="P311" i="16"/>
  <c r="P315" i="16"/>
  <c r="P3" i="16"/>
  <c r="B2" i="16" l="1"/>
  <c r="C2" i="6"/>
  <c r="D208" i="55"/>
  <c r="F208" i="55" s="1"/>
  <c r="G208" i="55" s="1"/>
  <c r="I208" i="55"/>
  <c r="J208" i="55"/>
  <c r="D209" i="55"/>
  <c r="F209" i="55" s="1"/>
  <c r="G209" i="55" s="1"/>
  <c r="I209" i="55"/>
  <c r="D210" i="55"/>
  <c r="F210" i="55" s="1"/>
  <c r="G210" i="55" s="1"/>
  <c r="I210" i="55"/>
  <c r="J210" i="55"/>
  <c r="D211" i="55"/>
  <c r="F211" i="55" s="1"/>
  <c r="G211" i="55" s="1"/>
  <c r="I211" i="55"/>
  <c r="J211" i="55"/>
  <c r="D212" i="55"/>
  <c r="F212" i="55" s="1"/>
  <c r="G212" i="55" s="1"/>
  <c r="I212" i="55"/>
  <c r="J212" i="55"/>
  <c r="D213" i="55"/>
  <c r="F213" i="55" s="1"/>
  <c r="G213" i="55" s="1"/>
  <c r="I213" i="55"/>
  <c r="D214" i="55"/>
  <c r="F214" i="55" s="1"/>
  <c r="G214" i="55" s="1"/>
  <c r="I214" i="55"/>
  <c r="J214" i="55"/>
  <c r="D215" i="55"/>
  <c r="F215" i="55" s="1"/>
  <c r="G215" i="55" s="1"/>
  <c r="I215" i="55"/>
  <c r="J215" i="55"/>
  <c r="D216" i="55"/>
  <c r="F216" i="55" s="1"/>
  <c r="G216" i="55" s="1"/>
  <c r="I216" i="55"/>
  <c r="J216" i="55"/>
  <c r="D217" i="55"/>
  <c r="F217" i="55" s="1"/>
  <c r="G217" i="55" s="1"/>
  <c r="I217" i="55"/>
  <c r="D218" i="55"/>
  <c r="F218" i="55" s="1"/>
  <c r="G218" i="55" s="1"/>
  <c r="I218" i="55"/>
  <c r="J218" i="55"/>
  <c r="D219" i="55"/>
  <c r="F219" i="55" s="1"/>
  <c r="G219" i="55" s="1"/>
  <c r="I219" i="55"/>
  <c r="J219" i="55"/>
  <c r="D220" i="55"/>
  <c r="F220" i="55" s="1"/>
  <c r="G220" i="55" s="1"/>
  <c r="I220" i="55"/>
  <c r="K220" i="55" s="1"/>
  <c r="D221" i="55"/>
  <c r="F221" i="55" s="1"/>
  <c r="G221" i="55" s="1"/>
  <c r="I221" i="55"/>
  <c r="D222" i="55"/>
  <c r="F222" i="55" s="1"/>
  <c r="G222" i="55" s="1"/>
  <c r="I222" i="55"/>
  <c r="J222" i="55"/>
  <c r="D223" i="55"/>
  <c r="F223" i="55" s="1"/>
  <c r="G223" i="55" s="1"/>
  <c r="I223" i="55"/>
  <c r="J223" i="55"/>
  <c r="D224" i="55"/>
  <c r="F224" i="55" s="1"/>
  <c r="G224" i="55" s="1"/>
  <c r="I224" i="55"/>
  <c r="J224" i="55"/>
  <c r="D225" i="55"/>
  <c r="F225" i="55" s="1"/>
  <c r="G225" i="55" s="1"/>
  <c r="I225" i="55"/>
  <c r="J225" i="55"/>
  <c r="D226" i="55"/>
  <c r="F226" i="55" s="1"/>
  <c r="G226" i="55" s="1"/>
  <c r="I226" i="55"/>
  <c r="J226" i="55"/>
  <c r="D227" i="55"/>
  <c r="F227" i="55" s="1"/>
  <c r="G227" i="55" s="1"/>
  <c r="I227" i="55"/>
  <c r="D228" i="55"/>
  <c r="F228" i="55" s="1"/>
  <c r="G228" i="55" s="1"/>
  <c r="I228" i="55"/>
  <c r="D229" i="55"/>
  <c r="F229" i="55" s="1"/>
  <c r="G229" i="55" s="1"/>
  <c r="I229" i="55"/>
  <c r="D230" i="55"/>
  <c r="F230" i="55" s="1"/>
  <c r="G230" i="55" s="1"/>
  <c r="I230" i="55"/>
  <c r="D231" i="55"/>
  <c r="F231" i="55" s="1"/>
  <c r="G231" i="55" s="1"/>
  <c r="I231" i="55"/>
  <c r="D232" i="55"/>
  <c r="F232" i="55" s="1"/>
  <c r="G232" i="55" s="1"/>
  <c r="I232" i="55"/>
  <c r="J232" i="55"/>
  <c r="D233" i="55"/>
  <c r="F233" i="55" s="1"/>
  <c r="G233" i="55" s="1"/>
  <c r="I233" i="55"/>
  <c r="D234" i="55"/>
  <c r="F234" i="55" s="1"/>
  <c r="G234" i="55" s="1"/>
  <c r="I234" i="55"/>
  <c r="D235" i="55"/>
  <c r="F235" i="55" s="1"/>
  <c r="G235" i="55" s="1"/>
  <c r="I235" i="55"/>
  <c r="D236" i="55"/>
  <c r="F236" i="55" s="1"/>
  <c r="G236" i="55" s="1"/>
  <c r="I236" i="55"/>
  <c r="D237" i="55"/>
  <c r="F237" i="55" s="1"/>
  <c r="G237" i="55" s="1"/>
  <c r="I237" i="55"/>
  <c r="J237" i="55"/>
  <c r="D238" i="55"/>
  <c r="F238" i="55" s="1"/>
  <c r="G238" i="55" s="1"/>
  <c r="I238" i="55"/>
  <c r="D239" i="55"/>
  <c r="F239" i="55" s="1"/>
  <c r="G239" i="55" s="1"/>
  <c r="I239" i="55"/>
  <c r="D240" i="55"/>
  <c r="F240" i="55" s="1"/>
  <c r="G240" i="55" s="1"/>
  <c r="I240" i="55"/>
  <c r="D241" i="55"/>
  <c r="F241" i="55" s="1"/>
  <c r="G241" i="55" s="1"/>
  <c r="I241" i="55"/>
  <c r="J241" i="55"/>
  <c r="D242" i="55"/>
  <c r="F242" i="55" s="1"/>
  <c r="G242" i="55" s="1"/>
  <c r="I242" i="55"/>
  <c r="D243" i="55"/>
  <c r="F243" i="55" s="1"/>
  <c r="G243" i="55" s="1"/>
  <c r="I243" i="55"/>
  <c r="D244" i="55"/>
  <c r="F244" i="55" s="1"/>
  <c r="G244" i="55" s="1"/>
  <c r="I244" i="55"/>
  <c r="K244" i="55" s="1"/>
  <c r="D245" i="55"/>
  <c r="F245" i="55" s="1"/>
  <c r="G245" i="55" s="1"/>
  <c r="I245" i="55"/>
  <c r="D246" i="55"/>
  <c r="F246" i="55" s="1"/>
  <c r="G246" i="55" s="1"/>
  <c r="I246" i="55"/>
  <c r="J246" i="55"/>
  <c r="D247" i="55"/>
  <c r="F247" i="55" s="1"/>
  <c r="G247" i="55" s="1"/>
  <c r="I247" i="55"/>
  <c r="J247" i="55"/>
  <c r="D248" i="55"/>
  <c r="F248" i="55" s="1"/>
  <c r="G248" i="55" s="1"/>
  <c r="I248" i="55"/>
  <c r="D249" i="55"/>
  <c r="F249" i="55" s="1"/>
  <c r="G249" i="55" s="1"/>
  <c r="I249" i="55"/>
  <c r="J249" i="55"/>
  <c r="D250" i="55"/>
  <c r="F250" i="55" s="1"/>
  <c r="G250" i="55" s="1"/>
  <c r="I250" i="55"/>
  <c r="J250" i="55"/>
  <c r="D251" i="55"/>
  <c r="F251" i="55" s="1"/>
  <c r="G251" i="55" s="1"/>
  <c r="I251" i="55"/>
  <c r="D252" i="55"/>
  <c r="F252" i="55" s="1"/>
  <c r="G252" i="55" s="1"/>
  <c r="I252" i="55"/>
  <c r="J252" i="55"/>
  <c r="D253" i="55"/>
  <c r="F253" i="55" s="1"/>
  <c r="G253" i="55" s="1"/>
  <c r="I253" i="55"/>
  <c r="J253" i="55"/>
  <c r="D254" i="55"/>
  <c r="F254" i="55" s="1"/>
  <c r="G254" i="55" s="1"/>
  <c r="I254" i="55"/>
  <c r="D255" i="55"/>
  <c r="F255" i="55" s="1"/>
  <c r="G255" i="55" s="1"/>
  <c r="I255" i="55"/>
  <c r="J255" i="55"/>
  <c r="D256" i="55"/>
  <c r="F256" i="55" s="1"/>
  <c r="G256" i="55" s="1"/>
  <c r="I256" i="55"/>
  <c r="J256" i="55"/>
  <c r="D257" i="55"/>
  <c r="F257" i="55" s="1"/>
  <c r="G257" i="55" s="1"/>
  <c r="I257" i="55"/>
  <c r="J257" i="55"/>
  <c r="D258" i="55"/>
  <c r="F258" i="55" s="1"/>
  <c r="G258" i="55" s="1"/>
  <c r="I258" i="55"/>
  <c r="D259" i="55"/>
  <c r="F259" i="55" s="1"/>
  <c r="G259" i="55" s="1"/>
  <c r="I259" i="55"/>
  <c r="D260" i="55"/>
  <c r="F260" i="55" s="1"/>
  <c r="G260" i="55" s="1"/>
  <c r="I260" i="55"/>
  <c r="J260" i="55"/>
  <c r="D261" i="55"/>
  <c r="F261" i="55" s="1"/>
  <c r="G261" i="55" s="1"/>
  <c r="I261" i="55"/>
  <c r="D262" i="55"/>
  <c r="F262" i="55" s="1"/>
  <c r="G262" i="55" s="1"/>
  <c r="I262" i="55"/>
  <c r="D263" i="55"/>
  <c r="F263" i="55" s="1"/>
  <c r="G263" i="55" s="1"/>
  <c r="I263" i="55"/>
  <c r="J263" i="55"/>
  <c r="D264" i="55"/>
  <c r="F264" i="55" s="1"/>
  <c r="G264" i="55" s="1"/>
  <c r="I264" i="55"/>
  <c r="D265" i="55"/>
  <c r="F265" i="55" s="1"/>
  <c r="G265" i="55" s="1"/>
  <c r="I265" i="55"/>
  <c r="J265" i="55"/>
  <c r="D266" i="55"/>
  <c r="F266" i="55" s="1"/>
  <c r="G266" i="55" s="1"/>
  <c r="I266" i="55"/>
  <c r="J266" i="55"/>
  <c r="D267" i="55"/>
  <c r="F267" i="55" s="1"/>
  <c r="G267" i="55" s="1"/>
  <c r="I267" i="55"/>
  <c r="J267" i="55"/>
  <c r="D268" i="55"/>
  <c r="F268" i="55" s="1"/>
  <c r="G268" i="55" s="1"/>
  <c r="I268" i="55"/>
  <c r="J268" i="55"/>
  <c r="D269" i="55"/>
  <c r="F269" i="55" s="1"/>
  <c r="G269" i="55" s="1"/>
  <c r="I269" i="55"/>
  <c r="J269" i="55"/>
  <c r="D270" i="55"/>
  <c r="F270" i="55" s="1"/>
  <c r="G270" i="55" s="1"/>
  <c r="I270" i="55"/>
  <c r="D271" i="55"/>
  <c r="F271" i="55" s="1"/>
  <c r="G271" i="55" s="1"/>
  <c r="I271" i="55"/>
  <c r="J271" i="55"/>
  <c r="D272" i="55"/>
  <c r="F272" i="55" s="1"/>
  <c r="G272" i="55" s="1"/>
  <c r="I272" i="55"/>
  <c r="D275" i="55"/>
  <c r="F275" i="55" s="1"/>
  <c r="G275" i="55" s="1"/>
  <c r="J275" i="55"/>
  <c r="D276" i="55"/>
  <c r="F276" i="55" s="1"/>
  <c r="G276" i="55" s="1"/>
  <c r="J276" i="55"/>
  <c r="D277" i="55"/>
  <c r="F277" i="55" s="1"/>
  <c r="G277" i="55" s="1"/>
  <c r="J277" i="55"/>
  <c r="D278" i="55"/>
  <c r="F278" i="55" s="1"/>
  <c r="G278" i="55" s="1"/>
  <c r="J278" i="55"/>
  <c r="D279" i="55"/>
  <c r="F279" i="55" s="1"/>
  <c r="G279" i="55" s="1"/>
  <c r="J279" i="55"/>
  <c r="D280" i="55"/>
  <c r="F280" i="55" s="1"/>
  <c r="G280" i="55" s="1"/>
  <c r="J280" i="55"/>
  <c r="D281" i="55"/>
  <c r="F281" i="55" s="1"/>
  <c r="G281" i="55" s="1"/>
  <c r="J281" i="55"/>
  <c r="D282" i="55"/>
  <c r="F282" i="55" s="1"/>
  <c r="G282" i="55" s="1"/>
  <c r="J282" i="55"/>
  <c r="D283" i="55"/>
  <c r="F283" i="55" s="1"/>
  <c r="G283" i="55" s="1"/>
  <c r="J283" i="55"/>
  <c r="D285" i="55"/>
  <c r="F285" i="55" s="1"/>
  <c r="G285" i="55" s="1"/>
  <c r="J285" i="55"/>
  <c r="D286" i="55"/>
  <c r="F286" i="55" s="1"/>
  <c r="G286" i="55" s="1"/>
  <c r="D287" i="55"/>
  <c r="F287" i="55" s="1"/>
  <c r="G287" i="55" s="1"/>
  <c r="D288" i="55"/>
  <c r="F288" i="55" s="1"/>
  <c r="G288" i="55" s="1"/>
  <c r="D289" i="55"/>
  <c r="F289" i="55" s="1"/>
  <c r="G289" i="55" s="1"/>
  <c r="J289" i="55"/>
  <c r="D290" i="55"/>
  <c r="F290" i="55" s="1"/>
  <c r="G290" i="55" s="1"/>
  <c r="J290" i="55"/>
  <c r="D291" i="55"/>
  <c r="F291" i="55" s="1"/>
  <c r="G291" i="55" s="1"/>
  <c r="D292" i="55"/>
  <c r="F292" i="55" s="1"/>
  <c r="G292" i="55" s="1"/>
  <c r="J292" i="55"/>
  <c r="D293" i="55"/>
  <c r="F293" i="55" s="1"/>
  <c r="G293" i="55" s="1"/>
  <c r="D294" i="55"/>
  <c r="F294" i="55" s="1"/>
  <c r="G294" i="55" s="1"/>
  <c r="J294" i="55"/>
  <c r="D295" i="55"/>
  <c r="F295" i="55" s="1"/>
  <c r="G295" i="55" s="1"/>
  <c r="D296" i="55"/>
  <c r="F296" i="55" s="1"/>
  <c r="G296" i="55" s="1"/>
  <c r="J296" i="55"/>
  <c r="D297" i="55"/>
  <c r="F297" i="55" s="1"/>
  <c r="G297" i="55" s="1"/>
  <c r="J297" i="55"/>
  <c r="D299" i="55"/>
  <c r="F299" i="55" s="1"/>
  <c r="G299" i="55" s="1"/>
  <c r="D300" i="55"/>
  <c r="F300" i="55" s="1"/>
  <c r="G300" i="55" s="1"/>
  <c r="D301" i="55"/>
  <c r="F301" i="55" s="1"/>
  <c r="G301" i="55" s="1"/>
  <c r="J301" i="55"/>
  <c r="D303" i="55"/>
  <c r="F303" i="55" s="1"/>
  <c r="G303" i="55" s="1"/>
  <c r="D304" i="55"/>
  <c r="F304" i="55" s="1"/>
  <c r="G304" i="55" s="1"/>
  <c r="D305" i="55"/>
  <c r="F305" i="55" s="1"/>
  <c r="G305" i="55" s="1"/>
  <c r="D306" i="55"/>
  <c r="F306" i="55" s="1"/>
  <c r="G306" i="55" s="1"/>
  <c r="D307" i="55"/>
  <c r="F307" i="55" s="1"/>
  <c r="G307" i="55" s="1"/>
  <c r="D308" i="55"/>
  <c r="F308" i="55" s="1"/>
  <c r="G308" i="55" s="1"/>
  <c r="D309" i="55"/>
  <c r="F309" i="55" s="1"/>
  <c r="G309" i="55" s="1"/>
  <c r="D310" i="55"/>
  <c r="F310" i="55" s="1"/>
  <c r="G310" i="55" s="1"/>
  <c r="J310" i="55"/>
  <c r="D311" i="55"/>
  <c r="F311" i="55" s="1"/>
  <c r="G311" i="55" s="1"/>
  <c r="D312" i="55"/>
  <c r="F312" i="55" s="1"/>
  <c r="G312" i="55" s="1"/>
  <c r="D313" i="55"/>
  <c r="F313" i="55" s="1"/>
  <c r="G313" i="55" s="1"/>
  <c r="J313" i="55"/>
  <c r="D314" i="55"/>
  <c r="F314" i="55" s="1"/>
  <c r="G314" i="55" s="1"/>
  <c r="J314" i="55"/>
  <c r="D315" i="55"/>
  <c r="F315" i="55" s="1"/>
  <c r="G315" i="55" s="1"/>
  <c r="J315" i="55"/>
  <c r="D316" i="55"/>
  <c r="F316" i="55" s="1"/>
  <c r="G316" i="55" s="1"/>
  <c r="J316" i="55"/>
  <c r="D317" i="55"/>
  <c r="F317" i="55" s="1"/>
  <c r="G317" i="55" s="1"/>
  <c r="I317" i="55"/>
  <c r="J317" i="55"/>
  <c r="D318" i="55"/>
  <c r="F318" i="55" s="1"/>
  <c r="G318" i="55" s="1"/>
  <c r="D319" i="55"/>
  <c r="F319" i="55" s="1"/>
  <c r="G319" i="55" s="1"/>
  <c r="D320" i="55"/>
  <c r="F320" i="55" s="1"/>
  <c r="G320" i="55" s="1"/>
  <c r="D321" i="55"/>
  <c r="F321" i="55" s="1"/>
  <c r="G321" i="55" s="1"/>
  <c r="D322" i="55"/>
  <c r="F322" i="55" s="1"/>
  <c r="G322" i="55" s="1"/>
  <c r="I322" i="55"/>
  <c r="J322" i="55"/>
  <c r="D323" i="55"/>
  <c r="F323" i="55" s="1"/>
  <c r="G323" i="55" s="1"/>
  <c r="I323" i="55"/>
  <c r="J323" i="55"/>
  <c r="D324" i="55"/>
  <c r="F324" i="55" s="1"/>
  <c r="G324" i="55" s="1"/>
  <c r="I324" i="55"/>
  <c r="J324" i="55"/>
  <c r="D326" i="55"/>
  <c r="F326" i="55" s="1"/>
  <c r="G326" i="55" s="1"/>
  <c r="D327" i="55"/>
  <c r="F327" i="55" s="1"/>
  <c r="G327" i="55" s="1"/>
  <c r="D328" i="55"/>
  <c r="F328" i="55" s="1"/>
  <c r="G328" i="55" s="1"/>
  <c r="D329" i="55"/>
  <c r="F329" i="55" s="1"/>
  <c r="G329" i="55" s="1"/>
  <c r="I329" i="55"/>
  <c r="J329" i="55"/>
  <c r="D330" i="55"/>
  <c r="F330" i="55" s="1"/>
  <c r="G330" i="55" s="1"/>
  <c r="D331" i="55"/>
  <c r="F331" i="55" s="1"/>
  <c r="G331" i="55" s="1"/>
  <c r="I331" i="55"/>
  <c r="J331" i="55"/>
  <c r="D332" i="55"/>
  <c r="F332" i="55" s="1"/>
  <c r="G332" i="55" s="1"/>
  <c r="D333" i="55"/>
  <c r="F333" i="55" s="1"/>
  <c r="G333" i="55" s="1"/>
  <c r="I333" i="55"/>
  <c r="J333" i="55"/>
  <c r="D334" i="55"/>
  <c r="F334" i="55" s="1"/>
  <c r="G334" i="55" s="1"/>
  <c r="I334" i="55"/>
  <c r="J334" i="55"/>
  <c r="D335" i="55"/>
  <c r="F335" i="55" s="1"/>
  <c r="G335" i="55" s="1"/>
  <c r="D336" i="55"/>
  <c r="F336" i="55" s="1"/>
  <c r="G336" i="55" s="1"/>
  <c r="I336" i="55"/>
  <c r="J336" i="55"/>
  <c r="D337" i="55"/>
  <c r="F337" i="55" s="1"/>
  <c r="G337" i="55" s="1"/>
  <c r="D338" i="55"/>
  <c r="F338" i="55" s="1"/>
  <c r="G338" i="55" s="1"/>
  <c r="D339" i="55"/>
  <c r="F339" i="55" s="1"/>
  <c r="G339" i="55" s="1"/>
  <c r="D340" i="55"/>
  <c r="F340" i="55" s="1"/>
  <c r="G340" i="55" s="1"/>
  <c r="D341" i="55"/>
  <c r="F341" i="55" s="1"/>
  <c r="G341" i="55" s="1"/>
  <c r="I341" i="55"/>
  <c r="J341" i="55"/>
  <c r="D342" i="55"/>
  <c r="F342" i="55" s="1"/>
  <c r="G342" i="55" s="1"/>
  <c r="I342" i="55"/>
  <c r="J342" i="55"/>
  <c r="D343" i="55"/>
  <c r="F343" i="55" s="1"/>
  <c r="G343" i="55" s="1"/>
  <c r="I343" i="55"/>
  <c r="J343" i="55"/>
  <c r="D344" i="55"/>
  <c r="F344" i="55" s="1"/>
  <c r="G344" i="55" s="1"/>
  <c r="D345" i="55"/>
  <c r="F345" i="55" s="1"/>
  <c r="G345" i="55" s="1"/>
  <c r="D346" i="55"/>
  <c r="F346" i="55" s="1"/>
  <c r="G346" i="55" s="1"/>
  <c r="D347" i="55"/>
  <c r="F347" i="55" s="1"/>
  <c r="G347" i="55" s="1"/>
  <c r="D348" i="55"/>
  <c r="F348" i="55" s="1"/>
  <c r="G348" i="55" s="1"/>
  <c r="D349" i="55"/>
  <c r="F349" i="55" s="1"/>
  <c r="G349" i="55" s="1"/>
  <c r="D350" i="55"/>
  <c r="F350" i="55" s="1"/>
  <c r="G350" i="55" s="1"/>
  <c r="I350" i="55"/>
  <c r="J350" i="55"/>
  <c r="D351" i="55"/>
  <c r="F351" i="55" s="1"/>
  <c r="G351" i="55" s="1"/>
  <c r="I351" i="55"/>
  <c r="J351" i="55"/>
  <c r="D352" i="55"/>
  <c r="F352" i="55" s="1"/>
  <c r="G352" i="55" s="1"/>
  <c r="I352" i="55"/>
  <c r="J352" i="55"/>
  <c r="D353" i="55"/>
  <c r="F353" i="55" s="1"/>
  <c r="G353" i="55" s="1"/>
  <c r="I353" i="55"/>
  <c r="J353" i="55"/>
  <c r="D207" i="55"/>
  <c r="F207" i="55" s="1"/>
  <c r="G207" i="55" s="1"/>
  <c r="I207" i="55"/>
  <c r="J207" i="55"/>
  <c r="D204" i="55"/>
  <c r="F204" i="55" s="1"/>
  <c r="G204" i="55" s="1"/>
  <c r="I204" i="55"/>
  <c r="J204" i="55"/>
  <c r="D205" i="55"/>
  <c r="F205" i="55" s="1"/>
  <c r="G205" i="55" s="1"/>
  <c r="I205" i="55"/>
  <c r="J205" i="55"/>
  <c r="D206" i="55"/>
  <c r="F206" i="55" s="1"/>
  <c r="G206" i="55" s="1"/>
  <c r="I206" i="55"/>
  <c r="J206" i="55"/>
  <c r="K285" i="55" l="1"/>
  <c r="L285" i="55" s="1"/>
  <c r="O288" i="55"/>
  <c r="K283" i="55"/>
  <c r="L283" i="55" s="1"/>
  <c r="K282" i="55"/>
  <c r="L282" i="55" s="1"/>
  <c r="K238" i="55"/>
  <c r="L238" i="55" s="1"/>
  <c r="K234" i="55"/>
  <c r="L234" i="55" s="1"/>
  <c r="K350" i="55"/>
  <c r="L350" i="55" s="1"/>
  <c r="K345" i="55"/>
  <c r="L345" i="55" s="1"/>
  <c r="K341" i="55"/>
  <c r="L341" i="55" s="1"/>
  <c r="K337" i="55"/>
  <c r="L337" i="55" s="1"/>
  <c r="K333" i="55"/>
  <c r="L333" i="55" s="1"/>
  <c r="K329" i="55"/>
  <c r="L329" i="55" s="1"/>
  <c r="K322" i="55"/>
  <c r="L322" i="55" s="1"/>
  <c r="L319" i="55"/>
  <c r="K315" i="55"/>
  <c r="L315" i="55" s="1"/>
  <c r="K311" i="55"/>
  <c r="L311" i="55" s="1"/>
  <c r="K307" i="55"/>
  <c r="L307" i="55" s="1"/>
  <c r="K303" i="55"/>
  <c r="L303" i="55" s="1"/>
  <c r="K299" i="55"/>
  <c r="L299" i="55" s="1"/>
  <c r="K295" i="55"/>
  <c r="L295" i="55" s="1"/>
  <c r="K293" i="55"/>
  <c r="L293" i="55" s="1"/>
  <c r="K290" i="55"/>
  <c r="L290" i="55" s="1"/>
  <c r="K287" i="55"/>
  <c r="L287" i="55" s="1"/>
  <c r="K286" i="55"/>
  <c r="L286" i="55" s="1"/>
  <c r="K281" i="55"/>
  <c r="L281" i="55" s="1"/>
  <c r="K275" i="55"/>
  <c r="L275" i="55" s="1"/>
  <c r="K253" i="55"/>
  <c r="L253" i="55" s="1"/>
  <c r="K252" i="55"/>
  <c r="L252" i="55" s="1"/>
  <c r="K222" i="55"/>
  <c r="L222" i="55" s="1"/>
  <c r="K351" i="55"/>
  <c r="L351" i="55" s="1"/>
  <c r="K276" i="55"/>
  <c r="L276" i="55" s="1"/>
  <c r="K272" i="55"/>
  <c r="L272" i="55" s="1"/>
  <c r="K268" i="55"/>
  <c r="L268" i="55" s="1"/>
  <c r="K266" i="55"/>
  <c r="L266" i="55" s="1"/>
  <c r="K264" i="55"/>
  <c r="L264" i="55" s="1"/>
  <c r="K263" i="55"/>
  <c r="L263" i="55" s="1"/>
  <c r="K261" i="55"/>
  <c r="L261" i="55" s="1"/>
  <c r="K251" i="55"/>
  <c r="L251" i="55" s="1"/>
  <c r="L244" i="55"/>
  <c r="K228" i="55"/>
  <c r="L228" i="55" s="1"/>
  <c r="K226" i="55"/>
  <c r="L226" i="55" s="1"/>
  <c r="K346" i="55"/>
  <c r="L346" i="55" s="1"/>
  <c r="K342" i="55"/>
  <c r="L342" i="55" s="1"/>
  <c r="K338" i="55"/>
  <c r="L338" i="55" s="1"/>
  <c r="K334" i="55"/>
  <c r="L334" i="55" s="1"/>
  <c r="K330" i="55"/>
  <c r="L330" i="55" s="1"/>
  <c r="L326" i="55"/>
  <c r="L320" i="55"/>
  <c r="K316" i="55"/>
  <c r="L316" i="55" s="1"/>
  <c r="K312" i="55"/>
  <c r="L312" i="55" s="1"/>
  <c r="K308" i="55"/>
  <c r="L308" i="55" s="1"/>
  <c r="K304" i="55"/>
  <c r="L304" i="55" s="1"/>
  <c r="K300" i="55"/>
  <c r="L300" i="55" s="1"/>
  <c r="K296" i="55"/>
  <c r="L296" i="55" s="1"/>
  <c r="K288" i="55"/>
  <c r="L288" i="55" s="1"/>
  <c r="K271" i="55"/>
  <c r="L271" i="55" s="1"/>
  <c r="K269" i="55"/>
  <c r="L269" i="55" s="1"/>
  <c r="K265" i="55"/>
  <c r="L265" i="55" s="1"/>
  <c r="K258" i="55"/>
  <c r="L258" i="55" s="1"/>
  <c r="K254" i="55"/>
  <c r="L254" i="55" s="1"/>
  <c r="K250" i="55"/>
  <c r="L250" i="55" s="1"/>
  <c r="K246" i="55"/>
  <c r="L246" i="55" s="1"/>
  <c r="L220" i="55"/>
  <c r="K214" i="55"/>
  <c r="L214" i="55" s="1"/>
  <c r="K212" i="55"/>
  <c r="L212" i="55" s="1"/>
  <c r="K256" i="55"/>
  <c r="L256" i="55" s="1"/>
  <c r="L291" i="55"/>
  <c r="K257" i="55"/>
  <c r="L257" i="55" s="1"/>
  <c r="K348" i="55"/>
  <c r="L348" i="55" s="1"/>
  <c r="K344" i="55"/>
  <c r="L344" i="55" s="1"/>
  <c r="K340" i="55"/>
  <c r="L340" i="55" s="1"/>
  <c r="K336" i="55"/>
  <c r="L336" i="55" s="1"/>
  <c r="K332" i="55"/>
  <c r="L332" i="55" s="1"/>
  <c r="K328" i="55"/>
  <c r="L328" i="55" s="1"/>
  <c r="K324" i="55"/>
  <c r="L324" i="55" s="1"/>
  <c r="L318" i="55"/>
  <c r="K314" i="55"/>
  <c r="L314" i="55" s="1"/>
  <c r="K310" i="55"/>
  <c r="L310" i="55" s="1"/>
  <c r="K306" i="55"/>
  <c r="L306" i="55" s="1"/>
  <c r="K292" i="55"/>
  <c r="L292" i="55" s="1"/>
  <c r="K289" i="55"/>
  <c r="L289" i="55" s="1"/>
  <c r="K278" i="55"/>
  <c r="L278" i="55" s="1"/>
  <c r="K267" i="55"/>
  <c r="L267" i="55" s="1"/>
  <c r="K255" i="55"/>
  <c r="L255" i="55" s="1"/>
  <c r="K236" i="55"/>
  <c r="L236" i="55" s="1"/>
  <c r="K230" i="55"/>
  <c r="L230" i="55" s="1"/>
  <c r="K218" i="55"/>
  <c r="L218" i="55" s="1"/>
  <c r="K349" i="55"/>
  <c r="L349" i="55" s="1"/>
  <c r="K352" i="55"/>
  <c r="L352" i="55" s="1"/>
  <c r="K347" i="55"/>
  <c r="L347" i="55" s="1"/>
  <c r="K343" i="55"/>
  <c r="L343" i="55" s="1"/>
  <c r="K339" i="55"/>
  <c r="L339" i="55" s="1"/>
  <c r="K335" i="55"/>
  <c r="L335" i="55" s="1"/>
  <c r="K331" i="55"/>
  <c r="L331" i="55" s="1"/>
  <c r="K327" i="55"/>
  <c r="L327" i="55" s="1"/>
  <c r="K323" i="55"/>
  <c r="L323" i="55" s="1"/>
  <c r="K321" i="55"/>
  <c r="L321" i="55" s="1"/>
  <c r="K317" i="55"/>
  <c r="L317" i="55" s="1"/>
  <c r="K313" i="55"/>
  <c r="L313" i="55" s="1"/>
  <c r="K309" i="55"/>
  <c r="L309" i="55" s="1"/>
  <c r="K305" i="55"/>
  <c r="L305" i="55" s="1"/>
  <c r="K301" i="55"/>
  <c r="L301" i="55" s="1"/>
  <c r="K297" i="55"/>
  <c r="L297" i="55" s="1"/>
  <c r="K279" i="55"/>
  <c r="L279" i="55" s="1"/>
  <c r="K270" i="55"/>
  <c r="L270" i="55" s="1"/>
  <c r="K260" i="55"/>
  <c r="L260" i="55" s="1"/>
  <c r="K242" i="55"/>
  <c r="L242" i="55" s="1"/>
  <c r="K210" i="55"/>
  <c r="L210" i="55" s="1"/>
  <c r="K206" i="55"/>
  <c r="L206" i="55" s="1"/>
  <c r="K205" i="55"/>
  <c r="L205" i="55" s="1"/>
  <c r="K204" i="55"/>
  <c r="L204" i="55" s="1"/>
  <c r="K353" i="55"/>
  <c r="L353" i="55" s="1"/>
  <c r="K294" i="55"/>
  <c r="L294" i="55" s="1"/>
  <c r="K280" i="55"/>
  <c r="L280" i="55" s="1"/>
  <c r="K277" i="55"/>
  <c r="L277" i="55" s="1"/>
  <c r="K262" i="55"/>
  <c r="L262" i="55" s="1"/>
  <c r="K259" i="55"/>
  <c r="L259" i="55" s="1"/>
  <c r="K248" i="55"/>
  <c r="L248" i="55" s="1"/>
  <c r="K240" i="55"/>
  <c r="L240" i="55" s="1"/>
  <c r="K232" i="55"/>
  <c r="L232" i="55" s="1"/>
  <c r="K224" i="55"/>
  <c r="L224" i="55" s="1"/>
  <c r="K216" i="55"/>
  <c r="L216" i="55" s="1"/>
  <c r="K208" i="55"/>
  <c r="L208" i="55" s="1"/>
  <c r="K207" i="55"/>
  <c r="L207" i="55" s="1"/>
  <c r="K249" i="55"/>
  <c r="L249" i="55" s="1"/>
  <c r="K247" i="55"/>
  <c r="L247" i="55" s="1"/>
  <c r="K245" i="55"/>
  <c r="L245" i="55" s="1"/>
  <c r="K243" i="55"/>
  <c r="L243" i="55" s="1"/>
  <c r="K241" i="55"/>
  <c r="L241" i="55" s="1"/>
  <c r="K239" i="55"/>
  <c r="L239" i="55" s="1"/>
  <c r="K237" i="55"/>
  <c r="L237" i="55" s="1"/>
  <c r="K235" i="55"/>
  <c r="L235" i="55" s="1"/>
  <c r="K233" i="55"/>
  <c r="L233" i="55" s="1"/>
  <c r="K231" i="55"/>
  <c r="L231" i="55" s="1"/>
  <c r="K229" i="55"/>
  <c r="L229" i="55" s="1"/>
  <c r="K227" i="55"/>
  <c r="L227" i="55" s="1"/>
  <c r="K225" i="55"/>
  <c r="L225" i="55" s="1"/>
  <c r="K223" i="55"/>
  <c r="L223" i="55" s="1"/>
  <c r="K221" i="55"/>
  <c r="L221" i="55" s="1"/>
  <c r="K219" i="55"/>
  <c r="L219" i="55" s="1"/>
  <c r="K217" i="55"/>
  <c r="L217" i="55" s="1"/>
  <c r="K215" i="55"/>
  <c r="L215" i="55" s="1"/>
  <c r="K213" i="55"/>
  <c r="L213" i="55" s="1"/>
  <c r="K211" i="55"/>
  <c r="L211" i="55" s="1"/>
  <c r="K209" i="55"/>
  <c r="L209" i="55" s="1"/>
  <c r="A2" i="55"/>
  <c r="A6" i="55"/>
  <c r="D9" i="55"/>
  <c r="F9" i="55" s="1"/>
  <c r="G9" i="55" s="1"/>
  <c r="I9" i="55"/>
  <c r="J9" i="55"/>
  <c r="D10" i="55"/>
  <c r="F10" i="55" s="1"/>
  <c r="G10" i="55" s="1"/>
  <c r="I10" i="55"/>
  <c r="J10" i="55"/>
  <c r="D11" i="55"/>
  <c r="F11" i="55" s="1"/>
  <c r="G11" i="55" s="1"/>
  <c r="I11" i="55"/>
  <c r="J11" i="55"/>
  <c r="D12" i="55"/>
  <c r="F12" i="55" s="1"/>
  <c r="G12" i="55" s="1"/>
  <c r="I12" i="55"/>
  <c r="J12" i="55"/>
  <c r="D13" i="55"/>
  <c r="F13" i="55" s="1"/>
  <c r="G13" i="55" s="1"/>
  <c r="I13" i="55"/>
  <c r="J13" i="55"/>
  <c r="D14" i="55"/>
  <c r="F14" i="55" s="1"/>
  <c r="G14" i="55" s="1"/>
  <c r="I14" i="55"/>
  <c r="J14" i="55"/>
  <c r="D15" i="55"/>
  <c r="F15" i="55" s="1"/>
  <c r="G15" i="55" s="1"/>
  <c r="I15" i="55"/>
  <c r="J15" i="55"/>
  <c r="D16" i="55"/>
  <c r="F16" i="55" s="1"/>
  <c r="G16" i="55" s="1"/>
  <c r="I16" i="55"/>
  <c r="J16" i="55"/>
  <c r="D17" i="55"/>
  <c r="F17" i="55" s="1"/>
  <c r="G17" i="55" s="1"/>
  <c r="I17" i="55"/>
  <c r="J17" i="55"/>
  <c r="D18" i="55"/>
  <c r="F18" i="55" s="1"/>
  <c r="G18" i="55" s="1"/>
  <c r="I18" i="55"/>
  <c r="J18" i="55"/>
  <c r="D19" i="55"/>
  <c r="F19" i="55" s="1"/>
  <c r="G19" i="55" s="1"/>
  <c r="I19" i="55"/>
  <c r="J19" i="55"/>
  <c r="D20" i="55"/>
  <c r="F20" i="55" s="1"/>
  <c r="G20" i="55" s="1"/>
  <c r="I20" i="55"/>
  <c r="J20" i="55"/>
  <c r="D21" i="55"/>
  <c r="F21" i="55" s="1"/>
  <c r="G21" i="55" s="1"/>
  <c r="I21" i="55"/>
  <c r="J21" i="55"/>
  <c r="D22" i="55"/>
  <c r="F22" i="55" s="1"/>
  <c r="G22" i="55" s="1"/>
  <c r="I22" i="55"/>
  <c r="J22" i="55"/>
  <c r="D23" i="55"/>
  <c r="F23" i="55" s="1"/>
  <c r="G23" i="55" s="1"/>
  <c r="I23" i="55"/>
  <c r="J23" i="55"/>
  <c r="D24" i="55"/>
  <c r="F24" i="55" s="1"/>
  <c r="G24" i="55" s="1"/>
  <c r="I24" i="55"/>
  <c r="J24" i="55"/>
  <c r="D25" i="55"/>
  <c r="F25" i="55" s="1"/>
  <c r="G25" i="55" s="1"/>
  <c r="I25" i="55"/>
  <c r="J25" i="55"/>
  <c r="D26" i="55"/>
  <c r="F26" i="55" s="1"/>
  <c r="G26" i="55" s="1"/>
  <c r="I26" i="55"/>
  <c r="J26" i="55"/>
  <c r="D27" i="55"/>
  <c r="F27" i="55" s="1"/>
  <c r="G27" i="55" s="1"/>
  <c r="I27" i="55"/>
  <c r="J27" i="55"/>
  <c r="I28" i="55"/>
  <c r="J28" i="55"/>
  <c r="D29" i="55"/>
  <c r="F29" i="55" s="1"/>
  <c r="G29" i="55" s="1"/>
  <c r="I29" i="55"/>
  <c r="J29" i="55"/>
  <c r="D30" i="55"/>
  <c r="F30" i="55" s="1"/>
  <c r="G30" i="55" s="1"/>
  <c r="I30" i="55"/>
  <c r="J30" i="55"/>
  <c r="D31" i="55"/>
  <c r="F31" i="55" s="1"/>
  <c r="G31" i="55" s="1"/>
  <c r="I31" i="55"/>
  <c r="J31" i="55"/>
  <c r="D32" i="55"/>
  <c r="F32" i="55" s="1"/>
  <c r="G32" i="55" s="1"/>
  <c r="I32" i="55"/>
  <c r="J32" i="55"/>
  <c r="D33" i="55"/>
  <c r="F33" i="55" s="1"/>
  <c r="G33" i="55" s="1"/>
  <c r="I33" i="55"/>
  <c r="J33" i="55"/>
  <c r="D34" i="55"/>
  <c r="F34" i="55" s="1"/>
  <c r="G34" i="55" s="1"/>
  <c r="I34" i="55"/>
  <c r="J34" i="55"/>
  <c r="D35" i="55"/>
  <c r="F35" i="55" s="1"/>
  <c r="G35" i="55" s="1"/>
  <c r="I35" i="55"/>
  <c r="J35" i="55"/>
  <c r="D36" i="55"/>
  <c r="F36" i="55" s="1"/>
  <c r="G36" i="55" s="1"/>
  <c r="I36" i="55"/>
  <c r="J36" i="55"/>
  <c r="D37" i="55"/>
  <c r="F37" i="55" s="1"/>
  <c r="G37" i="55" s="1"/>
  <c r="I37" i="55"/>
  <c r="J37" i="55"/>
  <c r="D38" i="55"/>
  <c r="F38" i="55" s="1"/>
  <c r="G38" i="55" s="1"/>
  <c r="I38" i="55"/>
  <c r="J38" i="55"/>
  <c r="D39" i="55"/>
  <c r="F39" i="55" s="1"/>
  <c r="G39" i="55" s="1"/>
  <c r="I39" i="55"/>
  <c r="J39" i="55"/>
  <c r="D40" i="55"/>
  <c r="F40" i="55" s="1"/>
  <c r="G40" i="55" s="1"/>
  <c r="I40" i="55"/>
  <c r="J40" i="55"/>
  <c r="D41" i="55"/>
  <c r="F41" i="55" s="1"/>
  <c r="G41" i="55" s="1"/>
  <c r="J41" i="55"/>
  <c r="K41" i="55" s="1"/>
  <c r="L41" i="55" s="1"/>
  <c r="D42" i="55"/>
  <c r="F42" i="55" s="1"/>
  <c r="G42" i="55" s="1"/>
  <c r="I42" i="55"/>
  <c r="J42" i="55"/>
  <c r="D43" i="55"/>
  <c r="F43" i="55" s="1"/>
  <c r="G43" i="55" s="1"/>
  <c r="I43" i="55"/>
  <c r="J43" i="55"/>
  <c r="D44" i="55"/>
  <c r="F44" i="55" s="1"/>
  <c r="G44" i="55" s="1"/>
  <c r="I44" i="55"/>
  <c r="J44" i="55"/>
  <c r="D45" i="55"/>
  <c r="F45" i="55" s="1"/>
  <c r="G45" i="55" s="1"/>
  <c r="I45" i="55"/>
  <c r="J45" i="55"/>
  <c r="D46" i="55"/>
  <c r="F46" i="55" s="1"/>
  <c r="G46" i="55" s="1"/>
  <c r="I46" i="55"/>
  <c r="J46" i="55"/>
  <c r="D47" i="55"/>
  <c r="F47" i="55" s="1"/>
  <c r="G47" i="55" s="1"/>
  <c r="I47" i="55"/>
  <c r="J47" i="55"/>
  <c r="D48" i="55"/>
  <c r="F48" i="55" s="1"/>
  <c r="G48" i="55" s="1"/>
  <c r="I48" i="55"/>
  <c r="J48" i="55"/>
  <c r="D49" i="55"/>
  <c r="F49" i="55" s="1"/>
  <c r="G49" i="55" s="1"/>
  <c r="I49" i="55"/>
  <c r="J49" i="55"/>
  <c r="D50" i="55"/>
  <c r="F50" i="55" s="1"/>
  <c r="G50" i="55" s="1"/>
  <c r="I50" i="55"/>
  <c r="J50" i="55"/>
  <c r="D51" i="55"/>
  <c r="F51" i="55" s="1"/>
  <c r="G51" i="55" s="1"/>
  <c r="I51" i="55"/>
  <c r="J51" i="55"/>
  <c r="D52" i="55"/>
  <c r="F52" i="55" s="1"/>
  <c r="G52" i="55" s="1"/>
  <c r="I52" i="55"/>
  <c r="J52" i="55"/>
  <c r="D53" i="55"/>
  <c r="F53" i="55" s="1"/>
  <c r="G53" i="55" s="1"/>
  <c r="I53" i="55"/>
  <c r="J53" i="55"/>
  <c r="D54" i="55"/>
  <c r="F54" i="55" s="1"/>
  <c r="G54" i="55" s="1"/>
  <c r="I54" i="55"/>
  <c r="J54" i="55"/>
  <c r="D55" i="55"/>
  <c r="F55" i="55" s="1"/>
  <c r="G55" i="55" s="1"/>
  <c r="K55" i="55"/>
  <c r="L55" i="55" s="1"/>
  <c r="D56" i="55"/>
  <c r="F56" i="55" s="1"/>
  <c r="G56" i="55" s="1"/>
  <c r="I56" i="55"/>
  <c r="J56" i="55"/>
  <c r="D57" i="55"/>
  <c r="F57" i="55" s="1"/>
  <c r="G57" i="55" s="1"/>
  <c r="I57" i="55"/>
  <c r="J57" i="55"/>
  <c r="D58" i="55"/>
  <c r="F58" i="55" s="1"/>
  <c r="G58" i="55" s="1"/>
  <c r="I58" i="55"/>
  <c r="J58" i="55"/>
  <c r="D59" i="55"/>
  <c r="F59" i="55" s="1"/>
  <c r="G59" i="55" s="1"/>
  <c r="I59" i="55"/>
  <c r="J59" i="55"/>
  <c r="D60" i="55"/>
  <c r="F60" i="55" s="1"/>
  <c r="G60" i="55" s="1"/>
  <c r="I60" i="55"/>
  <c r="J60" i="55"/>
  <c r="D61" i="55"/>
  <c r="F61" i="55" s="1"/>
  <c r="G61" i="55" s="1"/>
  <c r="I61" i="55"/>
  <c r="J61" i="55"/>
  <c r="D62" i="55"/>
  <c r="F62" i="55" s="1"/>
  <c r="G62" i="55" s="1"/>
  <c r="I62" i="55"/>
  <c r="J62" i="55"/>
  <c r="D63" i="55"/>
  <c r="F63" i="55" s="1"/>
  <c r="G63" i="55" s="1"/>
  <c r="I63" i="55"/>
  <c r="J63" i="55"/>
  <c r="D64" i="55"/>
  <c r="F64" i="55" s="1"/>
  <c r="G64" i="55" s="1"/>
  <c r="I64" i="55"/>
  <c r="J64" i="55"/>
  <c r="D65" i="55"/>
  <c r="F65" i="55" s="1"/>
  <c r="G65" i="55" s="1"/>
  <c r="I65" i="55"/>
  <c r="J65" i="55"/>
  <c r="D66" i="55"/>
  <c r="F66" i="55" s="1"/>
  <c r="G66" i="55" s="1"/>
  <c r="I66" i="55"/>
  <c r="J66" i="55"/>
  <c r="D67" i="55"/>
  <c r="F67" i="55" s="1"/>
  <c r="G67" i="55" s="1"/>
  <c r="I67" i="55"/>
  <c r="J67" i="55"/>
  <c r="D68" i="55"/>
  <c r="F68" i="55" s="1"/>
  <c r="G68" i="55" s="1"/>
  <c r="I68" i="55"/>
  <c r="J68" i="55"/>
  <c r="D69" i="55"/>
  <c r="F69" i="55" s="1"/>
  <c r="G69" i="55" s="1"/>
  <c r="I69" i="55"/>
  <c r="J69" i="55"/>
  <c r="D70" i="55"/>
  <c r="F70" i="55" s="1"/>
  <c r="G70" i="55" s="1"/>
  <c r="I70" i="55"/>
  <c r="J70" i="55"/>
  <c r="D71" i="55"/>
  <c r="F71" i="55" s="1"/>
  <c r="G71" i="55" s="1"/>
  <c r="I71" i="55"/>
  <c r="J71" i="55"/>
  <c r="D72" i="55"/>
  <c r="F72" i="55" s="1"/>
  <c r="G72" i="55" s="1"/>
  <c r="I72" i="55"/>
  <c r="J72" i="55"/>
  <c r="D73" i="55"/>
  <c r="F73" i="55" s="1"/>
  <c r="G73" i="55" s="1"/>
  <c r="I73" i="55"/>
  <c r="J73" i="55"/>
  <c r="D74" i="55"/>
  <c r="F74" i="55" s="1"/>
  <c r="G74" i="55" s="1"/>
  <c r="I74" i="55"/>
  <c r="J74" i="55"/>
  <c r="D75" i="55"/>
  <c r="F75" i="55" s="1"/>
  <c r="G75" i="55" s="1"/>
  <c r="I75" i="55"/>
  <c r="J75" i="55"/>
  <c r="D76" i="55"/>
  <c r="F76" i="55" s="1"/>
  <c r="G76" i="55" s="1"/>
  <c r="I76" i="55"/>
  <c r="J76" i="55"/>
  <c r="D77" i="55"/>
  <c r="F77" i="55" s="1"/>
  <c r="G77" i="55" s="1"/>
  <c r="I77" i="55"/>
  <c r="J77" i="55"/>
  <c r="D78" i="55"/>
  <c r="F78" i="55" s="1"/>
  <c r="G78" i="55" s="1"/>
  <c r="I78" i="55"/>
  <c r="J78" i="55"/>
  <c r="D79" i="55"/>
  <c r="F79" i="55" s="1"/>
  <c r="G79" i="55" s="1"/>
  <c r="I79" i="55"/>
  <c r="J79" i="55"/>
  <c r="D80" i="55"/>
  <c r="F80" i="55" s="1"/>
  <c r="G80" i="55" s="1"/>
  <c r="K80" i="55"/>
  <c r="L80" i="55" s="1"/>
  <c r="D81" i="55"/>
  <c r="F81" i="55" s="1"/>
  <c r="G81" i="55" s="1"/>
  <c r="I81" i="55"/>
  <c r="J81" i="55"/>
  <c r="D82" i="55"/>
  <c r="F82" i="55" s="1"/>
  <c r="G82" i="55" s="1"/>
  <c r="I82" i="55"/>
  <c r="J82" i="55"/>
  <c r="D83" i="55"/>
  <c r="F83" i="55" s="1"/>
  <c r="G83" i="55" s="1"/>
  <c r="I83" i="55"/>
  <c r="J83" i="55"/>
  <c r="D84" i="55"/>
  <c r="F84" i="55" s="1"/>
  <c r="G84" i="55" s="1"/>
  <c r="K84" i="55"/>
  <c r="L84" i="55" s="1"/>
  <c r="D85" i="55"/>
  <c r="F85" i="55" s="1"/>
  <c r="G85" i="55" s="1"/>
  <c r="I85" i="55"/>
  <c r="J85" i="55"/>
  <c r="D86" i="55"/>
  <c r="F86" i="55" s="1"/>
  <c r="G86" i="55" s="1"/>
  <c r="I86" i="55"/>
  <c r="J86" i="55"/>
  <c r="D87" i="55"/>
  <c r="F87" i="55" s="1"/>
  <c r="G87" i="55" s="1"/>
  <c r="I87" i="55"/>
  <c r="J87" i="55"/>
  <c r="D88" i="55"/>
  <c r="F88" i="55" s="1"/>
  <c r="G88" i="55" s="1"/>
  <c r="I88" i="55"/>
  <c r="J88" i="55"/>
  <c r="D89" i="55"/>
  <c r="F89" i="55" s="1"/>
  <c r="G89" i="55" s="1"/>
  <c r="I89" i="55"/>
  <c r="J89" i="55"/>
  <c r="D90" i="55"/>
  <c r="F90" i="55" s="1"/>
  <c r="G90" i="55" s="1"/>
  <c r="I90" i="55"/>
  <c r="J90" i="55"/>
  <c r="D91" i="55"/>
  <c r="F91" i="55" s="1"/>
  <c r="G91" i="55" s="1"/>
  <c r="I91" i="55"/>
  <c r="J91" i="55"/>
  <c r="D92" i="55"/>
  <c r="F92" i="55" s="1"/>
  <c r="G92" i="55" s="1"/>
  <c r="I92" i="55"/>
  <c r="J92" i="55"/>
  <c r="D93" i="55"/>
  <c r="F93" i="55" s="1"/>
  <c r="G93" i="55" s="1"/>
  <c r="I93" i="55"/>
  <c r="J93" i="55"/>
  <c r="D94" i="55"/>
  <c r="F94" i="55" s="1"/>
  <c r="G94" i="55" s="1"/>
  <c r="I94" i="55"/>
  <c r="J94" i="55"/>
  <c r="D95" i="55"/>
  <c r="F95" i="55" s="1"/>
  <c r="G95" i="55" s="1"/>
  <c r="I95" i="55"/>
  <c r="J95" i="55"/>
  <c r="D96" i="55"/>
  <c r="F96" i="55" s="1"/>
  <c r="G96" i="55" s="1"/>
  <c r="I96" i="55"/>
  <c r="J96" i="55"/>
  <c r="D97" i="55"/>
  <c r="F97" i="55" s="1"/>
  <c r="G97" i="55" s="1"/>
  <c r="I97" i="55"/>
  <c r="J97" i="55"/>
  <c r="D98" i="55"/>
  <c r="F98" i="55" s="1"/>
  <c r="G98" i="55" s="1"/>
  <c r="I98" i="55"/>
  <c r="J98" i="55"/>
  <c r="D99" i="55"/>
  <c r="F99" i="55" s="1"/>
  <c r="G99" i="55" s="1"/>
  <c r="I99" i="55"/>
  <c r="J99" i="55"/>
  <c r="D100" i="55"/>
  <c r="F100" i="55" s="1"/>
  <c r="G100" i="55" s="1"/>
  <c r="I100" i="55"/>
  <c r="J100" i="55"/>
  <c r="D101" i="55"/>
  <c r="F101" i="55" s="1"/>
  <c r="G101" i="55" s="1"/>
  <c r="K101" i="55"/>
  <c r="L101" i="55" s="1"/>
  <c r="D102" i="55"/>
  <c r="F102" i="55" s="1"/>
  <c r="G102" i="55" s="1"/>
  <c r="I102" i="55"/>
  <c r="J102" i="55"/>
  <c r="D103" i="55"/>
  <c r="F103" i="55" s="1"/>
  <c r="G103" i="55" s="1"/>
  <c r="I103" i="55"/>
  <c r="J103" i="55"/>
  <c r="D104" i="55"/>
  <c r="F104" i="55" s="1"/>
  <c r="G104" i="55" s="1"/>
  <c r="I104" i="55"/>
  <c r="J104" i="55"/>
  <c r="D105" i="55"/>
  <c r="F105" i="55" s="1"/>
  <c r="G105" i="55" s="1"/>
  <c r="I105" i="55"/>
  <c r="J105" i="55"/>
  <c r="D106" i="55"/>
  <c r="F106" i="55" s="1"/>
  <c r="G106" i="55" s="1"/>
  <c r="I106" i="55"/>
  <c r="J106" i="55"/>
  <c r="D107" i="55"/>
  <c r="F107" i="55" s="1"/>
  <c r="G107" i="55" s="1"/>
  <c r="I107" i="55"/>
  <c r="J107" i="55"/>
  <c r="D108" i="55"/>
  <c r="F108" i="55" s="1"/>
  <c r="G108" i="55" s="1"/>
  <c r="I108" i="55"/>
  <c r="J108" i="55"/>
  <c r="D109" i="55"/>
  <c r="F109" i="55" s="1"/>
  <c r="G109" i="55" s="1"/>
  <c r="I109" i="55"/>
  <c r="J109" i="55"/>
  <c r="D110" i="55"/>
  <c r="F110" i="55" s="1"/>
  <c r="G110" i="55" s="1"/>
  <c r="I110" i="55"/>
  <c r="J110" i="55"/>
  <c r="D111" i="55"/>
  <c r="F111" i="55" s="1"/>
  <c r="G111" i="55" s="1"/>
  <c r="I111" i="55"/>
  <c r="J111" i="55"/>
  <c r="D112" i="55"/>
  <c r="F112" i="55" s="1"/>
  <c r="G112" i="55" s="1"/>
  <c r="I112" i="55"/>
  <c r="J112" i="55"/>
  <c r="D113" i="55"/>
  <c r="F113" i="55" s="1"/>
  <c r="G113" i="55" s="1"/>
  <c r="I113" i="55"/>
  <c r="J113" i="55"/>
  <c r="D114" i="55"/>
  <c r="F114" i="55" s="1"/>
  <c r="G114" i="55" s="1"/>
  <c r="I114" i="55"/>
  <c r="J114" i="55"/>
  <c r="D115" i="55"/>
  <c r="F115" i="55" s="1"/>
  <c r="G115" i="55" s="1"/>
  <c r="I115" i="55"/>
  <c r="J115" i="55"/>
  <c r="D116" i="55"/>
  <c r="F116" i="55" s="1"/>
  <c r="G116" i="55" s="1"/>
  <c r="I116" i="55"/>
  <c r="J116" i="55"/>
  <c r="D117" i="55"/>
  <c r="F117" i="55" s="1"/>
  <c r="G117" i="55" s="1"/>
  <c r="I117" i="55"/>
  <c r="J117" i="55"/>
  <c r="D118" i="55"/>
  <c r="F118" i="55" s="1"/>
  <c r="G118" i="55" s="1"/>
  <c r="I118" i="55"/>
  <c r="J118" i="55"/>
  <c r="D119" i="55"/>
  <c r="F119" i="55" s="1"/>
  <c r="G119" i="55" s="1"/>
  <c r="J119" i="55"/>
  <c r="K119" i="55" s="1"/>
  <c r="L119" i="55" s="1"/>
  <c r="D120" i="55"/>
  <c r="F120" i="55" s="1"/>
  <c r="G120" i="55" s="1"/>
  <c r="I120" i="55"/>
  <c r="J120" i="55"/>
  <c r="D121" i="55"/>
  <c r="F121" i="55" s="1"/>
  <c r="G121" i="55" s="1"/>
  <c r="I121" i="55"/>
  <c r="J121" i="55"/>
  <c r="D122" i="55"/>
  <c r="F122" i="55" s="1"/>
  <c r="G122" i="55" s="1"/>
  <c r="I122" i="55"/>
  <c r="J122" i="55"/>
  <c r="D123" i="55"/>
  <c r="F123" i="55" s="1"/>
  <c r="G123" i="55" s="1"/>
  <c r="I123" i="55"/>
  <c r="J123" i="55"/>
  <c r="D124" i="55"/>
  <c r="F124" i="55" s="1"/>
  <c r="G124" i="55" s="1"/>
  <c r="J124" i="55"/>
  <c r="K124" i="55" s="1"/>
  <c r="L124" i="55" s="1"/>
  <c r="D125" i="55"/>
  <c r="F125" i="55" s="1"/>
  <c r="G125" i="55" s="1"/>
  <c r="K125" i="55"/>
  <c r="L125" i="55" s="1"/>
  <c r="D126" i="55"/>
  <c r="F126" i="55" s="1"/>
  <c r="G126" i="55" s="1"/>
  <c r="I126" i="55"/>
  <c r="J126" i="55"/>
  <c r="D127" i="55"/>
  <c r="F127" i="55" s="1"/>
  <c r="G127" i="55" s="1"/>
  <c r="I127" i="55"/>
  <c r="J127" i="55"/>
  <c r="D128" i="55"/>
  <c r="F128" i="55" s="1"/>
  <c r="G128" i="55" s="1"/>
  <c r="I128" i="55"/>
  <c r="J128" i="55"/>
  <c r="D129" i="55"/>
  <c r="F129" i="55" s="1"/>
  <c r="G129" i="55" s="1"/>
  <c r="I129" i="55"/>
  <c r="J129" i="55"/>
  <c r="D130" i="55"/>
  <c r="F130" i="55" s="1"/>
  <c r="G130" i="55" s="1"/>
  <c r="I130" i="55"/>
  <c r="J130" i="55"/>
  <c r="D131" i="55"/>
  <c r="F131" i="55" s="1"/>
  <c r="G131" i="55" s="1"/>
  <c r="I131" i="55"/>
  <c r="J131" i="55"/>
  <c r="D132" i="55"/>
  <c r="F132" i="55" s="1"/>
  <c r="G132" i="55" s="1"/>
  <c r="I132" i="55"/>
  <c r="J132" i="55"/>
  <c r="D133" i="55"/>
  <c r="F133" i="55" s="1"/>
  <c r="G133" i="55" s="1"/>
  <c r="K133" i="55"/>
  <c r="L133" i="55" s="1"/>
  <c r="D134" i="55"/>
  <c r="F134" i="55" s="1"/>
  <c r="G134" i="55" s="1"/>
  <c r="J134" i="55"/>
  <c r="K134" i="55" s="1"/>
  <c r="L134" i="55" s="1"/>
  <c r="D135" i="55"/>
  <c r="F135" i="55" s="1"/>
  <c r="G135" i="55" s="1"/>
  <c r="J135" i="55"/>
  <c r="K135" i="55" s="1"/>
  <c r="L135" i="55" s="1"/>
  <c r="D136" i="55"/>
  <c r="F136" i="55" s="1"/>
  <c r="G136" i="55" s="1"/>
  <c r="I136" i="55"/>
  <c r="J136" i="55"/>
  <c r="D137" i="55"/>
  <c r="F137" i="55" s="1"/>
  <c r="G137" i="55" s="1"/>
  <c r="I137" i="55"/>
  <c r="J137" i="55"/>
  <c r="D138" i="55"/>
  <c r="F138" i="55" s="1"/>
  <c r="G138" i="55" s="1"/>
  <c r="I138" i="55"/>
  <c r="J138" i="55"/>
  <c r="D139" i="55"/>
  <c r="F139" i="55" s="1"/>
  <c r="G139" i="55" s="1"/>
  <c r="I139" i="55"/>
  <c r="J139" i="55"/>
  <c r="D140" i="55"/>
  <c r="F140" i="55" s="1"/>
  <c r="G140" i="55" s="1"/>
  <c r="I140" i="55"/>
  <c r="J140" i="55"/>
  <c r="D141" i="55"/>
  <c r="F141" i="55" s="1"/>
  <c r="G141" i="55" s="1"/>
  <c r="I141" i="55"/>
  <c r="J141" i="55"/>
  <c r="D142" i="55"/>
  <c r="F142" i="55" s="1"/>
  <c r="G142" i="55" s="1"/>
  <c r="I142" i="55"/>
  <c r="J142" i="55"/>
  <c r="D143" i="55"/>
  <c r="F143" i="55" s="1"/>
  <c r="G143" i="55" s="1"/>
  <c r="I143" i="55"/>
  <c r="J143" i="55"/>
  <c r="D144" i="55"/>
  <c r="F144" i="55" s="1"/>
  <c r="G144" i="55" s="1"/>
  <c r="I144" i="55"/>
  <c r="J144" i="55"/>
  <c r="D145" i="55"/>
  <c r="F145" i="55" s="1"/>
  <c r="G145" i="55" s="1"/>
  <c r="I145" i="55"/>
  <c r="J145" i="55"/>
  <c r="D146" i="55"/>
  <c r="F146" i="55" s="1"/>
  <c r="G146" i="55" s="1"/>
  <c r="I146" i="55"/>
  <c r="J146" i="55"/>
  <c r="D147" i="55"/>
  <c r="F147" i="55" s="1"/>
  <c r="G147" i="55" s="1"/>
  <c r="I147" i="55"/>
  <c r="J147" i="55"/>
  <c r="D148" i="55"/>
  <c r="F148" i="55" s="1"/>
  <c r="G148" i="55" s="1"/>
  <c r="I148" i="55"/>
  <c r="J148" i="55"/>
  <c r="D149" i="55"/>
  <c r="F149" i="55" s="1"/>
  <c r="G149" i="55" s="1"/>
  <c r="I149" i="55"/>
  <c r="J149" i="55"/>
  <c r="D150" i="55"/>
  <c r="F150" i="55" s="1"/>
  <c r="G150" i="55" s="1"/>
  <c r="I150" i="55"/>
  <c r="J150" i="55"/>
  <c r="D151" i="55"/>
  <c r="F151" i="55" s="1"/>
  <c r="G151" i="55" s="1"/>
  <c r="I151" i="55"/>
  <c r="J151" i="55"/>
  <c r="D152" i="55"/>
  <c r="F152" i="55" s="1"/>
  <c r="G152" i="55" s="1"/>
  <c r="I152" i="55"/>
  <c r="J152" i="55"/>
  <c r="D153" i="55"/>
  <c r="F153" i="55" s="1"/>
  <c r="G153" i="55" s="1"/>
  <c r="I153" i="55"/>
  <c r="J153" i="55"/>
  <c r="D154" i="55"/>
  <c r="F154" i="55" s="1"/>
  <c r="G154" i="55" s="1"/>
  <c r="K154" i="55"/>
  <c r="L154" i="55" s="1"/>
  <c r="D155" i="55"/>
  <c r="F155" i="55" s="1"/>
  <c r="G155" i="55" s="1"/>
  <c r="I155" i="55"/>
  <c r="J155" i="55"/>
  <c r="D156" i="55"/>
  <c r="F156" i="55" s="1"/>
  <c r="G156" i="55" s="1"/>
  <c r="I156" i="55"/>
  <c r="J156" i="55"/>
  <c r="D157" i="55"/>
  <c r="F157" i="55" s="1"/>
  <c r="G157" i="55" s="1"/>
  <c r="I157" i="55"/>
  <c r="J157" i="55"/>
  <c r="D158" i="55"/>
  <c r="F158" i="55" s="1"/>
  <c r="G158" i="55" s="1"/>
  <c r="I158" i="55"/>
  <c r="J158" i="55"/>
  <c r="D159" i="55"/>
  <c r="F159" i="55" s="1"/>
  <c r="G159" i="55" s="1"/>
  <c r="I159" i="55"/>
  <c r="J159" i="55"/>
  <c r="D160" i="55"/>
  <c r="F160" i="55" s="1"/>
  <c r="G160" i="55" s="1"/>
  <c r="I160" i="55"/>
  <c r="J160" i="55"/>
  <c r="D161" i="55"/>
  <c r="F161" i="55" s="1"/>
  <c r="G161" i="55" s="1"/>
  <c r="I161" i="55"/>
  <c r="J161" i="55"/>
  <c r="D162" i="55"/>
  <c r="F162" i="55" s="1"/>
  <c r="G162" i="55" s="1"/>
  <c r="I162" i="55"/>
  <c r="J162" i="55"/>
  <c r="D163" i="55"/>
  <c r="F163" i="55" s="1"/>
  <c r="G163" i="55" s="1"/>
  <c r="K163" i="55"/>
  <c r="L163" i="55" s="1"/>
  <c r="D164" i="55"/>
  <c r="F164" i="55" s="1"/>
  <c r="G164" i="55" s="1"/>
  <c r="I164" i="55"/>
  <c r="J164" i="55"/>
  <c r="D165" i="55"/>
  <c r="F165" i="55" s="1"/>
  <c r="G165" i="55" s="1"/>
  <c r="I165" i="55"/>
  <c r="J165" i="55"/>
  <c r="D166" i="55"/>
  <c r="F166" i="55" s="1"/>
  <c r="G166" i="55" s="1"/>
  <c r="I166" i="55"/>
  <c r="J166" i="55"/>
  <c r="D167" i="55"/>
  <c r="F167" i="55" s="1"/>
  <c r="G167" i="55" s="1"/>
  <c r="I167" i="55"/>
  <c r="J167" i="55"/>
  <c r="D168" i="55"/>
  <c r="F168" i="55" s="1"/>
  <c r="G168" i="55" s="1"/>
  <c r="I168" i="55"/>
  <c r="J168" i="55"/>
  <c r="D169" i="55"/>
  <c r="F169" i="55" s="1"/>
  <c r="G169" i="55" s="1"/>
  <c r="K169" i="55"/>
  <c r="L169" i="55" s="1"/>
  <c r="D170" i="55"/>
  <c r="F170" i="55" s="1"/>
  <c r="G170" i="55" s="1"/>
  <c r="I170" i="55"/>
  <c r="J170" i="55"/>
  <c r="D171" i="55"/>
  <c r="F171" i="55" s="1"/>
  <c r="G171" i="55" s="1"/>
  <c r="I171" i="55"/>
  <c r="J171" i="55"/>
  <c r="D172" i="55"/>
  <c r="G172" i="55"/>
  <c r="I172" i="55"/>
  <c r="K172" i="55" s="1"/>
  <c r="L172" i="55" s="1"/>
  <c r="D173" i="55"/>
  <c r="F173" i="55" s="1"/>
  <c r="G173" i="55" s="1"/>
  <c r="I173" i="55"/>
  <c r="J173" i="55"/>
  <c r="D174" i="55"/>
  <c r="F174" i="55" s="1"/>
  <c r="G174" i="55" s="1"/>
  <c r="I174" i="55"/>
  <c r="J174" i="55"/>
  <c r="D175" i="55"/>
  <c r="F175" i="55" s="1"/>
  <c r="G175" i="55" s="1"/>
  <c r="I175" i="55"/>
  <c r="J175" i="55"/>
  <c r="D176" i="55"/>
  <c r="F176" i="55" s="1"/>
  <c r="G176" i="55" s="1"/>
  <c r="I176" i="55"/>
  <c r="J176" i="55"/>
  <c r="D177" i="55"/>
  <c r="F177" i="55" s="1"/>
  <c r="G177" i="55" s="1"/>
  <c r="I177" i="55"/>
  <c r="J177" i="55"/>
  <c r="D178" i="55"/>
  <c r="F178" i="55" s="1"/>
  <c r="G178" i="55" s="1"/>
  <c r="I178" i="55"/>
  <c r="J178" i="55"/>
  <c r="D179" i="55"/>
  <c r="F179" i="55" s="1"/>
  <c r="G179" i="55" s="1"/>
  <c r="I179" i="55"/>
  <c r="J179" i="55"/>
  <c r="D180" i="55"/>
  <c r="F180" i="55" s="1"/>
  <c r="G180" i="55" s="1"/>
  <c r="I180" i="55"/>
  <c r="J180" i="55"/>
  <c r="D181" i="55"/>
  <c r="F181" i="55" s="1"/>
  <c r="G181" i="55" s="1"/>
  <c r="I181" i="55"/>
  <c r="J181" i="55"/>
  <c r="D182" i="55"/>
  <c r="F182" i="55" s="1"/>
  <c r="G182" i="55" s="1"/>
  <c r="I182" i="55"/>
  <c r="J182" i="55"/>
  <c r="D183" i="55"/>
  <c r="F183" i="55" s="1"/>
  <c r="G183" i="55" s="1"/>
  <c r="I183" i="55"/>
  <c r="J183" i="55"/>
  <c r="D184" i="55"/>
  <c r="F184" i="55" s="1"/>
  <c r="G184" i="55" s="1"/>
  <c r="I184" i="55"/>
  <c r="J184" i="55"/>
  <c r="D185" i="55"/>
  <c r="F185" i="55" s="1"/>
  <c r="G185" i="55" s="1"/>
  <c r="I185" i="55"/>
  <c r="J185" i="55"/>
  <c r="D186" i="55"/>
  <c r="F186" i="55" s="1"/>
  <c r="G186" i="55" s="1"/>
  <c r="I186" i="55"/>
  <c r="K186" i="55" s="1"/>
  <c r="L186" i="55" s="1"/>
  <c r="D187" i="55"/>
  <c r="F187" i="55" s="1"/>
  <c r="G187" i="55" s="1"/>
  <c r="I187" i="55"/>
  <c r="K187" i="55" s="1"/>
  <c r="L187" i="55" s="1"/>
  <c r="D188" i="55"/>
  <c r="F188" i="55" s="1"/>
  <c r="G188" i="55" s="1"/>
  <c r="I188" i="55"/>
  <c r="J188" i="55"/>
  <c r="D189" i="55"/>
  <c r="F189" i="55" s="1"/>
  <c r="G189" i="55" s="1"/>
  <c r="I189" i="55"/>
  <c r="J189" i="55"/>
  <c r="D190" i="55"/>
  <c r="F190" i="55" s="1"/>
  <c r="G190" i="55" s="1"/>
  <c r="I190" i="55"/>
  <c r="K190" i="55" s="1"/>
  <c r="L190" i="55" s="1"/>
  <c r="D191" i="55"/>
  <c r="F191" i="55" s="1"/>
  <c r="G191" i="55" s="1"/>
  <c r="I191" i="55"/>
  <c r="J191" i="55"/>
  <c r="D192" i="55"/>
  <c r="F192" i="55" s="1"/>
  <c r="G192" i="55" s="1"/>
  <c r="I192" i="55"/>
  <c r="K192" i="55" s="1"/>
  <c r="L192" i="55" s="1"/>
  <c r="D193" i="55"/>
  <c r="F193" i="55" s="1"/>
  <c r="G193" i="55" s="1"/>
  <c r="I193" i="55"/>
  <c r="J193" i="55"/>
  <c r="D194" i="55"/>
  <c r="F194" i="55" s="1"/>
  <c r="G194" i="55" s="1"/>
  <c r="I194" i="55"/>
  <c r="J194" i="55"/>
  <c r="D195" i="55"/>
  <c r="F195" i="55" s="1"/>
  <c r="G195" i="55" s="1"/>
  <c r="I195" i="55"/>
  <c r="D196" i="55"/>
  <c r="F196" i="55" s="1"/>
  <c r="G196" i="55" s="1"/>
  <c r="I196" i="55"/>
  <c r="D197" i="55"/>
  <c r="F197" i="55" s="1"/>
  <c r="G197" i="55" s="1"/>
  <c r="I197" i="55"/>
  <c r="J197" i="55"/>
  <c r="D198" i="55"/>
  <c r="F198" i="55" s="1"/>
  <c r="G198" i="55" s="1"/>
  <c r="I198" i="55"/>
  <c r="J198" i="55"/>
  <c r="D199" i="55"/>
  <c r="F199" i="55" s="1"/>
  <c r="G199" i="55" s="1"/>
  <c r="I199" i="55"/>
  <c r="D200" i="55"/>
  <c r="F200" i="55" s="1"/>
  <c r="G200" i="55" s="1"/>
  <c r="I200" i="55"/>
  <c r="J200" i="55"/>
  <c r="D201" i="55"/>
  <c r="F201" i="55" s="1"/>
  <c r="G201" i="55" s="1"/>
  <c r="I201" i="55"/>
  <c r="J201" i="55"/>
  <c r="D202" i="55"/>
  <c r="F202" i="55" s="1"/>
  <c r="G202" i="55" s="1"/>
  <c r="I202" i="55"/>
  <c r="J202" i="55"/>
  <c r="D203" i="55"/>
  <c r="F203" i="55" s="1"/>
  <c r="G203" i="55" s="1"/>
  <c r="I203" i="55"/>
  <c r="J203" i="55"/>
  <c r="D844" i="55"/>
  <c r="D845" i="55"/>
  <c r="D846" i="55"/>
  <c r="D847" i="55"/>
  <c r="D848" i="55"/>
  <c r="D849" i="55"/>
  <c r="D850" i="55"/>
  <c r="D851" i="55"/>
  <c r="D852" i="55"/>
  <c r="D853" i="55"/>
  <c r="D854" i="55"/>
  <c r="D855" i="55"/>
  <c r="D856" i="55"/>
  <c r="D857" i="55"/>
  <c r="D858" i="55"/>
  <c r="D859" i="55"/>
  <c r="D860" i="55"/>
  <c r="D861" i="55"/>
  <c r="D862" i="55"/>
  <c r="D863" i="55"/>
  <c r="D864" i="55"/>
  <c r="D865" i="55"/>
  <c r="D866" i="55"/>
  <c r="D867" i="55"/>
  <c r="D868" i="55"/>
  <c r="D869" i="55"/>
  <c r="D870" i="55"/>
  <c r="D871" i="55"/>
  <c r="D872" i="55"/>
  <c r="D873" i="55"/>
  <c r="D874" i="55"/>
  <c r="D875" i="55"/>
  <c r="D876" i="55"/>
  <c r="D877" i="55"/>
  <c r="D878" i="55"/>
  <c r="D879" i="55"/>
  <c r="D880" i="55"/>
  <c r="D881" i="55"/>
  <c r="D882" i="55"/>
  <c r="D883" i="55"/>
  <c r="D884" i="55"/>
  <c r="D885" i="55"/>
  <c r="D886" i="55"/>
  <c r="D887" i="55"/>
  <c r="D888" i="55"/>
  <c r="D889" i="55"/>
  <c r="D890" i="55"/>
  <c r="D891" i="55"/>
  <c r="D892" i="55"/>
  <c r="D893" i="55"/>
  <c r="D894" i="55"/>
  <c r="D895" i="55"/>
  <c r="D896" i="55"/>
  <c r="D897" i="55"/>
  <c r="D898" i="55"/>
  <c r="D899" i="55"/>
  <c r="D900" i="55"/>
  <c r="D901" i="55"/>
  <c r="D902" i="55"/>
  <c r="D903" i="55"/>
  <c r="D904" i="55"/>
  <c r="D905" i="55"/>
  <c r="D906" i="55"/>
  <c r="D907" i="55"/>
  <c r="D908" i="55"/>
  <c r="D909" i="55"/>
  <c r="D910" i="55"/>
  <c r="D911" i="55"/>
  <c r="D912" i="55"/>
  <c r="D913" i="55"/>
  <c r="D914" i="55"/>
  <c r="D915" i="55"/>
  <c r="D916" i="55"/>
  <c r="D917" i="55"/>
  <c r="D918" i="55"/>
  <c r="D919" i="55"/>
  <c r="D920" i="55"/>
  <c r="D921" i="55"/>
  <c r="D922" i="55"/>
  <c r="D923" i="55"/>
  <c r="D924" i="55"/>
  <c r="D925" i="55"/>
  <c r="D926" i="55"/>
  <c r="D927" i="55"/>
  <c r="D928" i="55"/>
  <c r="D929" i="55"/>
  <c r="D930" i="55"/>
  <c r="D931" i="55"/>
  <c r="D932" i="55"/>
  <c r="D933" i="55"/>
  <c r="D934" i="55"/>
  <c r="D935" i="55"/>
  <c r="D936" i="55"/>
  <c r="D937" i="55"/>
  <c r="D938" i="55"/>
  <c r="D939" i="55"/>
  <c r="D940" i="55"/>
  <c r="D941" i="55"/>
  <c r="D942" i="55"/>
  <c r="D943" i="55"/>
  <c r="D944" i="55"/>
  <c r="D945" i="55"/>
  <c r="D946" i="55"/>
  <c r="D947" i="55"/>
  <c r="D948" i="55"/>
  <c r="D949" i="55"/>
  <c r="D950" i="55"/>
  <c r="D951" i="55"/>
  <c r="D952" i="55"/>
  <c r="D953" i="55"/>
  <c r="D954" i="55"/>
  <c r="D955" i="55"/>
  <c r="D956" i="55"/>
  <c r="D957" i="55"/>
  <c r="D958" i="55"/>
  <c r="D959" i="55"/>
  <c r="D960" i="55"/>
  <c r="D961" i="55"/>
  <c r="D962" i="55"/>
  <c r="D963" i="55"/>
  <c r="D964" i="55"/>
  <c r="D965" i="55"/>
  <c r="D966" i="55"/>
  <c r="D967" i="55"/>
  <c r="D968" i="55"/>
  <c r="D969" i="55"/>
  <c r="D970" i="55"/>
  <c r="D971" i="55"/>
  <c r="D972" i="55"/>
  <c r="D973" i="55"/>
  <c r="D974" i="55"/>
  <c r="D975" i="55"/>
  <c r="D976" i="55"/>
  <c r="D977" i="55"/>
  <c r="D978" i="55"/>
  <c r="D979" i="55"/>
  <c r="D980" i="55"/>
  <c r="D981" i="55"/>
  <c r="D982" i="55"/>
  <c r="D983" i="55"/>
  <c r="D984" i="55"/>
  <c r="D985" i="55"/>
  <c r="D986" i="55"/>
  <c r="D987" i="55"/>
  <c r="D988" i="55"/>
  <c r="D989" i="55"/>
  <c r="D990" i="55"/>
  <c r="D991" i="55"/>
  <c r="D992" i="55"/>
  <c r="D993" i="55"/>
  <c r="D994" i="55"/>
  <c r="D995" i="55"/>
  <c r="D996" i="55"/>
  <c r="D997" i="55"/>
  <c r="D998" i="55"/>
  <c r="D999" i="55"/>
  <c r="D1000" i="55"/>
  <c r="D1001" i="55"/>
  <c r="D1002" i="55"/>
  <c r="D1003" i="55"/>
  <c r="D1004" i="55"/>
  <c r="D1005" i="55"/>
  <c r="D1006" i="55"/>
  <c r="D1007" i="55"/>
  <c r="D1008" i="55"/>
  <c r="D1009" i="55"/>
  <c r="D1010" i="55"/>
  <c r="D1011" i="55"/>
  <c r="D1012" i="55"/>
  <c r="D1013" i="55"/>
  <c r="D1014" i="55"/>
  <c r="D1015" i="55"/>
  <c r="D1016" i="55"/>
  <c r="D1017" i="55"/>
  <c r="D1018" i="55"/>
  <c r="D1019" i="55"/>
  <c r="D1020" i="55"/>
  <c r="D1021" i="55"/>
  <c r="D1022" i="55"/>
  <c r="D1023" i="55"/>
  <c r="D1024" i="55"/>
  <c r="D1025" i="55"/>
  <c r="D1026" i="55"/>
  <c r="D1027" i="55"/>
  <c r="D1028" i="55"/>
  <c r="D1029" i="55"/>
  <c r="D1030" i="55"/>
  <c r="D1031" i="55"/>
  <c r="D1032" i="55"/>
  <c r="D1033" i="55"/>
  <c r="D1034" i="55"/>
  <c r="D1035" i="55"/>
  <c r="D1036" i="55"/>
  <c r="D1037" i="55"/>
  <c r="D1038" i="55"/>
  <c r="D1039" i="55"/>
  <c r="D1040" i="55"/>
  <c r="D1041" i="55"/>
  <c r="D1042" i="55"/>
  <c r="D1043" i="55"/>
  <c r="D1044" i="55"/>
  <c r="D1045" i="55"/>
  <c r="D1046" i="55"/>
  <c r="D1047" i="55"/>
  <c r="D1048" i="55"/>
  <c r="D1049" i="55"/>
  <c r="D1050" i="55"/>
  <c r="D1051" i="55"/>
  <c r="D1052" i="55"/>
  <c r="D1053" i="55"/>
  <c r="D1054" i="55"/>
  <c r="D1055" i="55"/>
  <c r="D1056" i="55"/>
  <c r="D1057" i="55"/>
  <c r="D1058" i="55"/>
  <c r="D1059" i="55"/>
  <c r="D1060" i="55"/>
  <c r="D1061" i="55"/>
  <c r="D1062" i="55"/>
  <c r="D1063" i="55"/>
  <c r="D1064" i="55"/>
  <c r="D1065" i="55"/>
  <c r="D1066" i="55"/>
  <c r="D1067" i="55"/>
  <c r="D1068" i="55"/>
  <c r="D1069" i="55"/>
  <c r="D1070" i="55"/>
  <c r="D1071" i="55"/>
  <c r="D1072" i="55"/>
  <c r="D1073" i="55"/>
  <c r="D1074" i="55"/>
  <c r="D1075" i="55"/>
  <c r="D1076" i="55"/>
  <c r="D1077" i="55"/>
  <c r="D1078" i="55"/>
  <c r="D1079" i="55"/>
  <c r="D1080" i="55"/>
  <c r="D1081" i="55"/>
  <c r="D1082" i="55"/>
  <c r="D1083" i="55"/>
  <c r="D1084" i="55"/>
  <c r="D1085" i="55"/>
  <c r="D1086" i="55"/>
  <c r="D1087" i="55"/>
  <c r="D1088" i="55"/>
  <c r="D1089" i="55"/>
  <c r="D1090" i="55"/>
  <c r="D1091" i="55"/>
  <c r="D1092" i="55"/>
  <c r="D1093" i="55"/>
  <c r="D1094" i="55"/>
  <c r="D1095" i="55"/>
  <c r="D1096" i="55"/>
  <c r="D1097" i="55"/>
  <c r="D1098" i="55"/>
  <c r="D1099" i="55"/>
  <c r="D1100" i="55"/>
  <c r="D1101" i="55"/>
  <c r="D1102" i="55"/>
  <c r="D1103" i="55"/>
  <c r="D1104" i="55"/>
  <c r="D1105" i="55"/>
  <c r="D1106" i="55"/>
  <c r="D1107" i="55"/>
  <c r="D1108" i="55"/>
  <c r="D1109" i="55"/>
  <c r="D1110" i="55"/>
  <c r="D1111" i="55"/>
  <c r="D1112" i="55"/>
  <c r="D1113" i="55"/>
  <c r="D1114" i="55"/>
  <c r="D1115" i="55"/>
  <c r="D1116" i="55"/>
  <c r="D1117" i="55"/>
  <c r="D1118" i="55"/>
  <c r="D1119" i="55"/>
  <c r="D1120" i="55"/>
  <c r="D1121" i="55"/>
  <c r="D1122" i="55"/>
  <c r="D1123" i="55"/>
  <c r="D1124" i="55"/>
  <c r="D1125" i="55"/>
  <c r="D1126" i="55"/>
  <c r="D1127" i="55"/>
  <c r="D1128" i="55"/>
  <c r="D1129" i="55"/>
  <c r="D1130" i="55"/>
  <c r="D1131" i="55"/>
  <c r="D1132" i="55"/>
  <c r="D1133" i="55"/>
  <c r="D1134" i="55"/>
  <c r="D1135" i="55"/>
  <c r="D1136" i="55"/>
  <c r="D1137" i="55"/>
  <c r="D1138" i="55"/>
  <c r="D1139" i="55"/>
  <c r="D1140" i="55"/>
  <c r="D1141" i="55"/>
  <c r="D1142" i="55"/>
  <c r="D1143" i="55"/>
  <c r="D1144" i="55"/>
  <c r="D1145" i="55"/>
  <c r="D1146" i="55"/>
  <c r="D1147" i="55"/>
  <c r="D1148" i="55"/>
  <c r="D1149" i="55"/>
  <c r="D1150" i="55"/>
  <c r="D1151" i="55"/>
  <c r="D1152" i="55"/>
  <c r="D1153" i="55"/>
  <c r="D1154" i="55"/>
  <c r="D1155" i="55"/>
  <c r="D1156" i="55"/>
  <c r="D1157" i="55"/>
  <c r="D1158" i="55"/>
  <c r="D1159" i="55"/>
  <c r="D1160" i="55"/>
  <c r="D1161" i="55"/>
  <c r="D1162" i="55"/>
  <c r="D1163" i="55"/>
  <c r="D1164" i="55"/>
  <c r="D1165" i="55"/>
  <c r="D1166" i="55"/>
  <c r="D1167" i="55"/>
  <c r="D1168" i="55"/>
  <c r="D1169" i="55"/>
  <c r="D1170" i="55"/>
  <c r="D1171" i="55"/>
  <c r="D1172" i="55"/>
  <c r="D1173" i="55"/>
  <c r="D1174" i="55"/>
  <c r="D1175" i="55"/>
  <c r="D1176" i="55"/>
  <c r="D1177" i="55"/>
  <c r="D1178" i="55"/>
  <c r="D1179" i="55"/>
  <c r="D1180" i="55"/>
  <c r="D1181" i="55"/>
  <c r="D1182" i="55"/>
  <c r="D1183" i="55"/>
  <c r="D1184" i="55"/>
  <c r="D1185" i="55"/>
  <c r="D1186" i="55"/>
  <c r="D1187" i="55"/>
  <c r="D1188" i="55"/>
  <c r="D1189" i="55"/>
  <c r="D1190" i="55"/>
  <c r="D1191" i="55"/>
  <c r="D1192" i="55"/>
  <c r="D1193" i="55"/>
  <c r="D1194" i="55"/>
  <c r="D1195" i="55"/>
  <c r="D1196" i="55"/>
  <c r="D1197" i="55"/>
  <c r="D1198" i="55"/>
  <c r="D1199" i="55"/>
  <c r="D1200" i="55"/>
  <c r="D1201" i="55"/>
  <c r="D1202" i="55"/>
  <c r="D1203" i="55"/>
  <c r="D1204" i="55"/>
  <c r="D1205" i="55"/>
  <c r="D1206" i="55"/>
  <c r="D1207" i="55"/>
  <c r="D1208" i="55"/>
  <c r="D1209" i="55"/>
  <c r="D1210" i="55"/>
  <c r="D1211" i="55"/>
  <c r="D1212" i="55"/>
  <c r="D1213" i="55"/>
  <c r="D1214" i="55"/>
  <c r="D1215" i="55"/>
  <c r="D1216" i="55"/>
  <c r="D1217" i="55"/>
  <c r="D1218" i="55"/>
  <c r="D1219" i="55"/>
  <c r="D1220" i="55"/>
  <c r="D1221" i="55"/>
  <c r="D1222" i="55"/>
  <c r="D1223" i="55"/>
  <c r="D1224" i="55"/>
  <c r="D1225" i="55"/>
  <c r="D1226" i="55"/>
  <c r="D1227" i="55"/>
  <c r="D1228" i="55"/>
  <c r="D1229" i="55"/>
  <c r="D1230" i="55"/>
  <c r="D1231" i="55"/>
  <c r="D1232" i="55"/>
  <c r="D1233" i="55"/>
  <c r="D1234" i="55"/>
  <c r="D1235" i="55"/>
  <c r="D1236" i="55"/>
  <c r="D1237" i="55"/>
  <c r="D1238" i="55"/>
  <c r="D1239" i="55"/>
  <c r="D1240" i="55"/>
  <c r="D1241" i="55"/>
  <c r="D1242" i="55"/>
  <c r="D1243" i="55"/>
  <c r="D1244" i="55"/>
  <c r="D1245" i="55"/>
  <c r="D1246" i="55"/>
  <c r="D1247" i="55"/>
  <c r="D1248" i="55"/>
  <c r="D1249" i="55"/>
  <c r="D1250" i="55"/>
  <c r="D1251" i="55"/>
  <c r="D1252" i="55"/>
  <c r="D1253" i="55"/>
  <c r="D1254" i="55"/>
  <c r="D1255" i="55"/>
  <c r="D1256" i="55"/>
  <c r="D1257" i="55"/>
  <c r="D1258" i="55"/>
  <c r="D1259" i="55"/>
  <c r="D1260" i="55"/>
  <c r="D1261" i="55"/>
  <c r="D1262" i="55"/>
  <c r="D1263" i="55"/>
  <c r="D1264" i="55"/>
  <c r="H716" i="55" l="1"/>
  <c r="H617" i="55"/>
  <c r="H666" i="55"/>
  <c r="H597" i="55"/>
  <c r="H559" i="55"/>
  <c r="H298" i="55"/>
  <c r="H357" i="55"/>
  <c r="H365" i="55"/>
  <c r="H373" i="55"/>
  <c r="H381" i="55"/>
  <c r="H389" i="55"/>
  <c r="H397" i="55"/>
  <c r="H405" i="55"/>
  <c r="H413" i="55"/>
  <c r="H421" i="55"/>
  <c r="H429" i="55"/>
  <c r="H437" i="55"/>
  <c r="H356" i="55"/>
  <c r="H364" i="55"/>
  <c r="H372" i="55"/>
  <c r="H380" i="55"/>
  <c r="H388" i="55"/>
  <c r="H396" i="55"/>
  <c r="H355" i="55"/>
  <c r="H363" i="55"/>
  <c r="H371" i="55"/>
  <c r="H379" i="55"/>
  <c r="H387" i="55"/>
  <c r="H395" i="55"/>
  <c r="H403" i="55"/>
  <c r="H411" i="55"/>
  <c r="H427" i="55"/>
  <c r="H435" i="55"/>
  <c r="H354" i="55"/>
  <c r="H382" i="55"/>
  <c r="H386" i="55"/>
  <c r="H441" i="55"/>
  <c r="H449" i="55"/>
  <c r="H457" i="55"/>
  <c r="H465" i="55"/>
  <c r="H472" i="55"/>
  <c r="H480" i="55"/>
  <c r="H488" i="55"/>
  <c r="H361" i="55"/>
  <c r="H368" i="55"/>
  <c r="H375" i="55"/>
  <c r="H393" i="55"/>
  <c r="H400" i="55"/>
  <c r="H408" i="55"/>
  <c r="H416" i="55"/>
  <c r="H424" i="55"/>
  <c r="H432" i="55"/>
  <c r="H440" i="55"/>
  <c r="H448" i="55"/>
  <c r="H456" i="55"/>
  <c r="H464" i="55"/>
  <c r="H471" i="55"/>
  <c r="H479" i="55"/>
  <c r="H487" i="55"/>
  <c r="H374" i="55"/>
  <c r="H399" i="55"/>
  <c r="H407" i="55"/>
  <c r="H415" i="55"/>
  <c r="H370" i="55"/>
  <c r="H398" i="55"/>
  <c r="H434" i="55"/>
  <c r="H445" i="55"/>
  <c r="H454" i="55"/>
  <c r="H466" i="55"/>
  <c r="H474" i="55"/>
  <c r="H478" i="55"/>
  <c r="H492" i="55"/>
  <c r="H500" i="55"/>
  <c r="H508" i="55"/>
  <c r="H516" i="55"/>
  <c r="H524" i="55"/>
  <c r="H367" i="55"/>
  <c r="H406" i="55"/>
  <c r="H425" i="55"/>
  <c r="H428" i="55"/>
  <c r="H431" i="55"/>
  <c r="H453" i="55"/>
  <c r="H462" i="55"/>
  <c r="H473" i="55"/>
  <c r="H482" i="55"/>
  <c r="H486" i="55"/>
  <c r="H491" i="55"/>
  <c r="H499" i="55"/>
  <c r="H507" i="55"/>
  <c r="H515" i="55"/>
  <c r="H523" i="55"/>
  <c r="H530" i="55"/>
  <c r="H531" i="55"/>
  <c r="H532" i="55"/>
  <c r="H533" i="55"/>
  <c r="H534" i="55"/>
  <c r="H536" i="55"/>
  <c r="H537" i="55"/>
  <c r="H538" i="55"/>
  <c r="H539" i="55"/>
  <c r="H540" i="55"/>
  <c r="H541" i="55"/>
  <c r="H542" i="55"/>
  <c r="H543" i="55"/>
  <c r="H544" i="55"/>
  <c r="H545" i="55"/>
  <c r="H546" i="55"/>
  <c r="H547" i="55"/>
  <c r="H548" i="55"/>
  <c r="H549" i="55"/>
  <c r="H550" i="55"/>
  <c r="H551" i="55"/>
  <c r="H552" i="55"/>
  <c r="H553" i="55"/>
  <c r="H554" i="55"/>
  <c r="H555" i="55"/>
  <c r="H557" i="55"/>
  <c r="H558" i="55"/>
  <c r="H561" i="55"/>
  <c r="H562" i="55"/>
  <c r="H563" i="55"/>
  <c r="H564" i="55"/>
  <c r="H565" i="55"/>
  <c r="H566" i="55"/>
  <c r="H567" i="55"/>
  <c r="H568" i="55"/>
  <c r="H569" i="55"/>
  <c r="H570" i="55"/>
  <c r="H571" i="55"/>
  <c r="H366" i="55"/>
  <c r="H392" i="55"/>
  <c r="H402" i="55"/>
  <c r="H414" i="55"/>
  <c r="H360" i="55"/>
  <c r="H369" i="55"/>
  <c r="H377" i="55"/>
  <c r="H385" i="55"/>
  <c r="H376" i="55"/>
  <c r="H417" i="55"/>
  <c r="H420" i="55"/>
  <c r="H423" i="55"/>
  <c r="H461" i="55"/>
  <c r="H467" i="55"/>
  <c r="H404" i="55"/>
  <c r="H409" i="55"/>
  <c r="H412" i="55"/>
  <c r="H430" i="55"/>
  <c r="H450" i="55"/>
  <c r="H477" i="55"/>
  <c r="H496" i="55"/>
  <c r="H504" i="55"/>
  <c r="H512" i="55"/>
  <c r="H520" i="55"/>
  <c r="H527" i="55"/>
  <c r="H394" i="55"/>
  <c r="H401" i="55"/>
  <c r="H439" i="55"/>
  <c r="H443" i="55"/>
  <c r="H446" i="55"/>
  <c r="H460" i="55"/>
  <c r="H476" i="55"/>
  <c r="H391" i="55"/>
  <c r="H442" i="55"/>
  <c r="H463" i="55"/>
  <c r="H469" i="55"/>
  <c r="H495" i="55"/>
  <c r="H511" i="55"/>
  <c r="H519" i="55"/>
  <c r="H455" i="55"/>
  <c r="H458" i="55"/>
  <c r="H497" i="55"/>
  <c r="H517" i="55"/>
  <c r="H522" i="55"/>
  <c r="H654" i="55"/>
  <c r="H662" i="55"/>
  <c r="H670" i="55"/>
  <c r="H678" i="55"/>
  <c r="H687" i="55"/>
  <c r="H695" i="55"/>
  <c r="H703" i="55"/>
  <c r="H711" i="55"/>
  <c r="H719" i="55"/>
  <c r="H418" i="55"/>
  <c r="H452" i="55"/>
  <c r="H483" i="55"/>
  <c r="H525" i="55"/>
  <c r="H620" i="55"/>
  <c r="H624" i="55"/>
  <c r="H628" i="55"/>
  <c r="H632" i="55"/>
  <c r="H636" i="55"/>
  <c r="H640" i="55"/>
  <c r="H644" i="55"/>
  <c r="H648" i="55"/>
  <c r="H653" i="55"/>
  <c r="H661" i="55"/>
  <c r="H669" i="55"/>
  <c r="H677" i="55"/>
  <c r="H686" i="55"/>
  <c r="H694" i="55"/>
  <c r="H702" i="55"/>
  <c r="H710" i="55"/>
  <c r="H718" i="55"/>
  <c r="H390" i="55"/>
  <c r="H505" i="55"/>
  <c r="H384" i="55"/>
  <c r="H436" i="55"/>
  <c r="H475" i="55"/>
  <c r="H490" i="55"/>
  <c r="H494" i="55"/>
  <c r="H513" i="55"/>
  <c r="H529" i="55"/>
  <c r="H619" i="55"/>
  <c r="H623" i="55"/>
  <c r="H627" i="55"/>
  <c r="H631" i="55"/>
  <c r="H635" i="55"/>
  <c r="H639" i="55"/>
  <c r="H647" i="55"/>
  <c r="H651" i="55"/>
  <c r="H659" i="55"/>
  <c r="H667" i="55"/>
  <c r="H675" i="55"/>
  <c r="H433" i="55"/>
  <c r="H506" i="55"/>
  <c r="H589" i="55"/>
  <c r="H596" i="55"/>
  <c r="H604" i="55"/>
  <c r="H612" i="55"/>
  <c r="H630" i="55"/>
  <c r="H652" i="55"/>
  <c r="H656" i="55"/>
  <c r="H668" i="55"/>
  <c r="H672" i="55"/>
  <c r="H688" i="55"/>
  <c r="H697" i="55"/>
  <c r="H701" i="55"/>
  <c r="H714" i="55"/>
  <c r="H724" i="55"/>
  <c r="H732" i="55"/>
  <c r="H740" i="55"/>
  <c r="H748" i="55"/>
  <c r="H756" i="55"/>
  <c r="H764" i="55"/>
  <c r="H755" i="55"/>
  <c r="H763" i="55"/>
  <c r="H771" i="55"/>
  <c r="H773" i="55"/>
  <c r="H775" i="55"/>
  <c r="H777" i="55"/>
  <c r="H779" i="55"/>
  <c r="H781" i="55"/>
  <c r="H784" i="55"/>
  <c r="H786" i="55"/>
  <c r="H788" i="55"/>
  <c r="H790" i="55"/>
  <c r="H792" i="55"/>
  <c r="H794" i="55"/>
  <c r="H422" i="55"/>
  <c r="H426" i="55"/>
  <c r="H444" i="55"/>
  <c r="H447" i="55"/>
  <c r="H481" i="55"/>
  <c r="H502" i="55"/>
  <c r="H581" i="55"/>
  <c r="H588" i="55"/>
  <c r="H595" i="55"/>
  <c r="H603" i="55"/>
  <c r="H611" i="55"/>
  <c r="H625" i="55"/>
  <c r="H641" i="55"/>
  <c r="H649" i="55"/>
  <c r="H655" i="55"/>
  <c r="H665" i="55"/>
  <c r="H671" i="55"/>
  <c r="H683" i="55"/>
  <c r="H696" i="55"/>
  <c r="H709" i="55"/>
  <c r="H731" i="55"/>
  <c r="H739" i="55"/>
  <c r="H747" i="55"/>
  <c r="H772" i="55"/>
  <c r="H774" i="55"/>
  <c r="H776" i="55"/>
  <c r="H780" i="55"/>
  <c r="H782" i="55"/>
  <c r="H783" i="55"/>
  <c r="H785" i="55"/>
  <c r="H787" i="55"/>
  <c r="H789" i="55"/>
  <c r="H791" i="55"/>
  <c r="H793" i="55"/>
  <c r="H795" i="55"/>
  <c r="H498" i="55"/>
  <c r="H501" i="55"/>
  <c r="H580" i="55"/>
  <c r="H584" i="55"/>
  <c r="H601" i="55"/>
  <c r="H606" i="55"/>
  <c r="H629" i="55"/>
  <c r="H638" i="55"/>
  <c r="H642" i="55"/>
  <c r="H663" i="55"/>
  <c r="H673" i="55"/>
  <c r="H676" i="55"/>
  <c r="H679" i="55"/>
  <c r="H707" i="55"/>
  <c r="H713" i="55"/>
  <c r="H736" i="55"/>
  <c r="H745" i="55"/>
  <c r="H757" i="55"/>
  <c r="H766" i="55"/>
  <c r="H770" i="55"/>
  <c r="H800" i="55"/>
  <c r="H808" i="55"/>
  <c r="H816" i="55"/>
  <c r="H824" i="55"/>
  <c r="H832" i="55"/>
  <c r="H840" i="55"/>
  <c r="H798" i="55"/>
  <c r="H814" i="55"/>
  <c r="H829" i="55"/>
  <c r="H700" i="55"/>
  <c r="H812" i="55"/>
  <c r="H828" i="55"/>
  <c r="H836" i="55"/>
  <c r="H510" i="55"/>
  <c r="H514" i="55"/>
  <c r="H521" i="55"/>
  <c r="H579" i="55"/>
  <c r="H583" i="55"/>
  <c r="H600" i="55"/>
  <c r="H605" i="55"/>
  <c r="H618" i="55"/>
  <c r="H633" i="55"/>
  <c r="H690" i="55"/>
  <c r="H727" i="55"/>
  <c r="H744" i="55"/>
  <c r="H753" i="55"/>
  <c r="H765" i="55"/>
  <c r="H799" i="55"/>
  <c r="H807" i="55"/>
  <c r="H815" i="55"/>
  <c r="H823" i="55"/>
  <c r="H831" i="55"/>
  <c r="H839" i="55"/>
  <c r="H830" i="55"/>
  <c r="H838" i="55"/>
  <c r="H813" i="55"/>
  <c r="H804" i="55"/>
  <c r="H509" i="55"/>
  <c r="H578" i="55"/>
  <c r="H582" i="55"/>
  <c r="H594" i="55"/>
  <c r="H706" i="55"/>
  <c r="H722" i="55"/>
  <c r="H735" i="55"/>
  <c r="H752" i="55"/>
  <c r="H761" i="55"/>
  <c r="H806" i="55"/>
  <c r="H822" i="55"/>
  <c r="H837" i="55"/>
  <c r="H362" i="55"/>
  <c r="H610" i="55"/>
  <c r="H646" i="55"/>
  <c r="H725" i="55"/>
  <c r="H734" i="55"/>
  <c r="H738" i="55"/>
  <c r="H820" i="55"/>
  <c r="H493" i="55"/>
  <c r="H572" i="55"/>
  <c r="H573" i="55"/>
  <c r="H575" i="55"/>
  <c r="H576" i="55"/>
  <c r="H577" i="55"/>
  <c r="H598" i="55"/>
  <c r="H616" i="55"/>
  <c r="H622" i="55"/>
  <c r="H626" i="55"/>
  <c r="H637" i="55"/>
  <c r="H682" i="55"/>
  <c r="H689" i="55"/>
  <c r="H693" i="55"/>
  <c r="H712" i="55"/>
  <c r="H715" i="55"/>
  <c r="H726" i="55"/>
  <c r="H730" i="55"/>
  <c r="H743" i="55"/>
  <c r="H760" i="55"/>
  <c r="H769" i="55"/>
  <c r="H797" i="55"/>
  <c r="H805" i="55"/>
  <c r="H821" i="55"/>
  <c r="H410" i="55"/>
  <c r="H438" i="55"/>
  <c r="H593" i="55"/>
  <c r="H796" i="55"/>
  <c r="H358" i="55"/>
  <c r="H489" i="55"/>
  <c r="H528" i="55"/>
  <c r="H586" i="55"/>
  <c r="H591" i="55"/>
  <c r="H608" i="55"/>
  <c r="H613" i="55"/>
  <c r="H621" i="55"/>
  <c r="H634" i="55"/>
  <c r="H650" i="55"/>
  <c r="H684" i="55"/>
  <c r="H692" i="55"/>
  <c r="H708" i="55"/>
  <c r="H720" i="55"/>
  <c r="H729" i="55"/>
  <c r="H741" i="55"/>
  <c r="H750" i="55"/>
  <c r="H754" i="55"/>
  <c r="H767" i="55"/>
  <c r="H802" i="55"/>
  <c r="H810" i="55"/>
  <c r="H818" i="55"/>
  <c r="H826" i="55"/>
  <c r="H834" i="55"/>
  <c r="H614" i="55"/>
  <c r="H681" i="55"/>
  <c r="H749" i="55"/>
  <c r="H827" i="55"/>
  <c r="H660" i="55"/>
  <c r="H803" i="55"/>
  <c r="H833" i="55"/>
  <c r="H459" i="55"/>
  <c r="H484" i="55"/>
  <c r="H592" i="55"/>
  <c r="H602" i="55"/>
  <c r="H728" i="55"/>
  <c r="H746" i="55"/>
  <c r="H762" i="55"/>
  <c r="H835" i="55"/>
  <c r="H468" i="55"/>
  <c r="H383" i="55"/>
  <c r="H526" i="55"/>
  <c r="H609" i="55"/>
  <c r="H645" i="55"/>
  <c r="H664" i="55"/>
  <c r="H680" i="55"/>
  <c r="H699" i="55"/>
  <c r="H704" i="55"/>
  <c r="H721" i="55"/>
  <c r="H759" i="55"/>
  <c r="H801" i="55"/>
  <c r="H590" i="55"/>
  <c r="H658" i="55"/>
  <c r="H691" i="55"/>
  <c r="H817" i="55"/>
  <c r="H607" i="55"/>
  <c r="H811" i="55"/>
  <c r="H585" i="55"/>
  <c r="H733" i="55"/>
  <c r="H359" i="55"/>
  <c r="H809" i="55"/>
  <c r="H843" i="55"/>
  <c r="H587" i="55"/>
  <c r="H698" i="55"/>
  <c r="H758" i="55"/>
  <c r="H742" i="55"/>
  <c r="H825" i="55"/>
  <c r="H717" i="55"/>
  <c r="H842" i="55"/>
  <c r="H674" i="55"/>
  <c r="H819" i="55"/>
  <c r="H841" i="55"/>
  <c r="O289" i="55"/>
  <c r="K148" i="55"/>
  <c r="L148" i="55" s="1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5" i="55"/>
  <c r="H276" i="55"/>
  <c r="H277" i="55"/>
  <c r="H278" i="55"/>
  <c r="H279" i="55"/>
  <c r="H280" i="55"/>
  <c r="H281" i="55"/>
  <c r="H282" i="55"/>
  <c r="H283" i="55"/>
  <c r="H285" i="55"/>
  <c r="H286" i="55"/>
  <c r="H287" i="55"/>
  <c r="H288" i="55"/>
  <c r="H289" i="55"/>
  <c r="H290" i="55"/>
  <c r="H291" i="55"/>
  <c r="H292" i="55"/>
  <c r="H293" i="55"/>
  <c r="H294" i="55"/>
  <c r="H295" i="55"/>
  <c r="H296" i="55"/>
  <c r="H297" i="55"/>
  <c r="H299" i="55"/>
  <c r="H300" i="55"/>
  <c r="H301" i="55"/>
  <c r="H303" i="55"/>
  <c r="H304" i="55"/>
  <c r="H305" i="55"/>
  <c r="H306" i="55"/>
  <c r="H307" i="55"/>
  <c r="H308" i="55"/>
  <c r="H309" i="55"/>
  <c r="H310" i="55"/>
  <c r="H311" i="55"/>
  <c r="H312" i="55"/>
  <c r="H313" i="55"/>
  <c r="H314" i="55"/>
  <c r="H315" i="55"/>
  <c r="H316" i="55"/>
  <c r="H317" i="55"/>
  <c r="H318" i="55"/>
  <c r="H319" i="55"/>
  <c r="H320" i="55"/>
  <c r="H321" i="55"/>
  <c r="H322" i="55"/>
  <c r="H323" i="55"/>
  <c r="H324" i="55"/>
  <c r="H326" i="55"/>
  <c r="H327" i="55"/>
  <c r="H328" i="55"/>
  <c r="H329" i="55"/>
  <c r="H330" i="55"/>
  <c r="H331" i="55"/>
  <c r="H332" i="55"/>
  <c r="H333" i="55"/>
  <c r="H334" i="55"/>
  <c r="H335" i="55"/>
  <c r="H336" i="55"/>
  <c r="H337" i="55"/>
  <c r="H338" i="55"/>
  <c r="H339" i="55"/>
  <c r="H340" i="55"/>
  <c r="H341" i="55"/>
  <c r="H342" i="55"/>
  <c r="H343" i="55"/>
  <c r="H344" i="55"/>
  <c r="H345" i="55"/>
  <c r="H346" i="55"/>
  <c r="H347" i="55"/>
  <c r="H348" i="55"/>
  <c r="H349" i="55"/>
  <c r="H350" i="55"/>
  <c r="H351" i="55"/>
  <c r="H352" i="55"/>
  <c r="H353" i="55"/>
  <c r="H207" i="55"/>
  <c r="H204" i="55"/>
  <c r="H205" i="55"/>
  <c r="H206" i="55"/>
  <c r="K10" i="55"/>
  <c r="L10" i="55" s="1"/>
  <c r="K9" i="55"/>
  <c r="K71" i="55"/>
  <c r="L71" i="55" s="1"/>
  <c r="K25" i="55"/>
  <c r="L25" i="55" s="1"/>
  <c r="K17" i="55"/>
  <c r="L17" i="55" s="1"/>
  <c r="K13" i="55"/>
  <c r="L13" i="55" s="1"/>
  <c r="K11" i="55"/>
  <c r="L11" i="55" s="1"/>
  <c r="K91" i="55"/>
  <c r="L91" i="55" s="1"/>
  <c r="K53" i="55"/>
  <c r="L53" i="55" s="1"/>
  <c r="K52" i="55"/>
  <c r="L52" i="55" s="1"/>
  <c r="K51" i="55"/>
  <c r="L51" i="55" s="1"/>
  <c r="K50" i="55"/>
  <c r="L50" i="55" s="1"/>
  <c r="K45" i="55"/>
  <c r="L45" i="55" s="1"/>
  <c r="K44" i="55"/>
  <c r="L44" i="55" s="1"/>
  <c r="K43" i="55"/>
  <c r="L43" i="55" s="1"/>
  <c r="K42" i="55"/>
  <c r="L42" i="55" s="1"/>
  <c r="K39" i="55"/>
  <c r="L39" i="55" s="1"/>
  <c r="K35" i="55"/>
  <c r="L35" i="55" s="1"/>
  <c r="K26" i="55"/>
  <c r="L26" i="55" s="1"/>
  <c r="H41" i="55"/>
  <c r="H11" i="55"/>
  <c r="K201" i="55"/>
  <c r="L201" i="55" s="1"/>
  <c r="K165" i="55"/>
  <c r="L165" i="55" s="1"/>
  <c r="K162" i="55"/>
  <c r="L162" i="55" s="1"/>
  <c r="K161" i="55"/>
  <c r="L161" i="55" s="1"/>
  <c r="K160" i="55"/>
  <c r="L160" i="55" s="1"/>
  <c r="K159" i="55"/>
  <c r="L159" i="55" s="1"/>
  <c r="K158" i="55"/>
  <c r="L158" i="55" s="1"/>
  <c r="K157" i="55"/>
  <c r="L157" i="55" s="1"/>
  <c r="K156" i="55"/>
  <c r="L156" i="55" s="1"/>
  <c r="K155" i="55"/>
  <c r="L155" i="55" s="1"/>
  <c r="K153" i="55"/>
  <c r="L153" i="55" s="1"/>
  <c r="K152" i="55"/>
  <c r="L152" i="55" s="1"/>
  <c r="K151" i="55"/>
  <c r="L151" i="55" s="1"/>
  <c r="K150" i="55"/>
  <c r="L150" i="55" s="1"/>
  <c r="K149" i="55"/>
  <c r="L149" i="55" s="1"/>
  <c r="K147" i="55"/>
  <c r="L147" i="55" s="1"/>
  <c r="K146" i="55"/>
  <c r="L146" i="55" s="1"/>
  <c r="K145" i="55"/>
  <c r="L145" i="55" s="1"/>
  <c r="K144" i="55"/>
  <c r="L144" i="55" s="1"/>
  <c r="K143" i="55"/>
  <c r="L143" i="55" s="1"/>
  <c r="K142" i="55"/>
  <c r="L142" i="55" s="1"/>
  <c r="K141" i="55"/>
  <c r="L141" i="55" s="1"/>
  <c r="K140" i="55"/>
  <c r="L140" i="55" s="1"/>
  <c r="K139" i="55"/>
  <c r="L139" i="55" s="1"/>
  <c r="K138" i="55"/>
  <c r="L138" i="55" s="1"/>
  <c r="K137" i="55"/>
  <c r="L137" i="55" s="1"/>
  <c r="K136" i="55"/>
  <c r="L136" i="55" s="1"/>
  <c r="K123" i="55"/>
  <c r="L123" i="55" s="1"/>
  <c r="K122" i="55"/>
  <c r="L122" i="55" s="1"/>
  <c r="K99" i="55"/>
  <c r="L99" i="55" s="1"/>
  <c r="K79" i="55"/>
  <c r="L79" i="55" s="1"/>
  <c r="K63" i="55"/>
  <c r="L63" i="55" s="1"/>
  <c r="K34" i="55"/>
  <c r="L34" i="55" s="1"/>
  <c r="K30" i="55"/>
  <c r="L30" i="55" s="1"/>
  <c r="K27" i="55"/>
  <c r="L27" i="55" s="1"/>
  <c r="K24" i="55"/>
  <c r="L24" i="55" s="1"/>
  <c r="K22" i="55"/>
  <c r="L22" i="55" s="1"/>
  <c r="K18" i="55"/>
  <c r="L18" i="55" s="1"/>
  <c r="H27" i="55"/>
  <c r="H24" i="55"/>
  <c r="K197" i="55"/>
  <c r="L197" i="55" s="1"/>
  <c r="K193" i="55"/>
  <c r="L193" i="55" s="1"/>
  <c r="K188" i="55"/>
  <c r="L188" i="55" s="1"/>
  <c r="K181" i="55"/>
  <c r="L181" i="55" s="1"/>
  <c r="K180" i="55"/>
  <c r="L180" i="55" s="1"/>
  <c r="K179" i="55"/>
  <c r="L179" i="55" s="1"/>
  <c r="K178" i="55"/>
  <c r="L178" i="55" s="1"/>
  <c r="K173" i="55"/>
  <c r="L173" i="55" s="1"/>
  <c r="K120" i="55"/>
  <c r="L120" i="55" s="1"/>
  <c r="K95" i="55"/>
  <c r="L95" i="55" s="1"/>
  <c r="K87" i="55"/>
  <c r="L87" i="55" s="1"/>
  <c r="K75" i="55"/>
  <c r="L75" i="55" s="1"/>
  <c r="K67" i="55"/>
  <c r="L67" i="55" s="1"/>
  <c r="K59" i="55"/>
  <c r="L59" i="55" s="1"/>
  <c r="K38" i="55"/>
  <c r="L38" i="55" s="1"/>
  <c r="K36" i="55"/>
  <c r="L36" i="55" s="1"/>
  <c r="K33" i="55"/>
  <c r="L33" i="55" s="1"/>
  <c r="K31" i="55"/>
  <c r="L31" i="55" s="1"/>
  <c r="K21" i="55"/>
  <c r="L21" i="55" s="1"/>
  <c r="K19" i="55"/>
  <c r="L19" i="55" s="1"/>
  <c r="K16" i="55"/>
  <c r="L16" i="55" s="1"/>
  <c r="K14" i="55"/>
  <c r="L14" i="55" s="1"/>
  <c r="H199" i="55"/>
  <c r="H203" i="55"/>
  <c r="H195" i="55"/>
  <c r="H190" i="55"/>
  <c r="H166" i="55"/>
  <c r="H36" i="55"/>
  <c r="H33" i="55"/>
  <c r="H19" i="55"/>
  <c r="H16" i="55"/>
  <c r="H50" i="55"/>
  <c r="K203" i="55"/>
  <c r="L203" i="55" s="1"/>
  <c r="K199" i="55"/>
  <c r="L199" i="55" s="1"/>
  <c r="K195" i="55"/>
  <c r="L195" i="55" s="1"/>
  <c r="K191" i="55"/>
  <c r="L191" i="55" s="1"/>
  <c r="K167" i="55"/>
  <c r="L167" i="55" s="1"/>
  <c r="K132" i="55"/>
  <c r="L132" i="55" s="1"/>
  <c r="K131" i="55"/>
  <c r="L131" i="55" s="1"/>
  <c r="K130" i="55"/>
  <c r="L130" i="55" s="1"/>
  <c r="K129" i="55"/>
  <c r="L129" i="55" s="1"/>
  <c r="K128" i="55"/>
  <c r="L128" i="55" s="1"/>
  <c r="K127" i="55"/>
  <c r="L127" i="55" s="1"/>
  <c r="K126" i="55"/>
  <c r="L126" i="55" s="1"/>
  <c r="K121" i="55"/>
  <c r="L121" i="55" s="1"/>
  <c r="K118" i="55"/>
  <c r="L118" i="55" s="1"/>
  <c r="K117" i="55"/>
  <c r="L117" i="55" s="1"/>
  <c r="K116" i="55"/>
  <c r="L116" i="55" s="1"/>
  <c r="K111" i="55"/>
  <c r="L111" i="55" s="1"/>
  <c r="K110" i="55"/>
  <c r="L110" i="55" s="1"/>
  <c r="K109" i="55"/>
  <c r="L109" i="55" s="1"/>
  <c r="K108" i="55"/>
  <c r="L108" i="55" s="1"/>
  <c r="K103" i="55"/>
  <c r="L103" i="55" s="1"/>
  <c r="K102" i="55"/>
  <c r="L102" i="55" s="1"/>
  <c r="K97" i="55"/>
  <c r="L97" i="55" s="1"/>
  <c r="K93" i="55"/>
  <c r="L93" i="55" s="1"/>
  <c r="K89" i="55"/>
  <c r="L89" i="55" s="1"/>
  <c r="K85" i="55"/>
  <c r="L85" i="55" s="1"/>
  <c r="K83" i="55"/>
  <c r="L83" i="55" s="1"/>
  <c r="K77" i="55"/>
  <c r="L77" i="55" s="1"/>
  <c r="K73" i="55"/>
  <c r="L73" i="55" s="1"/>
  <c r="K69" i="55"/>
  <c r="L69" i="55" s="1"/>
  <c r="K65" i="55"/>
  <c r="L65" i="55" s="1"/>
  <c r="K61" i="55"/>
  <c r="L61" i="55" s="1"/>
  <c r="K57" i="55"/>
  <c r="L57" i="55" s="1"/>
  <c r="K40" i="55"/>
  <c r="L40" i="55" s="1"/>
  <c r="K37" i="55"/>
  <c r="L37" i="55" s="1"/>
  <c r="K32" i="55"/>
  <c r="L32" i="55" s="1"/>
  <c r="K29" i="55"/>
  <c r="L29" i="55" s="1"/>
  <c r="K23" i="55"/>
  <c r="L23" i="55" s="1"/>
  <c r="K20" i="55"/>
  <c r="L20" i="55" s="1"/>
  <c r="K15" i="55"/>
  <c r="L15" i="55" s="1"/>
  <c r="K12" i="55"/>
  <c r="L12" i="55" s="1"/>
  <c r="H201" i="55"/>
  <c r="H197" i="55"/>
  <c r="H193" i="55"/>
  <c r="H192" i="55"/>
  <c r="H188" i="55"/>
  <c r="H187" i="55"/>
  <c r="H186" i="55"/>
  <c r="H178" i="55"/>
  <c r="H168" i="55"/>
  <c r="H164" i="55"/>
  <c r="H159" i="55"/>
  <c r="H158" i="55"/>
  <c r="H157" i="55"/>
  <c r="H156" i="55"/>
  <c r="H155" i="55"/>
  <c r="H154" i="55"/>
  <c r="H153" i="55"/>
  <c r="H152" i="55"/>
  <c r="H151" i="55"/>
  <c r="H150" i="55"/>
  <c r="H149" i="55"/>
  <c r="H148" i="55"/>
  <c r="H147" i="55"/>
  <c r="H146" i="55"/>
  <c r="H145" i="55"/>
  <c r="H144" i="55"/>
  <c r="H143" i="55"/>
  <c r="H142" i="55"/>
  <c r="H141" i="55"/>
  <c r="H140" i="55"/>
  <c r="H139" i="55"/>
  <c r="H138" i="55"/>
  <c r="H137" i="55"/>
  <c r="H136" i="55"/>
  <c r="H134" i="55"/>
  <c r="H133" i="55"/>
  <c r="H132" i="55"/>
  <c r="H131" i="55"/>
  <c r="H130" i="55"/>
  <c r="H129" i="55"/>
  <c r="H128" i="55"/>
  <c r="H127" i="55"/>
  <c r="H126" i="55"/>
  <c r="H125" i="55"/>
  <c r="H119" i="55"/>
  <c r="H118" i="55"/>
  <c r="H117" i="55"/>
  <c r="H116" i="55"/>
  <c r="H108" i="55"/>
  <c r="H83" i="55"/>
  <c r="H43" i="55"/>
  <c r="H46" i="55"/>
  <c r="H54" i="55"/>
  <c r="K202" i="55"/>
  <c r="L202" i="55" s="1"/>
  <c r="K200" i="55"/>
  <c r="L200" i="55" s="1"/>
  <c r="K198" i="55"/>
  <c r="L198" i="55" s="1"/>
  <c r="K196" i="55"/>
  <c r="L196" i="55" s="1"/>
  <c r="K194" i="55"/>
  <c r="L194" i="55" s="1"/>
  <c r="K189" i="55"/>
  <c r="L189" i="55" s="1"/>
  <c r="K185" i="55"/>
  <c r="L185" i="55" s="1"/>
  <c r="K184" i="55"/>
  <c r="L184" i="55" s="1"/>
  <c r="K183" i="55"/>
  <c r="L183" i="55" s="1"/>
  <c r="K182" i="55"/>
  <c r="L182" i="55" s="1"/>
  <c r="H182" i="55"/>
  <c r="K177" i="55"/>
  <c r="L177" i="55" s="1"/>
  <c r="K176" i="55"/>
  <c r="L176" i="55" s="1"/>
  <c r="K175" i="55"/>
  <c r="L175" i="55" s="1"/>
  <c r="K174" i="55"/>
  <c r="L174" i="55" s="1"/>
  <c r="H174" i="55"/>
  <c r="K171" i="55"/>
  <c r="L171" i="55" s="1"/>
  <c r="K170" i="55"/>
  <c r="L170" i="55" s="1"/>
  <c r="H170" i="55"/>
  <c r="K168" i="55"/>
  <c r="L168" i="55" s="1"/>
  <c r="K166" i="55"/>
  <c r="L166" i="55" s="1"/>
  <c r="K164" i="55"/>
  <c r="L164" i="55" s="1"/>
  <c r="H163" i="55"/>
  <c r="K115" i="55"/>
  <c r="L115" i="55" s="1"/>
  <c r="K114" i="55"/>
  <c r="L114" i="55" s="1"/>
  <c r="K113" i="55"/>
  <c r="L113" i="55" s="1"/>
  <c r="K112" i="55"/>
  <c r="L112" i="55" s="1"/>
  <c r="H112" i="55"/>
  <c r="K107" i="55"/>
  <c r="L107" i="55" s="1"/>
  <c r="K106" i="55"/>
  <c r="L106" i="55" s="1"/>
  <c r="K105" i="55"/>
  <c r="L105" i="55" s="1"/>
  <c r="K104" i="55"/>
  <c r="L104" i="55" s="1"/>
  <c r="H104" i="55"/>
  <c r="K100" i="55"/>
  <c r="L100" i="55" s="1"/>
  <c r="K98" i="55"/>
  <c r="L98" i="55" s="1"/>
  <c r="K96" i="55"/>
  <c r="L96" i="55" s="1"/>
  <c r="K94" i="55"/>
  <c r="L94" i="55" s="1"/>
  <c r="K92" i="55"/>
  <c r="L92" i="55" s="1"/>
  <c r="K90" i="55"/>
  <c r="L90" i="55" s="1"/>
  <c r="H42" i="55"/>
  <c r="H40" i="55"/>
  <c r="H37" i="55"/>
  <c r="H32" i="55"/>
  <c r="H29" i="55"/>
  <c r="H23" i="55"/>
  <c r="H20" i="55"/>
  <c r="H15" i="55"/>
  <c r="H12" i="55"/>
  <c r="K88" i="55"/>
  <c r="L88" i="55" s="1"/>
  <c r="K86" i="55"/>
  <c r="L86" i="55" s="1"/>
  <c r="K82" i="55"/>
  <c r="L82" i="55" s="1"/>
  <c r="K81" i="55"/>
  <c r="L81" i="55" s="1"/>
  <c r="K78" i="55"/>
  <c r="L78" i="55" s="1"/>
  <c r="K76" i="55"/>
  <c r="L76" i="55" s="1"/>
  <c r="K74" i="55"/>
  <c r="L74" i="55" s="1"/>
  <c r="K72" i="55"/>
  <c r="L72" i="55" s="1"/>
  <c r="K70" i="55"/>
  <c r="L70" i="55" s="1"/>
  <c r="K68" i="55"/>
  <c r="L68" i="55" s="1"/>
  <c r="K66" i="55"/>
  <c r="L66" i="55" s="1"/>
  <c r="K64" i="55"/>
  <c r="L64" i="55" s="1"/>
  <c r="K62" i="55"/>
  <c r="L62" i="55" s="1"/>
  <c r="K60" i="55"/>
  <c r="L60" i="55" s="1"/>
  <c r="K58" i="55"/>
  <c r="L58" i="55" s="1"/>
  <c r="K56" i="55"/>
  <c r="L56" i="55" s="1"/>
  <c r="K54" i="55"/>
  <c r="L54" i="55" s="1"/>
  <c r="K49" i="55"/>
  <c r="L49" i="55" s="1"/>
  <c r="K48" i="55"/>
  <c r="L48" i="55" s="1"/>
  <c r="K47" i="55"/>
  <c r="L47" i="55" s="1"/>
  <c r="K46" i="55"/>
  <c r="L46" i="55" s="1"/>
  <c r="H184" i="55"/>
  <c r="H180" i="55"/>
  <c r="H176" i="55"/>
  <c r="H161" i="55"/>
  <c r="H114" i="55"/>
  <c r="H110" i="55"/>
  <c r="H106" i="55"/>
  <c r="H102" i="55"/>
  <c r="H100" i="55"/>
  <c r="H98" i="55"/>
  <c r="H96" i="55"/>
  <c r="H94" i="55"/>
  <c r="H92" i="55"/>
  <c r="H90" i="55"/>
  <c r="H88" i="55"/>
  <c r="H86" i="55"/>
  <c r="H81" i="55"/>
  <c r="H79" i="55"/>
  <c r="H77" i="55"/>
  <c r="H75" i="55"/>
  <c r="H73" i="55"/>
  <c r="H71" i="55"/>
  <c r="H69" i="55"/>
  <c r="H67" i="55"/>
  <c r="H65" i="55"/>
  <c r="H63" i="55"/>
  <c r="H61" i="55"/>
  <c r="H59" i="55"/>
  <c r="H57" i="55"/>
  <c r="H52" i="55"/>
  <c r="H48" i="55"/>
  <c r="H44" i="55"/>
  <c r="H202" i="55"/>
  <c r="H200" i="55"/>
  <c r="H198" i="55"/>
  <c r="H196" i="55"/>
  <c r="H194" i="55"/>
  <c r="H191" i="55"/>
  <c r="H189" i="55"/>
  <c r="H185" i="55"/>
  <c r="H183" i="55"/>
  <c r="H181" i="55"/>
  <c r="H179" i="55"/>
  <c r="H177" i="55"/>
  <c r="H175" i="55"/>
  <c r="H173" i="55"/>
  <c r="H172" i="55"/>
  <c r="H171" i="55"/>
  <c r="H169" i="55"/>
  <c r="H167" i="55"/>
  <c r="H165" i="55"/>
  <c r="H162" i="55"/>
  <c r="H160" i="55"/>
  <c r="H135" i="55"/>
  <c r="H124" i="55"/>
  <c r="H123" i="55"/>
  <c r="H122" i="55"/>
  <c r="H121" i="55"/>
  <c r="H120" i="55"/>
  <c r="H115" i="55"/>
  <c r="H113" i="55"/>
  <c r="H111" i="55"/>
  <c r="H109" i="55"/>
  <c r="H107" i="55"/>
  <c r="H105" i="55"/>
  <c r="H103" i="55"/>
  <c r="H101" i="55"/>
  <c r="H99" i="55"/>
  <c r="H97" i="55"/>
  <c r="H95" i="55"/>
  <c r="H93" i="55"/>
  <c r="H91" i="55"/>
  <c r="H89" i="55"/>
  <c r="H87" i="55"/>
  <c r="H85" i="55"/>
  <c r="H84" i="55"/>
  <c r="H82" i="55"/>
  <c r="H80" i="55"/>
  <c r="H78" i="55"/>
  <c r="H76" i="55"/>
  <c r="H74" i="55"/>
  <c r="H72" i="55"/>
  <c r="H70" i="55"/>
  <c r="H68" i="55"/>
  <c r="H66" i="55"/>
  <c r="H64" i="55"/>
  <c r="H62" i="55"/>
  <c r="H60" i="55"/>
  <c r="H58" i="55"/>
  <c r="H56" i="55"/>
  <c r="H55" i="55"/>
  <c r="H53" i="55"/>
  <c r="H51" i="55"/>
  <c r="H49" i="55"/>
  <c r="H47" i="55"/>
  <c r="H45" i="55"/>
  <c r="H39" i="55"/>
  <c r="H38" i="55"/>
  <c r="H35" i="55"/>
  <c r="H34" i="55"/>
  <c r="H31" i="55"/>
  <c r="H30" i="55"/>
  <c r="H26" i="55"/>
  <c r="H25" i="55"/>
  <c r="H22" i="55"/>
  <c r="H21" i="55"/>
  <c r="H18" i="55"/>
  <c r="H17" i="55"/>
  <c r="H14" i="55"/>
  <c r="H13" i="55"/>
  <c r="H10" i="55"/>
  <c r="H9" i="55"/>
  <c r="L9" i="55" l="1"/>
  <c r="N235" i="55"/>
  <c r="N214" i="55"/>
  <c r="F15" i="8" l="1"/>
  <c r="H15" i="8"/>
  <c r="C9" i="12"/>
  <c r="I15" i="8" l="1"/>
  <c r="B6" i="12"/>
  <c r="E9" i="12" s="1"/>
  <c r="Q124" i="1"/>
  <c r="R124" i="1"/>
  <c r="R14" i="1"/>
  <c r="Q14" i="1"/>
  <c r="R5" i="1"/>
  <c r="R4" i="1"/>
  <c r="Q5" i="1"/>
  <c r="Q4" i="1"/>
  <c r="E23" i="8"/>
  <c r="E15" i="8"/>
  <c r="B15" i="8"/>
  <c r="R6" i="1"/>
  <c r="R7" i="1"/>
  <c r="R8" i="1"/>
  <c r="R9" i="1"/>
  <c r="R10" i="1"/>
  <c r="R11" i="1"/>
  <c r="R12" i="1"/>
  <c r="R13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5" i="1"/>
  <c r="R126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3" i="1"/>
  <c r="Q6" i="1"/>
  <c r="Q7" i="1"/>
  <c r="Q8" i="1"/>
  <c r="Q9" i="1"/>
  <c r="Q10" i="1"/>
  <c r="Q11" i="1"/>
  <c r="Q12" i="1"/>
  <c r="Q13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5" i="1"/>
  <c r="Q126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3" i="1"/>
  <c r="Q145" i="1"/>
  <c r="F17" i="8" l="1"/>
  <c r="R1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.</author>
    <author>User</author>
  </authors>
  <commentList>
    <comment ref="L35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 1º PARCELA PROGRAMA 433,33
</t>
        </r>
      </text>
    </comment>
    <comment ref="L39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 1º PARCELA PROGRAMA 433,33
</t>
        </r>
      </text>
    </comment>
    <comment ref="B111" authorId="1" shapeId="0" xr:uid="{00000000-0006-0000-0400-000003000000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28/06 PG 2633,86
DEB ANTERIORES</t>
        </r>
      </text>
    </comment>
    <comment ref="I111" authorId="1" shapeId="0" xr:uid="{00000000-0006-0000-0400-000004000000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PAGO ATRASADO 2662,00
CHEQUE</t>
        </r>
      </text>
    </comment>
    <comment ref="K513" authorId="0" shapeId="0" xr:uid="{00000000-0006-0000-0400-000005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  <comment ref="L513" authorId="0" shapeId="0" xr:uid="{00000000-0006-0000-0400-000006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.</author>
    <author>User</author>
  </authors>
  <commentList>
    <comment ref="L39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 1º PARCELA PROGRAMA 433,33
</t>
        </r>
      </text>
    </comment>
    <comment ref="L43" authorId="0" shapeId="0" xr:uid="{00000000-0006-0000-0600-000002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 1º PARCELA PROGRAMA 433,33
</t>
        </r>
      </text>
    </comment>
    <comment ref="B115" authorId="1" shapeId="0" xr:uid="{00000000-0006-0000-0600-000003000000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28/06 PG 2633,86
DEB ANTERIORES</t>
        </r>
      </text>
    </comment>
    <comment ref="I115" authorId="1" shapeId="0" xr:uid="{00000000-0006-0000-0600-000004000000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PAGO ATRASADO 2662,00
CHEQUE</t>
        </r>
      </text>
    </comment>
    <comment ref="K476" authorId="0" shapeId="0" xr:uid="{00000000-0006-0000-0600-000005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  <comment ref="L476" authorId="0" shapeId="0" xr:uid="{00000000-0006-0000-0600-000006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.</author>
  </authors>
  <commentList>
    <comment ref="L39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 1º PARCELA PROGRAMA 433,33
</t>
        </r>
      </text>
    </comment>
    <comment ref="I460" authorId="0" shapeId="0" xr:uid="{00000000-0006-0000-1100-000002000000}">
      <text>
        <r>
          <rPr>
            <sz val="9"/>
            <color indexed="81"/>
            <rFont val="Segoe UI"/>
            <family val="2"/>
          </rPr>
          <t xml:space="preserve">PAGOU 1º PARCELA DO PROGRAMA 217,00
</t>
        </r>
      </text>
    </comment>
    <comment ref="J460" authorId="0" shapeId="0" xr:uid="{00000000-0006-0000-1100-000003000000}">
      <text>
        <r>
          <rPr>
            <sz val="9"/>
            <color indexed="81"/>
            <rFont val="Segoe UI"/>
            <family val="2"/>
          </rPr>
          <t xml:space="preserve">PAGOU 2º PARCELA DO PROGRAMA 217,00
</t>
        </r>
      </text>
    </comment>
    <comment ref="K460" authorId="0" shapeId="0" xr:uid="{00000000-0006-0000-1100-000004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  <comment ref="L460" authorId="0" shapeId="0" xr:uid="{00000000-0006-0000-1100-000005000000}">
      <text>
        <r>
          <rPr>
            <sz val="9"/>
            <color indexed="81"/>
            <rFont val="Segoe UI"/>
            <family val="2"/>
          </rPr>
          <t xml:space="preserve">PAGOU 3º PARCELA DO PROGRAMA 217,00
</t>
        </r>
      </text>
    </comment>
    <comment ref="B472" authorId="0" shapeId="0" xr:uid="{00000000-0006-0000-1100-000006000000}">
      <text>
        <r>
          <rPr>
            <b/>
            <sz val="9"/>
            <color indexed="81"/>
            <rFont val="Segoe UI"/>
            <family val="2"/>
          </rPr>
          <t>.:</t>
        </r>
        <r>
          <rPr>
            <sz val="9"/>
            <color indexed="81"/>
            <rFont val="Segoe UI"/>
            <family val="2"/>
          </rPr>
          <t xml:space="preserve">
PAGOU 5.087, DIVIDI ENTRE 3 MESES, SOBROU 500 REAIS 
</t>
        </r>
      </text>
    </comment>
  </commentList>
</comments>
</file>

<file path=xl/sharedStrings.xml><?xml version="1.0" encoding="utf-8"?>
<sst xmlns="http://schemas.openxmlformats.org/spreadsheetml/2006/main" count="12703" uniqueCount="2263">
  <si>
    <t>EMPRESA</t>
  </si>
  <si>
    <t>AGROPECUARIA ANDRÉ E ANDRESSA</t>
  </si>
  <si>
    <t>ANTONIO MARCOS DE OLIVEIRA</t>
  </si>
  <si>
    <t>RECEBIDO</t>
  </si>
  <si>
    <t>EM ABERTO</t>
  </si>
  <si>
    <t>HORIZONTE CONSTRUTORA AR</t>
  </si>
  <si>
    <t>TLA CLINICA</t>
  </si>
  <si>
    <t>ANDERSON RODRIGUES</t>
  </si>
  <si>
    <t>PASTELARIA CABANGU</t>
  </si>
  <si>
    <t>CASA DO PASTEL</t>
  </si>
  <si>
    <t>CABANGU CLUBE</t>
  </si>
  <si>
    <t>EDUARDO GUEIROS</t>
  </si>
  <si>
    <t>BAR E MERC. DRIJAIR</t>
  </si>
  <si>
    <t>RICARDO MODESTO</t>
  </si>
  <si>
    <t>CLINICA ANIMA</t>
  </si>
  <si>
    <t>LAR SÃO MIGUEL</t>
  </si>
  <si>
    <t>AUTO PEÇAS DMGA</t>
  </si>
  <si>
    <t xml:space="preserve">CONSELHO CENTRAL </t>
  </si>
  <si>
    <t>J &amp; M ACADEMIA</t>
  </si>
  <si>
    <t>Nº</t>
  </si>
  <si>
    <t>AUTO CENTER MELO</t>
  </si>
  <si>
    <t>DUMONT CICLE</t>
  </si>
  <si>
    <t>IR</t>
  </si>
  <si>
    <t>DUMONT TINTAS</t>
  </si>
  <si>
    <t>IMPERIO ACESSÓRIOS</t>
  </si>
  <si>
    <t>CHOCOLATERIA</t>
  </si>
  <si>
    <t>FUNERARIA SANTOS</t>
  </si>
  <si>
    <t>STUDIO ALAN PEDRO</t>
  </si>
  <si>
    <t>HELIO VICENTE</t>
  </si>
  <si>
    <t>MOVER</t>
  </si>
  <si>
    <t>INACLIN</t>
  </si>
  <si>
    <t>MERCEARIA VILA</t>
  </si>
  <si>
    <t>DL ODONTO</t>
  </si>
  <si>
    <t>CARLOS EDUARDO</t>
  </si>
  <si>
    <t>JOSE VICENTE CHAGAS</t>
  </si>
  <si>
    <t>JORGE LUIS F. RIBEIRO</t>
  </si>
  <si>
    <t xml:space="preserve">WANIA </t>
  </si>
  <si>
    <t>CENTRO MÉDICO S. LUCAS</t>
  </si>
  <si>
    <t>CONST. SHAMMAH</t>
  </si>
  <si>
    <t>SERGIO RODRIGUES</t>
  </si>
  <si>
    <t>MERCEARIA CAMPOS DO VALE</t>
  </si>
  <si>
    <t>MARIA PAULA</t>
  </si>
  <si>
    <t xml:space="preserve">MGD </t>
  </si>
  <si>
    <t>RODA VIVA</t>
  </si>
  <si>
    <t>PADARIA SÃO JORGE</t>
  </si>
  <si>
    <t>P &amp; A</t>
  </si>
  <si>
    <t>PEÇAS NOVAS</t>
  </si>
  <si>
    <t>PEDRO PAULO RUFFO</t>
  </si>
  <si>
    <t>LAB. RUBENS TOLEDO</t>
  </si>
  <si>
    <t>FABIOLA GABRIELA</t>
  </si>
  <si>
    <t>HOMERITON</t>
  </si>
  <si>
    <t>ANA BEATRIZ</t>
  </si>
  <si>
    <t>SANTEC</t>
  </si>
  <si>
    <t xml:space="preserve"> AMARAL MIRANDA</t>
  </si>
  <si>
    <t>SERRANA</t>
  </si>
  <si>
    <t>VANROGER</t>
  </si>
  <si>
    <t>VIAÇÃO PIRES</t>
  </si>
  <si>
    <t>VIAÇÃO SÃO MIGUEL</t>
  </si>
  <si>
    <t>FLORIPES</t>
  </si>
  <si>
    <t xml:space="preserve">L &amp; H </t>
  </si>
  <si>
    <t>SAPATARIA FREITAS</t>
  </si>
  <si>
    <t>TURENA</t>
  </si>
  <si>
    <t>MERCEARIA GIOLI</t>
  </si>
  <si>
    <t>GERALDO NASCIMENTO</t>
  </si>
  <si>
    <t>STUDIO DIOGO</t>
  </si>
  <si>
    <t>ALONSO E ABJAUDE</t>
  </si>
  <si>
    <t>MENDES</t>
  </si>
  <si>
    <t>RICARDO BERNARDO</t>
  </si>
  <si>
    <t>RODRIGUES E CAETANO</t>
  </si>
  <si>
    <t>BIOPHARMA</t>
  </si>
  <si>
    <t>PRISCILA RUANA</t>
  </si>
  <si>
    <t>CELIO HAUCK</t>
  </si>
  <si>
    <t>OPÇÃO INFORMATICA</t>
  </si>
  <si>
    <t>DIEGO GARCIA</t>
  </si>
  <si>
    <t>LUIS FERNANDO</t>
  </si>
  <si>
    <t>COURI LOTERIAS</t>
  </si>
  <si>
    <t>DJJ</t>
  </si>
  <si>
    <t>JOSIANE NELMA</t>
  </si>
  <si>
    <t>SANDSCOR</t>
  </si>
  <si>
    <t>CLAUDIA M. MARQUES</t>
  </si>
  <si>
    <t>ASSOCIAÇÃO S. MIGUEL</t>
  </si>
  <si>
    <t>AUXILIADORA</t>
  </si>
  <si>
    <t>LARA FERNANDA</t>
  </si>
  <si>
    <t>OSVANE HOMEM</t>
  </si>
  <si>
    <t>ANTONIO CARLOS</t>
  </si>
  <si>
    <t>PEDRO MENDES</t>
  </si>
  <si>
    <t>ANA LUISA</t>
  </si>
  <si>
    <t>VALERIA CRISTINA</t>
  </si>
  <si>
    <t>LAB. RIO DAS OSTRAS</t>
  </si>
  <si>
    <t>WANDERLEI BATISTA</t>
  </si>
  <si>
    <t>JORGE MANSUR</t>
  </si>
  <si>
    <t>RODRIGO ABUD</t>
  </si>
  <si>
    <t>JOSE FRANCISCO</t>
  </si>
  <si>
    <t>MARIO AUGUSTO</t>
  </si>
  <si>
    <t>DIENNIFFER BRUNA</t>
  </si>
  <si>
    <t>CORPEL</t>
  </si>
  <si>
    <t>YES CURSO IDIOMAS</t>
  </si>
  <si>
    <t>ANDRÉ VOLPE</t>
  </si>
  <si>
    <t>MAICON TRATORES</t>
  </si>
  <si>
    <t>HORIZONTE MG</t>
  </si>
  <si>
    <t>PETISCOS</t>
  </si>
  <si>
    <t>MARFLAS</t>
  </si>
  <si>
    <t>WANILDA FERREIRA</t>
  </si>
  <si>
    <t>VISODONTO</t>
  </si>
  <si>
    <t>ANNA MARIA</t>
  </si>
  <si>
    <t>MARIA FLORINDA</t>
  </si>
  <si>
    <t>SILMAR JOSE DIAS</t>
  </si>
  <si>
    <t>NN MODAS</t>
  </si>
  <si>
    <t>FLAGA</t>
  </si>
  <si>
    <t>SERRARIA EWBANCKENSE</t>
  </si>
  <si>
    <t>TATIANA L. AMARAL</t>
  </si>
  <si>
    <t>FLAVIA LEOPOLDINO</t>
  </si>
  <si>
    <t>VIRGINIA FERRAZ</t>
  </si>
  <si>
    <t>DOUGLAS MARY</t>
  </si>
  <si>
    <t>PATRICIA F. VILELLA</t>
  </si>
  <si>
    <t>PROD. LATICINIOS ISA</t>
  </si>
  <si>
    <t>SWAP</t>
  </si>
  <si>
    <t>LUCIA CUSTODIO</t>
  </si>
  <si>
    <t>LAMAS</t>
  </si>
  <si>
    <t>NELSON FERREIRA</t>
  </si>
  <si>
    <t>TON ARMARINHO</t>
  </si>
  <si>
    <t>HELIO ALVIM</t>
  </si>
  <si>
    <t>CONDOMINIO MARCELO LISBOA</t>
  </si>
  <si>
    <t>RAQUEL PATICCIE</t>
  </si>
  <si>
    <t>LIDIANE APARECIDA</t>
  </si>
  <si>
    <t>FAZENDA HOTEL ALVORADA</t>
  </si>
  <si>
    <t>RJC</t>
  </si>
  <si>
    <t>CARLOS SOARES</t>
  </si>
  <si>
    <t>MARILIA COELHO</t>
  </si>
  <si>
    <t>EDINARTTE</t>
  </si>
  <si>
    <t>DIOGO QUINTINO</t>
  </si>
  <si>
    <t>TOTAL</t>
  </si>
  <si>
    <t>PEDRO ELIAS</t>
  </si>
  <si>
    <t>COMUNIDADE VIDA ABUNDANTE</t>
  </si>
  <si>
    <t>SINDICATO RURAL</t>
  </si>
  <si>
    <t>ROSEMBERG</t>
  </si>
  <si>
    <t>ESCOLA FUTEBOL DO FUTURO</t>
  </si>
  <si>
    <t>PALMIERI EMPREENDIMENTOS</t>
  </si>
  <si>
    <t>MARIA IMACULADA CAMPOS DE CASTRO</t>
  </si>
  <si>
    <t>CLAUDIO AUGUSTO</t>
  </si>
  <si>
    <t>DL CONSTRUTORA</t>
  </si>
  <si>
    <t>VINICIUS ABRAO</t>
  </si>
  <si>
    <t>LUIZ FILIPY</t>
  </si>
  <si>
    <t>JONATHAN MILTON</t>
  </si>
  <si>
    <t>CEFF</t>
  </si>
  <si>
    <t>Décimo terceiro</t>
  </si>
  <si>
    <t>Código</t>
  </si>
  <si>
    <t>Cliente</t>
  </si>
  <si>
    <t>AGROPECUARIA BICHO DO MATO</t>
  </si>
  <si>
    <t>01.22</t>
  </si>
  <si>
    <t>02.22</t>
  </si>
  <si>
    <t>03.22</t>
  </si>
  <si>
    <t>04.22</t>
  </si>
  <si>
    <t>05.22</t>
  </si>
  <si>
    <t>06.22</t>
  </si>
  <si>
    <t>07.22</t>
  </si>
  <si>
    <t>08.22</t>
  </si>
  <si>
    <t>09.22</t>
  </si>
  <si>
    <t>10.22</t>
  </si>
  <si>
    <t>11.22</t>
  </si>
  <si>
    <t>12.22</t>
  </si>
  <si>
    <t>ANTONIO MARCOS DE OLIVEIRACPF: 964.864.066-15</t>
  </si>
  <si>
    <t>TLA CLINICA ODONTOLOGICA LTDA</t>
  </si>
  <si>
    <t>CLAUDIO AUGUSTO FERREIRA</t>
  </si>
  <si>
    <t>LANCHONETE AVENIDA</t>
  </si>
  <si>
    <t>CABANGU CAMPESTRE CLUBE</t>
  </si>
  <si>
    <t>LATICINIOS RIO PINHO</t>
  </si>
  <si>
    <t>CENTRO MEDICO SAO LUCAS LTDA</t>
  </si>
  <si>
    <t>BAR E MERCEARIA DRIJAIR LTDA</t>
  </si>
  <si>
    <t>ITA DISTRIBUIDORA ALIMENTOS E DESCARTAVEIS</t>
  </si>
  <si>
    <t>CLINICA ANIMA DE PSICOLOGIA LTDA</t>
  </si>
  <si>
    <t>LAR SAO MIGUEL</t>
  </si>
  <si>
    <t>AUTO PECAS D.M.G.A. LTDA</t>
  </si>
  <si>
    <t>CONSELHO CENTRAL (CCSD)</t>
  </si>
  <si>
    <t>PALMIERI EMPREENDIMENTOS IMOBILIARIOS LTDA</t>
  </si>
  <si>
    <t>DUMONT CICLE LTDA</t>
  </si>
  <si>
    <t>DUMONT TINTAS LTDA</t>
  </si>
  <si>
    <t>CACAU SHOW</t>
  </si>
  <si>
    <t>FUNERARIA SANTOS LTDA</t>
  </si>
  <si>
    <t>HELIO VICENTE TEIXEIRA</t>
  </si>
  <si>
    <t>MOVER LOCACAO E TRANSPORTES</t>
  </si>
  <si>
    <t>LABORATORIO INACLIN</t>
  </si>
  <si>
    <t>DL ODONTOLOGIA INTEGRADA</t>
  </si>
  <si>
    <t>CONSTRUTORA SHAMMAH</t>
  </si>
  <si>
    <t>CABANGU GRILL</t>
  </si>
  <si>
    <t>CARLOS EDUARDO DAMASCENO ALVIM 81471726649</t>
  </si>
  <si>
    <t>J COUROS</t>
  </si>
  <si>
    <t>EMPORIO DO JORGE RIBEIRO</t>
  </si>
  <si>
    <t>BAR E MERCEARIA OLIVEIRA</t>
  </si>
  <si>
    <t>SERGIO RODRIGUES DE LIMA</t>
  </si>
  <si>
    <t>DL CONSTRUÇÃO &amp; INCORPORAÇÃO LTDA - ME</t>
  </si>
  <si>
    <t>MERCEARIA CAMPOS DO VALE LTDA</t>
  </si>
  <si>
    <t>MERCADO AVENIDA</t>
  </si>
  <si>
    <t>MGD USINAGEM LTDA</t>
  </si>
  <si>
    <t>MINI BAR RODA VIVA LTDA</t>
  </si>
  <si>
    <t>PADARIA E CONFEITARIA SAO JORGE LTDA</t>
  </si>
  <si>
    <t>P &amp; A TERRAPLENAGEM LTDA</t>
  </si>
  <si>
    <t>SERGINHO PECAS LTDA</t>
  </si>
  <si>
    <t>PEDRO PAULO RUFFO NOVAIS</t>
  </si>
  <si>
    <t xml:space="preserve">LABORATORIO DE ANALISES RUBENS TOLEDO </t>
  </si>
  <si>
    <t>FABIOLA GABRIELA PINHEIRO DE QUEIROZ</t>
  </si>
  <si>
    <t>HOMERITON MATERIAIS DE CONSTRUCAO LTDA</t>
  </si>
  <si>
    <t>TOQUE DE ARTE DECORACOES</t>
  </si>
  <si>
    <t>SANTEC SERVICOS GERAIS LTDA</t>
  </si>
  <si>
    <t>SERRANA MOTOSSERRAS</t>
  </si>
  <si>
    <t>AUDITEK</t>
  </si>
  <si>
    <t>V PAULA SANTOS</t>
  </si>
  <si>
    <t>VIACAO SAO MIGUEL</t>
  </si>
  <si>
    <t>MRV ESQUADRIAS DE ALUMINIO</t>
  </si>
  <si>
    <t>L &amp; H SERVICOS DE TOPOGRAFIA LTDA</t>
  </si>
  <si>
    <t>TURENA CONSTRUCOES &amp; MARCENARIA</t>
  </si>
  <si>
    <t>MERCEARIA E BAR GRAMINHA</t>
  </si>
  <si>
    <t>NASCIMENTO PRESTACAO DE SERVICOS EM TECNOLOGIA</t>
  </si>
  <si>
    <t>STUDIO DIOGO TAVARES</t>
  </si>
  <si>
    <t>ROC RADIOLOGIA</t>
  </si>
  <si>
    <t>MENDES CALDEIRARIA E USINAGEM LTDA</t>
  </si>
  <si>
    <t>OLD PINE TECNOLOGIA E SERVICOS</t>
  </si>
  <si>
    <t>RODRIGUES &amp; CAETANO CONFECCOES LTDA</t>
  </si>
  <si>
    <t>FRANGOLANDIA LARABA</t>
  </si>
  <si>
    <t>CELIO HAUCK CARREIRA JUNIOR</t>
  </si>
  <si>
    <t>OPCAO INFORMATICA</t>
  </si>
  <si>
    <t>ROMAO REPRESENTACOES</t>
  </si>
  <si>
    <t>PIONEIRA DA SORTE-LOTERIAS</t>
  </si>
  <si>
    <t>DJJ SERVICOS DE TERRAPLENAGEM LTDA</t>
  </si>
  <si>
    <t>JO ARMARINHO</t>
  </si>
  <si>
    <t>SANDSCOR CLINICA CARDIOLOGICA</t>
  </si>
  <si>
    <t>BOM DE MAIS- LANCHES</t>
  </si>
  <si>
    <t>ASSOCIACAO COMUNITARIA SAO MIGUEL</t>
  </si>
  <si>
    <t>AUXILIADORA APARECIDA DE OLIVE COSTA</t>
  </si>
  <si>
    <t>LARA FERNANDA CAVALCANTE QUEIROZ</t>
  </si>
  <si>
    <t>OSVANE HOMEM DE FARIA</t>
  </si>
  <si>
    <t>ANTONIO CARLOS DE OLIVEIRA</t>
  </si>
  <si>
    <t>PEDRO MENDES DOS SANTOS</t>
  </si>
  <si>
    <t>ANA LUISA MACHADO D OLIVEIRA</t>
  </si>
  <si>
    <t>VALERIA CRISTINA AQUINO DOS ANJOS</t>
  </si>
  <si>
    <t>SAO LUCAS BIOMEDICINA DIAGNOSTICA</t>
  </si>
  <si>
    <t>WANDERLEI BATISTA DE ALMEIDA FORTES</t>
  </si>
  <si>
    <t>JORGE MANSUR BARATA</t>
  </si>
  <si>
    <t>JOSE FRANCISCO DE CAMPOS</t>
  </si>
  <si>
    <t>MARIO AUGUSTO MOREIRA</t>
  </si>
  <si>
    <t>DIENNIFFER BRUNA DE ALMEIDA BERG 09910711664</t>
  </si>
  <si>
    <t>CORPEL CONSULTORIO MEDICO LTDA</t>
  </si>
  <si>
    <t>NELT CONSULTORIA</t>
  </si>
  <si>
    <t>YES CURSO DE IDIOMAS SANTOS DUMONT LTDA</t>
  </si>
  <si>
    <t>ALIMENT `ARTE</t>
  </si>
  <si>
    <t>PETISCO'S BAR LTDA</t>
  </si>
  <si>
    <t>MARFLA' S CONFECCOES LTDA</t>
  </si>
  <si>
    <t>WANILDA FERREIRA RODRIGUES</t>
  </si>
  <si>
    <t>VISODONTO ASSISTENCIA ODONTOLOGICA LTDA</t>
  </si>
  <si>
    <t>JONATHAN MILTON FERREIRA EVANGELISTA</t>
  </si>
  <si>
    <t>ANNA MARIA BRANDAO COELHO</t>
  </si>
  <si>
    <t>MARIA FLORINDA LANZIOTTI DE AZEVEDO</t>
  </si>
  <si>
    <t>GASTROMED</t>
  </si>
  <si>
    <t>CRAVO &amp; CANELA</t>
  </si>
  <si>
    <t>CIRURGICA SAO MIGUEL</t>
  </si>
  <si>
    <t>SERRARIA E COMERCIO DE MADEIRAS EWBANCKENSE</t>
  </si>
  <si>
    <t>TATIANA LIMA DO AMARAL 03797808607</t>
  </si>
  <si>
    <t>LANCHONETE MEIRELLES</t>
  </si>
  <si>
    <t>DOUGLAS MARY SILVA</t>
  </si>
  <si>
    <t>PRODUTOS DE LATICINIOS ISA LTDA</t>
  </si>
  <si>
    <t>ROSEMBERG RAMOS DE CARVALHO </t>
  </si>
  <si>
    <t>CEFF TRANSPORTES LTDA</t>
  </si>
  <si>
    <t>SWAP INFOCENTER LTDA</t>
  </si>
  <si>
    <t>ESPACO E ESTETICA</t>
  </si>
  <si>
    <t>LAMAS CONSULTORIA E SERVICOS DE INFORMATICA LTDA</t>
  </si>
  <si>
    <t>OSVANE FARIA PROJETOS E SERVIÇOS</t>
  </si>
  <si>
    <t>ALESSSANDRO FERNANDES DOS SANTOS</t>
  </si>
  <si>
    <t>GILLIARDY RUFFO DE OLIVEIRA</t>
  </si>
  <si>
    <t>LUIZ FILIPY CORREIA DAMACENO</t>
  </si>
  <si>
    <t>HELIO ALVIM SOCCER</t>
  </si>
  <si>
    <t>CONDOMINIO EDIFICIO MARCELO LISBOA</t>
  </si>
  <si>
    <t>RAQUEL FERNANDES PATICCIE 00907119638</t>
  </si>
  <si>
    <t>LIDIANE APARECIDA ALVIM CANTARINO PEREIRA</t>
  </si>
  <si>
    <t>FAZENDA HOTEL ALVORADA LTDA</t>
  </si>
  <si>
    <t>CARLOS DA FONSECA SOARES</t>
  </si>
  <si>
    <t>MARILIA COELHO LOMBELLO</t>
  </si>
  <si>
    <t>EDINARTTE CARVALHO DORIA</t>
  </si>
  <si>
    <t>DIOGO QUINTINO FERREIRA DE ALMEIDA</t>
  </si>
  <si>
    <t>COMUNIDADE VIDA ABUNDANTE DE SANTOS DUMONT</t>
  </si>
  <si>
    <t>13º</t>
  </si>
  <si>
    <t>1000,00                                        (-365,00)</t>
  </si>
  <si>
    <t>PRISCILA</t>
  </si>
  <si>
    <t>CONSELHO COMUNITARIO</t>
  </si>
  <si>
    <t>IMPÉRIO DOS ACESSÓRIOS</t>
  </si>
  <si>
    <t>RECEBIMENTOS</t>
  </si>
  <si>
    <t xml:space="preserve">440,00 / dos 1400,00 falta 950,00 (pagou 450,00 dia 07/03 ref.baixa/alteração / pagou 475,00 dia 20/04 - falta 475,00 - PAGO última parcela dia 25/05                            </t>
  </si>
  <si>
    <t>CURSO LIVIA KINGMA</t>
  </si>
  <si>
    <t>DRIJAIR</t>
  </si>
  <si>
    <t>PAD SÃO JORGE</t>
  </si>
  <si>
    <t>meses 04 e 06</t>
  </si>
  <si>
    <t>160,00 IR</t>
  </si>
  <si>
    <t>meses 05, 07, 08, 09, 10, 11 e taxa anual</t>
  </si>
  <si>
    <t>meses 01, 12 e taxa anual</t>
  </si>
  <si>
    <t>meses 02, 03, 04, 05 e 06</t>
  </si>
  <si>
    <t>180,00 IR</t>
  </si>
  <si>
    <t>mês 05</t>
  </si>
  <si>
    <t>270,00 IR</t>
  </si>
  <si>
    <t>meses 05 e 06</t>
  </si>
  <si>
    <t>PAGAMENTOS</t>
  </si>
  <si>
    <t>PROGRAMA</t>
  </si>
  <si>
    <t>PAGAMENTO</t>
  </si>
  <si>
    <t>DATA</t>
  </si>
  <si>
    <t>VALOR</t>
  </si>
  <si>
    <t>COMPETENCIA</t>
  </si>
  <si>
    <t>900 baixa</t>
  </si>
  <si>
    <t>440+340</t>
  </si>
  <si>
    <t>HONORÁRIO MÊS</t>
  </si>
  <si>
    <t>SALDO PARCELAMENTO</t>
  </si>
  <si>
    <t>FALTA</t>
  </si>
  <si>
    <t>08/2022 ESTÁ FALTANDO COBRAR E PAGAR</t>
  </si>
  <si>
    <t xml:space="preserve">PAGAMENTOS </t>
  </si>
  <si>
    <t xml:space="preserve">TLA CLINICA </t>
  </si>
  <si>
    <t xml:space="preserve">CLAUDIO AUGUSTO </t>
  </si>
  <si>
    <t>CABANGU  CLUBE</t>
  </si>
  <si>
    <t xml:space="preserve">DRIJAIR </t>
  </si>
  <si>
    <t xml:space="preserve">CENTRO MEDICO </t>
  </si>
  <si>
    <t>RICARDO</t>
  </si>
  <si>
    <t xml:space="preserve">CLINICA ANIMA </t>
  </si>
  <si>
    <t xml:space="preserve">PALMIERI </t>
  </si>
  <si>
    <t xml:space="preserve">MOVER LOCACAO </t>
  </si>
  <si>
    <t>DL ODONTOLOGIA</t>
  </si>
  <si>
    <t>JOSE VICENTE</t>
  </si>
  <si>
    <t xml:space="preserve">DL CONSTRUÇÃO </t>
  </si>
  <si>
    <t xml:space="preserve">CAMPOS DO VALE </t>
  </si>
  <si>
    <t>MGD</t>
  </si>
  <si>
    <t>PADARIA SAO JORGE LTDA</t>
  </si>
  <si>
    <t>P &amp; A TERRAPLENAGEM</t>
  </si>
  <si>
    <t xml:space="preserve">LABORATORIO  RUBENS TOLEDO </t>
  </si>
  <si>
    <t xml:space="preserve">HOMERITON </t>
  </si>
  <si>
    <t xml:space="preserve">SANTEC </t>
  </si>
  <si>
    <t xml:space="preserve">L &amp; H SERVICOS </t>
  </si>
  <si>
    <t xml:space="preserve">MENDES </t>
  </si>
  <si>
    <t>RODRIGUES &amp; CAETANO</t>
  </si>
  <si>
    <t>JOSIANE</t>
  </si>
  <si>
    <t>CLAUDIA MARIA</t>
  </si>
  <si>
    <t>ASSOCIACAO SAO MIGUEL</t>
  </si>
  <si>
    <t xml:space="preserve">LARA FERNANDA CAVALCANTE </t>
  </si>
  <si>
    <t xml:space="preserve">ANA LUISA MACHADO </t>
  </si>
  <si>
    <t xml:space="preserve">VALERIA CRISTINA AQUINO </t>
  </si>
  <si>
    <t>LABORATORIO RIO DAS OSTRAS</t>
  </si>
  <si>
    <t xml:space="preserve">WANDERLEI BATISTA </t>
  </si>
  <si>
    <t xml:space="preserve">MARIA IMACULADA </t>
  </si>
  <si>
    <t xml:space="preserve">DIENNIFFER BRUNA </t>
  </si>
  <si>
    <t xml:space="preserve">CORPEL </t>
  </si>
  <si>
    <t>TIAGO ALVES</t>
  </si>
  <si>
    <t>YES</t>
  </si>
  <si>
    <t xml:space="preserve">MARFLA' S </t>
  </si>
  <si>
    <t xml:space="preserve">WANILDA FERREIRA </t>
  </si>
  <si>
    <t xml:space="preserve">VISODONTO </t>
  </si>
  <si>
    <t xml:space="preserve">JONATHAN MILTON FERREIRA </t>
  </si>
  <si>
    <t xml:space="preserve">ANNA MARIA BRANDAO </t>
  </si>
  <si>
    <t xml:space="preserve">TATIANA LIMA </t>
  </si>
  <si>
    <t xml:space="preserve"> LATICINIOS ISA LTDA</t>
  </si>
  <si>
    <t>CEFF TRANSPORTES</t>
  </si>
  <si>
    <t>ALEXSSSANDRO  SANTOS</t>
  </si>
  <si>
    <t>GILLIARDY OLIVEIRA</t>
  </si>
  <si>
    <t>CONDOMINIO  MARCELO LISBOA</t>
  </si>
  <si>
    <t xml:space="preserve">RAQUEL PATICCIE </t>
  </si>
  <si>
    <t xml:space="preserve">LIDIANE APARECIDA </t>
  </si>
  <si>
    <t>RJC MANUTENÇÃO</t>
  </si>
  <si>
    <t>CARLOS FONSECA SOARES</t>
  </si>
  <si>
    <t>DIOGO QUINTINO FERREIRA</t>
  </si>
  <si>
    <t xml:space="preserve">COMUNIDADE VIDA ABUNDANTE </t>
  </si>
  <si>
    <t>Data</t>
  </si>
  <si>
    <t xml:space="preserve">FABIOLA PINHEIRO </t>
  </si>
  <si>
    <t>Cheque</t>
  </si>
  <si>
    <t>RS 765,00</t>
  </si>
  <si>
    <t>Dinheiro</t>
  </si>
  <si>
    <t>dinheiro</t>
  </si>
  <si>
    <t>CAIXA ESCOLAR GUILHERME DE A.</t>
  </si>
  <si>
    <t>PIX (BB)</t>
  </si>
  <si>
    <t>pix</t>
  </si>
  <si>
    <t>Pix/dep/Cheque</t>
  </si>
  <si>
    <t>pix/dep/cheque</t>
  </si>
  <si>
    <t>cheque</t>
  </si>
  <si>
    <t>Pix</t>
  </si>
  <si>
    <t>Elias cardoso</t>
  </si>
  <si>
    <t>Pagamento</t>
  </si>
  <si>
    <t>COMPETÊNCIA</t>
  </si>
  <si>
    <t>INCALIN ATRASADOS</t>
  </si>
  <si>
    <t>atrasados</t>
  </si>
  <si>
    <t>cheque/pix</t>
  </si>
  <si>
    <t>DL ODONTOLOGIA FILIAL</t>
  </si>
  <si>
    <t>chque/pix</t>
  </si>
  <si>
    <t>PIX</t>
  </si>
  <si>
    <t>CHEQUE</t>
  </si>
  <si>
    <t>DINHEIRO</t>
  </si>
  <si>
    <t>PAGAMENTO ANUAL</t>
  </si>
  <si>
    <t>UPAS</t>
  </si>
  <si>
    <t>LEANDRO LUCIO</t>
  </si>
  <si>
    <t>IARA RICARDO OTTONI</t>
  </si>
  <si>
    <t>devedor</t>
  </si>
  <si>
    <t>ta devendo mesmo</t>
  </si>
  <si>
    <t>isento de honorario</t>
  </si>
  <si>
    <t xml:space="preserve">ver com a amanda </t>
  </si>
  <si>
    <t>R4 395,00</t>
  </si>
  <si>
    <t>Dia</t>
  </si>
  <si>
    <t>Nome</t>
  </si>
  <si>
    <t>Valor</t>
  </si>
  <si>
    <t>jorge luiz ferreira ribeiro</t>
  </si>
  <si>
    <t xml:space="preserve">referente </t>
  </si>
  <si>
    <t>JORGE LUIZ FERREIRA RIBEIRO</t>
  </si>
  <si>
    <t>13.22</t>
  </si>
  <si>
    <t>COBRAR 01.22</t>
  </si>
  <si>
    <t>IR E 13°</t>
  </si>
  <si>
    <t>cornelia</t>
  </si>
  <si>
    <t>RETONAR AO DASHBOARD</t>
  </si>
  <si>
    <t>ZALENA MARIA MENDES</t>
  </si>
  <si>
    <t>YAGO DE MATOS ALMEIDA</t>
  </si>
  <si>
    <t>WATILA APARECIDA LOPES RIBEIRO</t>
  </si>
  <si>
    <t>SIM</t>
  </si>
  <si>
    <t>WANDERSON ROSSBERG</t>
  </si>
  <si>
    <t>sim</t>
  </si>
  <si>
    <t>WAGNER DE FREITAS</t>
  </si>
  <si>
    <t>VIVIANE DA SILVA RODRIGUES</t>
  </si>
  <si>
    <t>SIM (DINHEIRO)</t>
  </si>
  <si>
    <t>VIRGILIO PINHEIRO NETO</t>
  </si>
  <si>
    <t>VILMA APARECIDA FERREIRA SILVA</t>
  </si>
  <si>
    <t>VICENTE DE PAULA MOREIRA GUILARDUCCI</t>
  </si>
  <si>
    <t>VERA MARINA MACIEL</t>
  </si>
  <si>
    <t>VERA LUCIA VENTURA DO NASCIMENTO</t>
  </si>
  <si>
    <t>VERA COSNTANCIA FERREIRA MENDES</t>
  </si>
  <si>
    <t>VANIA PIRES DAMASCENO</t>
  </si>
  <si>
    <t>VANIA APARECIDA MARTINS FERNANDES</t>
  </si>
  <si>
    <t>SIM]</t>
  </si>
  <si>
    <t>VANETE SOARES DA SILVA TOLEDO</t>
  </si>
  <si>
    <t>VANDERLEI CARLOS DE PAULA</t>
  </si>
  <si>
    <t>VALTENCIR MAIA DA COSTA</t>
  </si>
  <si>
    <t>VALMIR PEREIRA MARQUES</t>
  </si>
  <si>
    <t>VALERIA FERREIRA GARCIA</t>
  </si>
  <si>
    <t>VALDECIR JOSÉ BATISTA</t>
  </si>
  <si>
    <t>UANDERSON</t>
  </si>
  <si>
    <t>TRINDADE DE FATIMA GOMES</t>
  </si>
  <si>
    <t>TIAGO ALVES BATSTA</t>
  </si>
  <si>
    <t>THIAGO RODRIGUES DE LIMA</t>
  </si>
  <si>
    <t>THEREZINHA NOGUEIRA DE FIGUEREDO</t>
  </si>
  <si>
    <t>THELMA CHAIA E SILVA</t>
  </si>
  <si>
    <t>THADEU KINGMA PAMPANELLI</t>
  </si>
  <si>
    <t>TEREZINHA MARIA DA SILVA</t>
  </si>
  <si>
    <t>TEREZINHA DO CARMO DE ALMEIDA</t>
  </si>
  <si>
    <t>TEREZA CRISTINA DE CASTRO COSTA</t>
  </si>
  <si>
    <t>TARCISIO NEPOMUCENO MEIRELLES</t>
  </si>
  <si>
    <t>TANIA APARECIDA CECILIO CAMPOS</t>
  </si>
  <si>
    <t>TAIS ABDALLAH ALVES DE SOUZA</t>
  </si>
  <si>
    <t>SUZANA CARMEN TAMANDARE NASCIMENTO DOS SANTOS</t>
  </si>
  <si>
    <t>SORAYA VIGILATO QUETZ</t>
  </si>
  <si>
    <t>SORAYA SCHEHERAZADE DE MEO PLAZA</t>
  </si>
  <si>
    <t>SONIA MARIA RIBEIRA</t>
  </si>
  <si>
    <t>SOLANGE ALMEIDA MARQUES DE CARVALHO</t>
  </si>
  <si>
    <t>SIMONE DE CASTRO OLIVEIRA</t>
  </si>
  <si>
    <t>SIMONE CAMPOS DE OLIVEIRA</t>
  </si>
  <si>
    <t>SILVIA VALERIA DA SILVA ARAUJO</t>
  </si>
  <si>
    <t>SILVIA HELENA DE JESUS NASCIMENTO</t>
  </si>
  <si>
    <t>SIDINEIA DE FATIMA CAMPOS</t>
  </si>
  <si>
    <t>SERGIO RODRIGUES LIMA</t>
  </si>
  <si>
    <t>SERGIO PEREIRA DA SILVA</t>
  </si>
  <si>
    <t>SEBASTIAO SILVEIRIO RIBEIRO</t>
  </si>
  <si>
    <t>SEBASTIAO EDMILSON DOS REIS</t>
  </si>
  <si>
    <t>SATIRO GERMANO DUARTE JUNIOR</t>
  </si>
  <si>
    <t>SANTIAGO JOSE DE CAMPOS</t>
  </si>
  <si>
    <t>SANDRO DE OLIBEIRA RICARDO</t>
  </si>
  <si>
    <t>SANDRA MARIA SOARES DE OLIVEIRA</t>
  </si>
  <si>
    <t xml:space="preserve">SANDRA MARIA APARECIDA DIAS </t>
  </si>
  <si>
    <t>SABRINA XAVIER DE ALMEIDA</t>
  </si>
  <si>
    <t>RUBENS APARECIDO GONÇALVES ANACLETO</t>
  </si>
  <si>
    <t>SIM (PIX)</t>
  </si>
  <si>
    <t>ROSIMEIRE APARECIDA LEANDRO DE PRAGA</t>
  </si>
  <si>
    <t>ROSEMEIRE APARECIDA DA SILVA RIBEIRO</t>
  </si>
  <si>
    <t>ROSEMARY APARECIDA REIS COSTA</t>
  </si>
  <si>
    <t>ROSELENE ANDREIA DOS SANTOS</t>
  </si>
  <si>
    <t>ROSELAINE COSTA</t>
  </si>
  <si>
    <t>ROSE CRISTINA CARVALHO CAMPOS</t>
  </si>
  <si>
    <t>ROSANGELA BELCAVELLO BARBOSA</t>
  </si>
  <si>
    <t>ROSA MENESES MACHADO</t>
  </si>
  <si>
    <t>ROSA HELENA JESUS SILVA</t>
  </si>
  <si>
    <t>ROOSEVELT CAMPOS</t>
  </si>
  <si>
    <t>ROMULO AUGUSTO MODESTO OLIVEIRA</t>
  </si>
  <si>
    <t>ROGERIO SILVA CORREA</t>
  </si>
  <si>
    <t>ROGERIA HELENA DE MELO FERREIRA</t>
  </si>
  <si>
    <t>ROBSON MAURO DA SILVA</t>
  </si>
  <si>
    <t>ROBSON ANDRADE AVILA</t>
  </si>
  <si>
    <t>ROBERTO LEANDRO DE OLIVEIRA ALMEIDA</t>
  </si>
  <si>
    <t>ROBERT FERNANDES CAMPOS</t>
  </si>
  <si>
    <t>RITA ROSA DE ALMEIDA GUILARDUCCI</t>
  </si>
  <si>
    <t>RICHARD NILTON BERG</t>
  </si>
  <si>
    <t>RICARDO JOSE MODESTO OLIVEIRA</t>
  </si>
  <si>
    <t>RENATA HELEN</t>
  </si>
  <si>
    <t>RENAN FERREIRA AMARAL</t>
  </si>
  <si>
    <t>REGINA CELIA MENDES DE OLIVEIRA</t>
  </si>
  <si>
    <t>REGINA CAMPOS FERNADES</t>
  </si>
  <si>
    <t>RAYLA REIS COSTA</t>
  </si>
  <si>
    <t>RAYLA GOMES PAMPANELLI</t>
  </si>
  <si>
    <t>RAPHAEL FERNANDES ALVIM PEREIRA</t>
  </si>
  <si>
    <t>RAMON FELIX DE SOUZA</t>
  </si>
  <si>
    <t>RAILA SILVA ARAUJO</t>
  </si>
  <si>
    <t>RAFAELA DE OLIVEIRA BATISTA</t>
  </si>
  <si>
    <t>RAFAEL SOTERO DE OLIVEIRA</t>
  </si>
  <si>
    <t>PEDRO PAULO IATAROLA SENRA</t>
  </si>
  <si>
    <t>PEDRO HENRIQUE FARIA DE ARAUJO RIBEIRO</t>
  </si>
  <si>
    <t>PEDRO ELIAS DA SILVA FILHO</t>
  </si>
  <si>
    <t>PEDRO BARBOSA DO AMARAL</t>
  </si>
  <si>
    <t>PAULO ROBERTO DA VEIGA</t>
  </si>
  <si>
    <t>PAULO DOS SANTOS SILVA</t>
  </si>
  <si>
    <t>PAULO ANTONIO DE AS</t>
  </si>
  <si>
    <t>PATRICIA FARIA DA SILVA ABREU</t>
  </si>
  <si>
    <t xml:space="preserve">PABLO FERNANDO </t>
  </si>
  <si>
    <t>OSWALDO BIZARRIA</t>
  </si>
  <si>
    <t>ORLANDO ABILIO DE MEIRELLES</t>
  </si>
  <si>
    <t>NYLDA GIUSEPPE BARREIROS</t>
  </si>
  <si>
    <t>NORMA SUELI LADEIRA MEYER</t>
  </si>
  <si>
    <t>NIVEA DE FATIMA SILVEIRA BATISTA</t>
  </si>
  <si>
    <t>NIVALDO PEDRO DA SILVA</t>
  </si>
  <si>
    <t>NIVALDO JOSE AMARAL GONÇALVES</t>
  </si>
  <si>
    <t>NEYDE APARECIDA MENDES VIEIRA</t>
  </si>
  <si>
    <t>NEWTON AZEVEDO</t>
  </si>
  <si>
    <t>NELSON FERREIRA DE SOUZA</t>
  </si>
  <si>
    <t>MONIQUE DE ALBUQUERQUE SOUZA GONÇALVES</t>
  </si>
  <si>
    <t>MIRIAM DE CASTO COSTA VIDAL</t>
  </si>
  <si>
    <t>MILTON ANDRADE SILVA</t>
  </si>
  <si>
    <t>MAURILIO LUIZ COSTA</t>
  </si>
  <si>
    <t>MAURICIO EMERSON</t>
  </si>
  <si>
    <t>MATHEUS BATISTA MACHADO</t>
  </si>
  <si>
    <t xml:space="preserve">MATEUS DE ALBUQUERQUE VILELLA </t>
  </si>
  <si>
    <t>MARY LUCY CAMPOS DA COSTA FERREIRA</t>
  </si>
  <si>
    <t>MARISTELA HELENA ROSA</t>
  </si>
  <si>
    <t>MARISE APARECIDA RIBEIRO</t>
  </si>
  <si>
    <t>MARIO LUCIO DE SOUSA JUNIOR</t>
  </si>
  <si>
    <t>MARINETI DO NASCIMENTO ALVEZ</t>
  </si>
  <si>
    <t>MARINA APARECIDA MENDES COSTA</t>
  </si>
  <si>
    <t>MARILIA DE FATIMA FERREIRA CAMPOS</t>
  </si>
  <si>
    <t>MARILENE APARECIDA DE SOUZA TEIXEIRA</t>
  </si>
  <si>
    <t>TRANSFERENCIA</t>
  </si>
  <si>
    <t>MARILENE AMARAL TOLEDO LIMA</t>
  </si>
  <si>
    <t>MARIANO CLEBER DE PAULO</t>
  </si>
  <si>
    <t>MARIANA LEMPK DE CAMPOS</t>
  </si>
  <si>
    <t>MARIA TEREZINHA GOMES</t>
  </si>
  <si>
    <t>MARIA LUCIA RIBEIRO DE ALMEIDA</t>
  </si>
  <si>
    <t>MARIA JOSE TELES AMARO COSTA</t>
  </si>
  <si>
    <t>MARIA JOSE RIBAS</t>
  </si>
  <si>
    <t>MARIA INES CHAIA E SILVA</t>
  </si>
  <si>
    <t>MARIA HELOIZA BENTES COURI</t>
  </si>
  <si>
    <t>MARIA HELENA DE ARAUJO</t>
  </si>
  <si>
    <t>MARIA GERALDA BORGES DE OLIVEIRA</t>
  </si>
  <si>
    <t>MARIA FATIMA CHEVITARESE AZEVEDO</t>
  </si>
  <si>
    <t>MARIA ETERNA FERREIRA DE ALCANTARA DELGADO</t>
  </si>
  <si>
    <t>MARIA ESTELA PIRES DAMASCENO</t>
  </si>
  <si>
    <t>MARIA ELISA DA COSTA VIDAL</t>
  </si>
  <si>
    <t xml:space="preserve">MARIA DOLORES MARQUES DE OLIVEIRA </t>
  </si>
  <si>
    <t>MARIA DO ROZARIO BIZERRA FERREIRA</t>
  </si>
  <si>
    <t>MARIA DE LOUDES MACIEL DE MATTOS</t>
  </si>
  <si>
    <t>MARIA DE FATIMA OLIVEIRA PEREIRA</t>
  </si>
  <si>
    <t>MARIA DE FATIMA DA SILVA ARAUJO</t>
  </si>
  <si>
    <t>MARIA DAS GRAÇAS TEIXEIRA DIAS</t>
  </si>
  <si>
    <t>MARIA DAS GRAÇAS RIBEIRO DE ALMEDA</t>
  </si>
  <si>
    <t>MARIA DAS GRAÇAS ALVES DE OLIVEIRA</t>
  </si>
  <si>
    <t>MARIA DAS DORES MENDES RIBEIRO</t>
  </si>
  <si>
    <t>MARIA DA PENHA MODESTO OLIVEIRA</t>
  </si>
  <si>
    <t>MARIA DA GRAÇA DE FIGUEIREDO</t>
  </si>
  <si>
    <t>MARIA DA CONCEIÇÃO FERNANDES CAMPOS</t>
  </si>
  <si>
    <t>MARIA CONSTANCIA DE OLIVEIRA VIANA</t>
  </si>
  <si>
    <t>MARIA CANDIDA RUFFO DE LIMA</t>
  </si>
  <si>
    <t>MARIA APARECIDA DE OLIVEIRA LIMA</t>
  </si>
  <si>
    <t>MARIA AMAZILDE</t>
  </si>
  <si>
    <t>MARGARIDA MOREIRA DE ABREU FARIA</t>
  </si>
  <si>
    <t>MARCOS VINICIUS TAVARES</t>
  </si>
  <si>
    <t>MARCOS VINICIUS RIBEIRO</t>
  </si>
  <si>
    <t>MARCOS VINICIUS FERREIRA DE SOUZA</t>
  </si>
  <si>
    <t>SIM ( PIX )</t>
  </si>
  <si>
    <t>MARCOS JOSE LAMAS</t>
  </si>
  <si>
    <t>MARCOS JOSE CRUZ</t>
  </si>
  <si>
    <t>MARCOS DE SOUZA RUFFO</t>
  </si>
  <si>
    <t>MARCIA MARGARIDA DE ALCANTARA FERREIRA</t>
  </si>
  <si>
    <t>MARCELO MACIEL PAES</t>
  </si>
  <si>
    <t>MARCELO JOSE DA SILVA</t>
  </si>
  <si>
    <t>MARCELA MARIA PIRES DAMASCENO</t>
  </si>
  <si>
    <t>MARA EDUARDA ARAUJO DIAS</t>
  </si>
  <si>
    <t>LUZIA SATIKO HISATSUGA</t>
  </si>
  <si>
    <t>LUIZ GUILHERME PEREIRA CARELLE</t>
  </si>
  <si>
    <t>LUISA ABDALLAH ALVES DE SOUZA</t>
  </si>
  <si>
    <t>LUCIANE DE SA FORTES A A ANTUNES</t>
  </si>
  <si>
    <t>LUCIANE COURI GUIMARAES CORREA</t>
  </si>
  <si>
    <t>LUCIANE AFONSO</t>
  </si>
  <si>
    <t>LUCIANA DIAS PEREIRA</t>
  </si>
  <si>
    <t>LUCIA DA SILVA CUSTODIO</t>
  </si>
  <si>
    <t>LUCAS DA SILVA FORTES</t>
  </si>
  <si>
    <t xml:space="preserve">LORENZO DUARTE DE VASCOCELOS </t>
  </si>
  <si>
    <t>LIVIA LADEIRA ORLANDO LOPES</t>
  </si>
  <si>
    <t>LIGIA COSTA CAMPOS</t>
  </si>
  <si>
    <t>LIDIANE APARECIDA ALVIM CANTARINO</t>
  </si>
  <si>
    <t>LEONARDO DE PAIVA CORREA</t>
  </si>
  <si>
    <t>LEONARDO CESARIO DA SILVA</t>
  </si>
  <si>
    <t>LEONARDO CAMPOS FERREIRA</t>
  </si>
  <si>
    <t>LAURA INES FOINI E SILVA</t>
  </si>
  <si>
    <t>LARISSA LEANDRO SILVEIRA</t>
  </si>
  <si>
    <t>KARINA CARVALHO DE OLIVEIRA</t>
  </si>
  <si>
    <t>JULIO DOS SANTOS LEANDRO</t>
  </si>
  <si>
    <t>JULIO CESAR VIEIRA</t>
  </si>
  <si>
    <t>JULIO CESAR VAZ DE MELLO OLIVEIRA</t>
  </si>
  <si>
    <t>JULIO CESAR DOS SANTOS</t>
  </si>
  <si>
    <t>JULIANA BIZERRA SOARES FERREIRA</t>
  </si>
  <si>
    <t>JOSUE GONÇALVES COELHO</t>
  </si>
  <si>
    <t>JOSIANE NELMA DE MELLO</t>
  </si>
  <si>
    <t>JOSIANE APARECIDA FERNANDES DA SILVEIRA</t>
  </si>
  <si>
    <t>JOSE WILSON JULIO</t>
  </si>
  <si>
    <t>JOSE VANIR DA SILVA</t>
  </si>
  <si>
    <t>JOSE RENATO DA FONSECA PEREIRA</t>
  </si>
  <si>
    <t>JOSE LUIZ GOMES DA COSTA</t>
  </si>
  <si>
    <t>JOSE LUIZ DA SILVA</t>
  </si>
  <si>
    <t>JOSE JORGE DA SILVA</t>
  </si>
  <si>
    <t>JOSE GABRIEL DAMASCENO</t>
  </si>
  <si>
    <t>JOSE EDUARDO RODRIGUES</t>
  </si>
  <si>
    <t>JOSE CRISTINO FERREIRA</t>
  </si>
  <si>
    <t>JOSE CIRILO AFONSO</t>
  </si>
  <si>
    <t>JOSE CARMO DE OLIVEIRA</t>
  </si>
  <si>
    <t>JOSE CARLOS PALMIERI</t>
  </si>
  <si>
    <t>JOSE CARLOS FERREIRA DE PAULA</t>
  </si>
  <si>
    <t>JOSE CARLOS DE PAULA</t>
  </si>
  <si>
    <t>JOSE CARLOS ABIJAUDE</t>
  </si>
  <si>
    <t>JOSE AUGUSTO PIMONT</t>
  </si>
  <si>
    <t xml:space="preserve">JOSE ADEMAR VIANA </t>
  </si>
  <si>
    <t>JORGE LUIZ RIBEIRO</t>
  </si>
  <si>
    <t>JORGE LUIS FERREIRA RIBEIRO</t>
  </si>
  <si>
    <t>JONATHAN AMARAL ISIDORO</t>
  </si>
  <si>
    <t>JANE RODRIGUES</t>
  </si>
  <si>
    <t>JANE APARECIDA CUNHA SALMONT DE AS</t>
  </si>
  <si>
    <t>JANAINA CRUZ</t>
  </si>
  <si>
    <t>JAIR ADILSON DIAS</t>
  </si>
  <si>
    <t>JACQUELINE CAMPRA BUSTAMANTE PEREIRA</t>
  </si>
  <si>
    <t>IVANIS NOGUEIRA DE FIGUEIREDO</t>
  </si>
  <si>
    <t>IVALDO FRAZAO MOREIRA JUNIOR</t>
  </si>
  <si>
    <t>IVA MARIA DE AS FORTES DITTZ</t>
  </si>
  <si>
    <t>IRANY ANELIO PEREIRA MARQUES</t>
  </si>
  <si>
    <t>INACIO ONOFRE</t>
  </si>
  <si>
    <t>IMACULADA CONCEIÇÃO</t>
  </si>
  <si>
    <t>ILMARA DA SILVA</t>
  </si>
  <si>
    <t>HENRIQUE DITTZ COSTA</t>
  </si>
  <si>
    <t>HELIO ROSSI DE CARVALHO</t>
  </si>
  <si>
    <t>HELIO REINALDO RUTHUM</t>
  </si>
  <si>
    <t>HELIO JOSE</t>
  </si>
  <si>
    <t>HELIO ALVIM FILHO</t>
  </si>
  <si>
    <t>HELENA MARIA DA FONSECA ESTEVES RUFFO</t>
  </si>
  <si>
    <t>GUILHERME AMARO GOMES DA COSTA</t>
  </si>
  <si>
    <t>GRAZIELE M AMARAL FERREIRA</t>
  </si>
  <si>
    <t>GLORA MARIA DE AQUINO VALLEJO</t>
  </si>
  <si>
    <t>GISELE ( GALVANI )</t>
  </si>
  <si>
    <t>GERALDO MOURAO SOBRINHO</t>
  </si>
  <si>
    <t xml:space="preserve">GERALDO GOMES VASCONCELLOS </t>
  </si>
  <si>
    <t>GERALDO FARIA DO AMARAL</t>
  </si>
  <si>
    <t>GERALDA IVONE FERREIRA DE FARIA</t>
  </si>
  <si>
    <t>GERALDA DE FATIMA DOS REIS MELLADO</t>
  </si>
  <si>
    <t xml:space="preserve">GENILDA MARIA ANTIONIO </t>
  </si>
  <si>
    <t>GALVANI PEDROZO MARTINS</t>
  </si>
  <si>
    <t>FRANCISCO SAVIO DA SILVA</t>
  </si>
  <si>
    <t xml:space="preserve">FRANCIS DANIEL GONÇALVEZ </t>
  </si>
  <si>
    <t>FLAVIA MENDES PEREIRA</t>
  </si>
  <si>
    <t>FERNANDO VAZ DE MELLO OLIVEIRA</t>
  </si>
  <si>
    <t>FERNANDO ANTONIO FONSECA</t>
  </si>
  <si>
    <t>FERNANDA DE SÁ ROSSI</t>
  </si>
  <si>
    <t>FELIPE COSTA CAMPOS</t>
  </si>
  <si>
    <t>FAUSTO AQUINO NETO</t>
  </si>
  <si>
    <t>FATIMA VAZ DE MELLO OLIVEIRA</t>
  </si>
  <si>
    <t>FABIANA CRISTINA DAMASCENO RODRIGUES</t>
  </si>
  <si>
    <t>FABIANA ALVES BARBOSA</t>
  </si>
  <si>
    <t>EZNEIDA DE FARIA SALVADOR</t>
  </si>
  <si>
    <t>EVANIA DE LOURDES MARIANO DE PAULA</t>
  </si>
  <si>
    <t>EVANDRO DA SILVEIRA MONTEZI</t>
  </si>
  <si>
    <t>EVANDRO DA SILVA LIMA</t>
  </si>
  <si>
    <t>EVALDO COURI</t>
  </si>
  <si>
    <t>ERIKA FERREIRA GARCIA</t>
  </si>
  <si>
    <t>ERIKA CRISTINA DAS DORES BATISTA</t>
  </si>
  <si>
    <t>ERICA RENATA VIGILATO DOS SANTOS ANACLETO</t>
  </si>
  <si>
    <t>ENY DE SOUZA FORTES</t>
  </si>
  <si>
    <t>ELZA MARIA DE JESUS</t>
  </si>
  <si>
    <t>ELOSIO MARCOS COSTA</t>
  </si>
  <si>
    <t>ELOISA FATIMA DE OLIVEIRA</t>
  </si>
  <si>
    <t>ELOISA CAMPOS FERNANDES</t>
  </si>
  <si>
    <t>ELIZABETH DA SILVA BRETAS</t>
  </si>
  <si>
    <t>ELISANGELA SILVA DA FÉ</t>
  </si>
  <si>
    <t>ELISA ALVES VIDAL</t>
  </si>
  <si>
    <t>ELIELTON FERRERA CONSTANCIO</t>
  </si>
  <si>
    <t>ELIAS CARDOSO DE CARVALHO</t>
  </si>
  <si>
    <t>ELIANE DAS GRAÇAS LIME DO AMARAL</t>
  </si>
  <si>
    <t>PIX9</t>
  </si>
  <si>
    <t>ELIANE AMARAL DO AMOR DIVINO</t>
  </si>
  <si>
    <t>ELI DONIZETE DE ARAUJO</t>
  </si>
  <si>
    <t>ELBA DOS SANTOS FERREIRA DA SILVA</t>
  </si>
  <si>
    <t>EDUARDO FELICIO DE OLIVEIRA</t>
  </si>
  <si>
    <t>EDUARDO COELHO DE MATOS</t>
  </si>
  <si>
    <t>EDSON EDUARDO MENDES DE ALMEIDA</t>
  </si>
  <si>
    <t>EDON JOSE DA CRUZ</t>
  </si>
  <si>
    <t>EDNEY JOSE CAMPOS DIAS</t>
  </si>
  <si>
    <t>EDISON EDUARDO LEITE</t>
  </si>
  <si>
    <t>EDINEIA GONCALVES VIANNA</t>
  </si>
  <si>
    <t>EDINARDO CALIXTO DO AMOR DIVINO</t>
  </si>
  <si>
    <t>EDIGAR HOMERO DE SOUZA</t>
  </si>
  <si>
    <t>EDI CARLOS FORTES</t>
  </si>
  <si>
    <t>EDE CARLA FORTES</t>
  </si>
  <si>
    <t>DUQUE DE PAULA FERREIRA MARTINS</t>
  </si>
  <si>
    <t>DOMINGOS EUGENIO DOS REIS</t>
  </si>
  <si>
    <t>DIOMEDES ABILIO DE MEIRELLES</t>
  </si>
  <si>
    <t>DIOGO VAZ DE MELLO OLIVEIRA</t>
  </si>
  <si>
    <t>DIEGO ABUD PAMPANELLI</t>
  </si>
  <si>
    <t>DENIZE MARIA CUSTODIO PALMIERI</t>
  </si>
  <si>
    <t>DENILSON FERNANDO TEIXEIRA</t>
  </si>
  <si>
    <t>DEJAIR JUSCELINO DA SILVA</t>
  </si>
  <si>
    <t>DANIEL QUINTILIANO DA SILVA</t>
  </si>
  <si>
    <t>DANIEL ANTONIO DE ALMEIDA</t>
  </si>
  <si>
    <t>DAGMAR BATISTA ESTEVES</t>
  </si>
  <si>
    <t>CUSTODIO FERREIRA MARTINS</t>
  </si>
  <si>
    <t>CONRADO REIS COSTA</t>
  </si>
  <si>
    <t>CLERIVALDO REIS MELLADO</t>
  </si>
  <si>
    <t>CLEISON PINHEIRO MACHADO</t>
  </si>
  <si>
    <t>CLEBER FARIA DA SILVA</t>
  </si>
  <si>
    <t>CLAUDIO HENRIQUE EUFRASIO DA SILVA</t>
  </si>
  <si>
    <t>CLAUDIA MARIA MARQUES</t>
  </si>
  <si>
    <t>CLAUDIA BASTOS VIEIRA</t>
  </si>
  <si>
    <t>CINTHYA RUFFO RIBEIRO SAVIO</t>
  </si>
  <si>
    <t>CILEDA MARIA ALVIM</t>
  </si>
  <si>
    <t>CHRISTIANE SIQUEIRA GAZOLLA</t>
  </si>
  <si>
    <t>CELSO DE FREITAS</t>
  </si>
  <si>
    <t>CELINA BATISTA ESTEVES</t>
  </si>
  <si>
    <t>CELIA OLIVEIRA DA VEIGA</t>
  </si>
  <si>
    <t>CELIA DE FATIMA FERNANDES</t>
  </si>
  <si>
    <t>CARMEN LUCIA DE T.</t>
  </si>
  <si>
    <t>CARMEN LUCIA COUTINHO FERNANDES</t>
  </si>
  <si>
    <t>CARLOS ROBERTO NOGUEIRA</t>
  </si>
  <si>
    <t>CARLOS MOREIRA DA SILVA</t>
  </si>
  <si>
    <t>CARLOS MARIANO FERREIRA</t>
  </si>
  <si>
    <t>CARLOS DA SILVA FORTES FILHO</t>
  </si>
  <si>
    <t>CARLOS DA SILVA FORTES</t>
  </si>
  <si>
    <t>CAMILA LUNA MENDES</t>
  </si>
  <si>
    <t>BRIGIDA CHEVITARESE MEIRELLES</t>
  </si>
  <si>
    <t>BERNARDO AUZIER BENTES COURI</t>
  </si>
  <si>
    <t>BERENICE FATIMA FERREIRA</t>
  </si>
  <si>
    <t>BARBARA ISABEL MACHADO DO AMARAL</t>
  </si>
  <si>
    <t>BARBARA APARECIDA FERREIRA</t>
  </si>
  <si>
    <t>AUXILIADORA APARECIDA DE</t>
  </si>
  <si>
    <t>ARNALDO ELI DA COSTA</t>
  </si>
  <si>
    <t>ARGENTINO NILSON DA SILVA</t>
  </si>
  <si>
    <t>ARAMIS GIUSEPPE BARREIROS</t>
  </si>
  <si>
    <t>ANTONIO RODRIGUES FILHO</t>
  </si>
  <si>
    <t>ANTONIO RIBEIRO ALVES</t>
  </si>
  <si>
    <t>ANTONIO MARIANO DE SOUZA</t>
  </si>
  <si>
    <t>ANTONIO LUIZ DE JESUS</t>
  </si>
  <si>
    <t>ANTONIO JOSE GOMES</t>
  </si>
  <si>
    <t>ANTONIO JOSE DE OLIVEIRA</t>
  </si>
  <si>
    <t>ANTONIO FERNANDES SOBRINHO</t>
  </si>
  <si>
    <t>ANTONIO ESTEVES DE CARVALHO</t>
  </si>
  <si>
    <t>ANTONIO DE PAULA FONSECA</t>
  </si>
  <si>
    <t>ANTONIO CARLOS DE SA PRIMO</t>
  </si>
  <si>
    <t>ANTONIO CAETANO GROSSI</t>
  </si>
  <si>
    <t>ANTONIO ALVIM PEREIRA</t>
  </si>
  <si>
    <t>ANGELO APARECIDO FERREIRA</t>
  </si>
  <si>
    <t>ANGELICA RABELLO DA SILVA</t>
  </si>
  <si>
    <t>ANE MENDES PALMIERI</t>
  </si>
  <si>
    <t xml:space="preserve">ANDRE VOLPE </t>
  </si>
  <si>
    <t>ANDRE MENDES PALMIERI</t>
  </si>
  <si>
    <t>ANALIA MENDES PALMIERII</t>
  </si>
  <si>
    <t>ANA LUCIA FERREIRA BITENCOURT</t>
  </si>
  <si>
    <t>ANA ELISA DITTZ COSTA</t>
  </si>
  <si>
    <t>AMARILDO FERREIRA DA SILVA</t>
  </si>
  <si>
    <t>AMANDA FERNANDES DA SILVA</t>
  </si>
  <si>
    <t>ALMIR ROGERIO DE MENEZES OLIVEIRA</t>
  </si>
  <si>
    <t>ALEXANDRE MARQUES DE SOUZA</t>
  </si>
  <si>
    <t>ALCEU AMORIM COSTA</t>
  </si>
  <si>
    <t>ALAN COSTA PEDRO</t>
  </si>
  <si>
    <t>ADRIANO PEREIRA DO AMARAL</t>
  </si>
  <si>
    <t>ADRIANO DE ALMEIDA GUILARDUCCI</t>
  </si>
  <si>
    <t>ADRIANA JANAINA DE OLIVEIRA DIAS</t>
  </si>
  <si>
    <t>ADRIANA DA COSTA OLIVEIRA</t>
  </si>
  <si>
    <t>RAFAEL</t>
  </si>
  <si>
    <t>ADRIANA APARECIDA DIAS DE OLIVEIRA</t>
  </si>
  <si>
    <t>ADILSON MARQUES COSTA</t>
  </si>
  <si>
    <t>ADAIR PRODEL RODRIGUES DA</t>
  </si>
  <si>
    <t>ABILIO DE ALMEIDA FORTES</t>
  </si>
  <si>
    <t>REALIZOU PAGAMENTO</t>
  </si>
  <si>
    <t>NOME</t>
  </si>
  <si>
    <t>PAGO</t>
  </si>
  <si>
    <t>A1 - 1 ano PF</t>
  </si>
  <si>
    <t>EDIMILSON ALVES DOS REIS</t>
  </si>
  <si>
    <t>AMAURI DE PAULA LIMA</t>
  </si>
  <si>
    <t>A1 - 1 ano PJ</t>
  </si>
  <si>
    <t>LUCIANO DE OLIVEIRA MENDES</t>
  </si>
  <si>
    <t>TEREZA MAGESTE</t>
  </si>
  <si>
    <t>TOKEN</t>
  </si>
  <si>
    <t>A3 - 3 anos PJ</t>
  </si>
  <si>
    <t>NORMA SUELI</t>
  </si>
  <si>
    <t xml:space="preserve">CLINICA ANIMA DE PSICOLOGIA </t>
  </si>
  <si>
    <t>MARIA APARECIDA DOS SANTOS CRISTINO</t>
  </si>
  <si>
    <t>LAYLA ALMEIDA PAGANINI</t>
  </si>
  <si>
    <t>EDMAR JOSE DE CERQUEIRA</t>
  </si>
  <si>
    <t>ELIAS CARDOSO</t>
  </si>
  <si>
    <t>DIEGO FERNANDES ALVIM PEREIRA</t>
  </si>
  <si>
    <t xml:space="preserve">SILVANIA APARECIDA DA SILVA </t>
  </si>
  <si>
    <t>SILVANIA APARECIDA DA SILVA</t>
  </si>
  <si>
    <t xml:space="preserve">LUCIA DA SILVA CUSTODIO </t>
  </si>
  <si>
    <t>ANDRE VIEIRA MARQUES</t>
  </si>
  <si>
    <t>THEREZINHA NATIVIDADE SERAPHIM</t>
  </si>
  <si>
    <t>honorario</t>
  </si>
  <si>
    <t>VITOR BATISTA AMARAL</t>
  </si>
  <si>
    <t>FLAVIA</t>
  </si>
  <si>
    <t xml:space="preserve">ANA BEATRIZ DECORACOES </t>
  </si>
  <si>
    <t>A3 - 3 anos PF</t>
  </si>
  <si>
    <t>ELAINE REIS DO NASCIMENTO</t>
  </si>
  <si>
    <t>JOAO CESAR DE NOVAIS</t>
  </si>
  <si>
    <t>ANALYDIA DIAS DE SOUZA</t>
  </si>
  <si>
    <t>CAIXA ESCOLAR VIEIRA MARQUES</t>
  </si>
  <si>
    <t>THAIS CRISTINA ALVES DA SILVA</t>
  </si>
  <si>
    <t xml:space="preserve">SAMUEL RODRIGUES </t>
  </si>
  <si>
    <t>CAROL</t>
  </si>
  <si>
    <t>YES CURSO DE IDIOMAS</t>
  </si>
  <si>
    <t>MATEUS HENRIQUE DE SOUZA DE OLIVEIRA</t>
  </si>
  <si>
    <t>MARIANA RAMALHO FERREIRA</t>
  </si>
  <si>
    <t>CAIXA ESCOLAR PADRE ANTONIO VIEIRA</t>
  </si>
  <si>
    <t>ARTUR</t>
  </si>
  <si>
    <t>MARCELLO SILVEIRA FILGUEIRAS</t>
  </si>
  <si>
    <t>CHEILA CANTARINO DA SILVEIRA</t>
  </si>
  <si>
    <t>TAIARA QUEIROZ DE MIRANDA ALVES</t>
  </si>
  <si>
    <t>CAIXA ESCOLAR SANTA ROSA</t>
  </si>
  <si>
    <t xml:space="preserve">ROBERTO RICARDO AMADO </t>
  </si>
  <si>
    <t>SILVIA MARIA DE OLIVEIRA</t>
  </si>
  <si>
    <t>SIMONE ANTONIA SILVERIO</t>
  </si>
  <si>
    <t xml:space="preserve">HELIO VICENTE TEIXEIRA </t>
  </si>
  <si>
    <t>ELIANE</t>
  </si>
  <si>
    <t>LABORATORIO DE ANALISES RUBENS TOLEDO</t>
  </si>
  <si>
    <t>LUCIANO ESTEVES FERREIRA</t>
  </si>
  <si>
    <t>ALEXANDRE</t>
  </si>
  <si>
    <t>GABRIEL VITORELI SILVA</t>
  </si>
  <si>
    <t>IVONALDO MORAIS ARAUJO</t>
  </si>
  <si>
    <t>FABIANO AFONSO DO NASCIMENTO</t>
  </si>
  <si>
    <t>EDUCANDARIO SANTA TEREZINHA</t>
  </si>
  <si>
    <t>WILMAR DE OLIVEIRA PRIMO</t>
  </si>
  <si>
    <t>JONATHAN</t>
  </si>
  <si>
    <t>COBUCI ENTRETENIMENTO LTDA</t>
  </si>
  <si>
    <t>LUCAS MARIO PORTES</t>
  </si>
  <si>
    <t>THIAGO HENRIQUE BARBOSA PIRES</t>
  </si>
  <si>
    <t>RODRIGO FERREIRA PIRES</t>
  </si>
  <si>
    <t>TRIANGULO VISTORIAS JUIZ DE FORA</t>
  </si>
  <si>
    <t>PAULO</t>
  </si>
  <si>
    <t>TATIANA LIMA DO AMARAL</t>
  </si>
  <si>
    <t>NIVALDO</t>
  </si>
  <si>
    <t>LANCHONETE TED'S LTDA</t>
  </si>
  <si>
    <t>SUELY DE SOUZA ALIANI</t>
  </si>
  <si>
    <t>THAYNARA TEIXEIRA DA SILVA</t>
  </si>
  <si>
    <t>MARIA DE FATIMA GUEDES</t>
  </si>
  <si>
    <t>ROMULO</t>
  </si>
  <si>
    <t>TEREZA MAGESTE SILVA</t>
  </si>
  <si>
    <t>MARCOS VINICIUS MONTESSI</t>
  </si>
  <si>
    <t>DOUGLAS DE BARROS CUNHA</t>
  </si>
  <si>
    <t>RAQUEL FERNANDES PATICCIE</t>
  </si>
  <si>
    <t>GILSON QUINTILIANO</t>
  </si>
  <si>
    <t>ROGERIO DA BERG SILVA</t>
  </si>
  <si>
    <t>JORGE</t>
  </si>
  <si>
    <t>CONSELHO CENTRAL</t>
  </si>
  <si>
    <t>PAULO ROBERTO NEVES</t>
  </si>
  <si>
    <t>RENATO MORNICIO</t>
  </si>
  <si>
    <t>TIAGO NERY DE SOUZA</t>
  </si>
  <si>
    <t>CARLOS HENRIQUE GOMES JUNQUEIRA</t>
  </si>
  <si>
    <t>MINERAÇÃO NEW STONE</t>
  </si>
  <si>
    <t>JOVELINO SAMUEL</t>
  </si>
  <si>
    <t>MARIA DAS GRAÇAS</t>
  </si>
  <si>
    <t>MGD USINAGEM</t>
  </si>
  <si>
    <t>DENIS MIGUEL</t>
  </si>
  <si>
    <t>POWER SAT COMERCIAL LTDA</t>
  </si>
  <si>
    <t>MARGARIDA MOREIRA</t>
  </si>
  <si>
    <t>JAIR ADILSON</t>
  </si>
  <si>
    <t>TRIANGULO</t>
  </si>
  <si>
    <t>JOSE NAUJO</t>
  </si>
  <si>
    <t>MARCELO</t>
  </si>
  <si>
    <t>CAIXA ESCOLAR ESTADUAL</t>
  </si>
  <si>
    <t>COLEGIO SANTOS DUMONT</t>
  </si>
  <si>
    <t>ANTONIO</t>
  </si>
  <si>
    <t>MUNICIPIO DE OLIVEIRA FORTES</t>
  </si>
  <si>
    <t xml:space="preserve">ANTONIO </t>
  </si>
  <si>
    <t>ERICA CARLA DA SILVA</t>
  </si>
  <si>
    <t>ROGEL FERNANDES DOS REIS</t>
  </si>
  <si>
    <t>NORMA</t>
  </si>
  <si>
    <t>APAE</t>
  </si>
  <si>
    <t>JOAO EDSON DA SILVA</t>
  </si>
  <si>
    <t xml:space="preserve">NEYDE </t>
  </si>
  <si>
    <t>SILEIMAR</t>
  </si>
  <si>
    <t>ANNA MARIA BRANDAO</t>
  </si>
  <si>
    <t>junho</t>
  </si>
  <si>
    <t>JOSE RODRIGUES PINHEIRO DORIA</t>
  </si>
  <si>
    <t xml:space="preserve">ANDREIA A CARVALHO TOLEDO </t>
  </si>
  <si>
    <t>LIDIANE APARECIDA A CANTARINO</t>
  </si>
  <si>
    <t>ANA PAULA DE ABREU</t>
  </si>
  <si>
    <t>MARCUS CORREA DE MORAIS</t>
  </si>
  <si>
    <t>GERSON GUEDES RABELLO</t>
  </si>
  <si>
    <t>JOSE ANTONIO HORTA REIS</t>
  </si>
  <si>
    <t>ANDERSON DA SILVA ELLENA</t>
  </si>
  <si>
    <t>CARLOS EDUARDO DA SILVA</t>
  </si>
  <si>
    <t>MAI</t>
  </si>
  <si>
    <t>WANDERLEI BATISTA DE ALMEIDA</t>
  </si>
  <si>
    <t>ROMULO DE MELLO SILVA</t>
  </si>
  <si>
    <t>KAILANE MEIRELLES DE CARVALHO</t>
  </si>
  <si>
    <t>ADEMIR LUIZ GONÇALVES</t>
  </si>
  <si>
    <t>JOSE ABILIO DE ALMEIDA</t>
  </si>
  <si>
    <t>ABR</t>
  </si>
  <si>
    <t>MARIA EDUVIRGEM</t>
  </si>
  <si>
    <t>J &amp; M</t>
  </si>
  <si>
    <t>ANDRÉ VIEIRA MARQUES</t>
  </si>
  <si>
    <t>SÉRGIO RODRIGUES DE LIMA</t>
  </si>
  <si>
    <t>ROSEMEIRE DE OLIVEIRA</t>
  </si>
  <si>
    <t>MARIA APPARECIDA</t>
  </si>
  <si>
    <t>JACALCS</t>
  </si>
  <si>
    <t>DIEGO FERNANDES</t>
  </si>
  <si>
    <t>FLAVIA MENDES</t>
  </si>
  <si>
    <t>MAR</t>
  </si>
  <si>
    <t>LUAN GUEDES NASCIMENTO</t>
  </si>
  <si>
    <t>CÍCERO JARDEL FREIRES</t>
  </si>
  <si>
    <t>PAULA</t>
  </si>
  <si>
    <t>CAIXA ESCOLAR TEOFILO FERREIRA PAIVA</t>
  </si>
  <si>
    <t>PRISCILA MARIA DA SILVA</t>
  </si>
  <si>
    <t>VANIR AMARAL</t>
  </si>
  <si>
    <t>VANIR SIQUEIRA DO AMARAL</t>
  </si>
  <si>
    <t>AMARILDO COBUCI</t>
  </si>
  <si>
    <t>JONATHAN MILTON FERREIRA</t>
  </si>
  <si>
    <t>NEYDE LINHARES DE AMORIM</t>
  </si>
  <si>
    <t>GERALDO ROGERIO PIRES</t>
  </si>
  <si>
    <t>ROBSON SANTOS MALTA</t>
  </si>
  <si>
    <t>ROBERTO RICARDO AMADO</t>
  </si>
  <si>
    <t>JONAS ASSIS RUFFO</t>
  </si>
  <si>
    <t>OSMAR DOS SANTOS CABRAL</t>
  </si>
  <si>
    <t>JUSSARA</t>
  </si>
  <si>
    <t>JAN</t>
  </si>
  <si>
    <t>HORIZONTE INCORPORAÇÃO</t>
  </si>
  <si>
    <t>MANDAR EM JAN/22</t>
  </si>
  <si>
    <t>CAIXA ESCOLAR VIEIRA BRAGA</t>
  </si>
  <si>
    <t>SERRARIA</t>
  </si>
  <si>
    <t>SWAP INFOCENTER</t>
  </si>
  <si>
    <t>NELSON JOSE FERREIRA</t>
  </si>
  <si>
    <t>WELLINTON FABIO SOARES PEDROSA</t>
  </si>
  <si>
    <t>CARLOS EDUARDO DAMASCENO ALVIM</t>
  </si>
  <si>
    <t>RONALD ALBUQUERQUE MARQUES</t>
  </si>
  <si>
    <t>COLÉGIO SANTOS DUMONT</t>
  </si>
  <si>
    <t>MARCOS FERNANDES BARRETO</t>
  </si>
  <si>
    <t>JOÃO CESAR DE NOVAIS</t>
  </si>
  <si>
    <t>ALBERTO CESAR DE CARVALHO</t>
  </si>
  <si>
    <t>E.M. COMERCIO E REPRESENTACOES</t>
  </si>
  <si>
    <t>EVANDRO MONTEZI</t>
  </si>
  <si>
    <t>BAR E MERCEARIA DRIJAIR</t>
  </si>
  <si>
    <t>DIOGO VAZ DE MELO</t>
  </si>
  <si>
    <t>TIAGO ALVES BATISTA</t>
  </si>
  <si>
    <t>ROSEMBERG RAMOS DE CARVALHO</t>
  </si>
  <si>
    <t>RESTAURANTE AMARAL MIRANDA</t>
  </si>
  <si>
    <t>PAGTO</t>
  </si>
  <si>
    <t>% LUCRO</t>
  </si>
  <si>
    <t>LUCRO</t>
  </si>
  <si>
    <t>VENDA</t>
  </si>
  <si>
    <t>REPASSE</t>
  </si>
  <si>
    <t>STATUS</t>
  </si>
  <si>
    <t>VENC.</t>
  </si>
  <si>
    <t>MODELO</t>
  </si>
  <si>
    <t>REPRESENTANTE</t>
  </si>
  <si>
    <t>DEZ</t>
  </si>
  <si>
    <t>NOV</t>
  </si>
  <si>
    <t>OUT</t>
  </si>
  <si>
    <t>SET</t>
  </si>
  <si>
    <t>AGO</t>
  </si>
  <si>
    <t>MICHELE LILIANE VIDAL</t>
  </si>
  <si>
    <t>MICHELE LILIANE VIDAL E SILVA</t>
  </si>
  <si>
    <t>MARIA APPARECIA DA SILVA</t>
  </si>
  <si>
    <t>JACALS</t>
  </si>
  <si>
    <t>COBRAR 01 e 13°</t>
  </si>
  <si>
    <t>COBRAR 02 e 13°</t>
  </si>
  <si>
    <t xml:space="preserve"> E 6</t>
  </si>
  <si>
    <t>COBRAR 1.22</t>
  </si>
  <si>
    <t>cobrar 1 e 13°/22</t>
  </si>
  <si>
    <t>cobra 13°</t>
  </si>
  <si>
    <t>sem informações</t>
  </si>
  <si>
    <t>cobrar 5/6/10.22</t>
  </si>
  <si>
    <t>PORQUE PAGARAM 1000? NO DIA 01/02/2022</t>
  </si>
  <si>
    <t>ANDRE VOLPE MARQUES</t>
  </si>
  <si>
    <t>COBRAR 6 /12 E 13°</t>
  </si>
  <si>
    <t>cobrar 13°</t>
  </si>
  <si>
    <t>FABRICIO AMORIM ESTEVES</t>
  </si>
  <si>
    <t>COBRAR 13°</t>
  </si>
  <si>
    <t xml:space="preserve">03/032022 PAGOU 1100,00 , OQUE É? </t>
  </si>
  <si>
    <t>COBRAR 1 E 6/2022</t>
  </si>
  <si>
    <t>balde cheio</t>
  </si>
  <si>
    <t>6/21 e 04/22</t>
  </si>
  <si>
    <t>11/22 a 04/23</t>
  </si>
  <si>
    <t>JOÃO FERNANDO FERREIRA</t>
  </si>
  <si>
    <t>JOAO FERNANDO FERREIRA</t>
  </si>
  <si>
    <t>A1 - 1 ANO PJ</t>
  </si>
  <si>
    <t>JOÃO BATISTA ESTEVES</t>
  </si>
  <si>
    <t>EDIO JOSE MOREIRA</t>
  </si>
  <si>
    <t>EDIO JSOE MOREIRA</t>
  </si>
  <si>
    <t>TIAGO LIMA FERNANDES</t>
  </si>
  <si>
    <t>ANA MARIA VIEIRA MARQUES FONSECA</t>
  </si>
  <si>
    <t>RAMON MARCOS DE AQUINO</t>
  </si>
  <si>
    <t>SILDO CAMPOS FERREIRA</t>
  </si>
  <si>
    <t xml:space="preserve">SILDO CAMPOS FERREIRA </t>
  </si>
  <si>
    <t>JURACI RIBEIRO FERREIRA</t>
  </si>
  <si>
    <t>CARLOS ORLANDINO DA SILVA</t>
  </si>
  <si>
    <t>CENTRO ESPIRITA FRANCISCO</t>
  </si>
  <si>
    <t>CASA PEIXOTINHO</t>
  </si>
  <si>
    <t>-</t>
  </si>
  <si>
    <t>--</t>
  </si>
  <si>
    <t>COBRAR 1/2/3/9/12/13°</t>
  </si>
  <si>
    <t>CLAUDIA MARQUES</t>
  </si>
  <si>
    <t>DIVIDA TOTAL</t>
  </si>
  <si>
    <t>TOTAL DIVIDA</t>
  </si>
  <si>
    <t>SOMA</t>
  </si>
  <si>
    <t>RECEBIMENTO TOTAL</t>
  </si>
  <si>
    <t>DASHBOARD</t>
  </si>
  <si>
    <t>SOCIEDADE MUSICAL N SRA APARECIDA</t>
  </si>
  <si>
    <t>janeiro</t>
  </si>
  <si>
    <t>fevereiro</t>
  </si>
  <si>
    <t>março</t>
  </si>
  <si>
    <t>abril</t>
  </si>
  <si>
    <t>maio</t>
  </si>
  <si>
    <t>julho</t>
  </si>
  <si>
    <t>agosto</t>
  </si>
  <si>
    <t>setembro</t>
  </si>
  <si>
    <t>outubro</t>
  </si>
  <si>
    <t>novembro</t>
  </si>
  <si>
    <t>dezembro</t>
  </si>
  <si>
    <t>13°</t>
  </si>
  <si>
    <t>0/07</t>
  </si>
  <si>
    <t>PROD RURAIS PEROBAS</t>
  </si>
  <si>
    <t>DIVIDA ATUAL</t>
  </si>
  <si>
    <t>TOTAL DA DIVIDA</t>
  </si>
  <si>
    <t>VALOR ATUAL DA DIVIDA</t>
  </si>
  <si>
    <t>SEM PAGAMENTO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</si>
  <si>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</si>
  <si>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</si>
  <si>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</si>
  <si>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</si>
  <si>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</si>
  <si>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</si>
  <si>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</si>
  <si>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</si>
  <si>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</si>
  <si>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</si>
  <si>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</si>
  <si>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</si>
  <si>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dividas por ano</t>
  </si>
  <si>
    <t>TOTAL ATE 22</t>
  </si>
  <si>
    <t>2022 até mês 08</t>
  </si>
  <si>
    <t>TOTAL ATE 2022</t>
  </si>
  <si>
    <t>770 mensal</t>
  </si>
  <si>
    <t>2023/MENSAL</t>
  </si>
  <si>
    <t>PAGAMENTOS ATRASADOS</t>
  </si>
  <si>
    <t>PAGAMENTOS 2023</t>
  </si>
  <si>
    <t>sendo pago</t>
  </si>
  <si>
    <t>DIVIDA ATRASADOS</t>
  </si>
  <si>
    <t>PARCELAMENTO</t>
  </si>
  <si>
    <t>CARLOS EDUARDO E CLAUDIO</t>
  </si>
  <si>
    <t xml:space="preserve">MARIA ALICE FERREIRA </t>
  </si>
  <si>
    <t>JURANDY DE ALMEIDA CAMPOS</t>
  </si>
  <si>
    <t>JUANICE GOMES</t>
  </si>
  <si>
    <t>OTAVIO MARCOS MEYER</t>
  </si>
  <si>
    <t>MANDAR MENSAGEM</t>
  </si>
  <si>
    <t>ELIANE SOARES DE MATOS</t>
  </si>
  <si>
    <t>Pix,dep,cheque</t>
  </si>
  <si>
    <t>transferencia</t>
  </si>
  <si>
    <t>pIX</t>
  </si>
  <si>
    <t>CNPJ</t>
  </si>
  <si>
    <t>TELEFONE</t>
  </si>
  <si>
    <t>GABRIEL DIAS FERREIRA</t>
  </si>
  <si>
    <t>GERALDO CARLOS DE ALBUQUERQUE</t>
  </si>
  <si>
    <t>MARCOS RIBEIRO DA SILVA</t>
  </si>
  <si>
    <t>PABLO PEREIRA DOS SANTOS</t>
  </si>
  <si>
    <t>50.379.000/0001-12</t>
  </si>
  <si>
    <t>MARLI APARECIDA DA SILVA</t>
  </si>
  <si>
    <t>VALESCA DE OLIVEIRA MENDES</t>
  </si>
  <si>
    <t>49.101.427/0001-75</t>
  </si>
  <si>
    <t>50.526.212/0001-85</t>
  </si>
  <si>
    <t>50.600.405/0001-39</t>
  </si>
  <si>
    <t>50.617.509/0001-56</t>
  </si>
  <si>
    <t>50.515.364/0001-82</t>
  </si>
  <si>
    <t>49.109.667/0001-16</t>
  </si>
  <si>
    <t>DOUGLAS ALVES DOS REIS</t>
  </si>
  <si>
    <t>49.330.321/0001-43</t>
  </si>
  <si>
    <t>51.016.040/0001-62</t>
  </si>
  <si>
    <t>22.288.639/0001-57</t>
  </si>
  <si>
    <t>CRIAP</t>
  </si>
  <si>
    <t>DJALMA HENRIQUES</t>
  </si>
  <si>
    <t>ADRIANA</t>
  </si>
  <si>
    <t>GILBERTO OTONI DO NASCIMENTO</t>
  </si>
  <si>
    <t>GILBERTO OTONO DO NASCIMENTO</t>
  </si>
  <si>
    <t>CRISTIANA DE LA ROCQUE DA FROTA</t>
  </si>
  <si>
    <t>MARISA LEANDRO PROCOPIO</t>
  </si>
  <si>
    <t>AGROVIT VITOR AMARAL</t>
  </si>
  <si>
    <t>EVERALDO ANTONIO PEREIRA</t>
  </si>
  <si>
    <t>JUSSARA FATIMA DE SOUZA RUFFO</t>
  </si>
  <si>
    <t>ROGERIO LIMA RUFFO</t>
  </si>
  <si>
    <t>51.499.642/0001-18</t>
  </si>
  <si>
    <t>34.789.852/0001-21</t>
  </si>
  <si>
    <t>41.391.013/0001-16</t>
  </si>
  <si>
    <t>CPF</t>
  </si>
  <si>
    <t>133.851.906-90</t>
  </si>
  <si>
    <t>COD SIMEI</t>
  </si>
  <si>
    <t>445543855041</t>
  </si>
  <si>
    <t>fd</t>
  </si>
  <si>
    <t>LEANDRO LUCIO DE FREITAS</t>
  </si>
  <si>
    <t>DIENNIFFER BRUNA DE ALMEIDA</t>
  </si>
  <si>
    <t>GRUPO ALEGRIA DE VIVER</t>
  </si>
  <si>
    <t>JOSE RAIMUNDO PITO</t>
  </si>
  <si>
    <t>HELLEN</t>
  </si>
  <si>
    <t>34.406.078/0001-22</t>
  </si>
  <si>
    <t>CIEP TREINAMENTOS ( TAYNARA MARY)</t>
  </si>
  <si>
    <t>478798412472</t>
  </si>
  <si>
    <t>137.398.626-37</t>
  </si>
  <si>
    <t>CONTROLE DE CHEQUES</t>
  </si>
  <si>
    <t>DATA DE DEPÓSITO</t>
  </si>
  <si>
    <t>VENILTON</t>
  </si>
  <si>
    <t>FAZER RECIBO</t>
  </si>
  <si>
    <t>DESCOBRIR QUEM É</t>
  </si>
  <si>
    <t>MANDAR BOLETO</t>
  </si>
  <si>
    <t>COBRAR HONORARIO ISA</t>
  </si>
  <si>
    <t>GUSTAVO SA FORTES DE VASCONCELOS</t>
  </si>
  <si>
    <t>MANDAR NO HONORARIO</t>
  </si>
  <si>
    <t>NELMAR NEPOMUCENO DOS SANTOS</t>
  </si>
  <si>
    <t>RENATA MANDAR RECIBO PRA SWAP</t>
  </si>
  <si>
    <t>RENATA MANDAR RECIBO PARA SWAP</t>
  </si>
  <si>
    <t>MARIA PAULA DE OLIVEIRA DIANA</t>
  </si>
  <si>
    <t xml:space="preserve">SERRANA C M PEÇAS </t>
  </si>
  <si>
    <t>ROGERIO DA SILVA BERG</t>
  </si>
  <si>
    <t>075.275.226-07</t>
  </si>
  <si>
    <t>51.781.741/0001-98</t>
  </si>
  <si>
    <t>FELICIA GOMES ARAUJO MACHADO</t>
  </si>
  <si>
    <t>162.563.996-17</t>
  </si>
  <si>
    <t>EDUARDA ALVES DA CRUZ</t>
  </si>
  <si>
    <t>145.832.956-93</t>
  </si>
  <si>
    <t>51.716.792/0001-36</t>
  </si>
  <si>
    <t xml:space="preserve">FUNERARIA SANTOS </t>
  </si>
  <si>
    <t>MARIA DO CARMO MAIA</t>
  </si>
  <si>
    <t>ENGEWATT</t>
  </si>
  <si>
    <t>LEONARDO FERREIRA LIGUORI</t>
  </si>
  <si>
    <t>CARTONAGEM PALMYRA</t>
  </si>
  <si>
    <t>ALAN VIEIRA ( CHEQUE DE TERCEIROS)</t>
  </si>
  <si>
    <t>LEANDRO GUARINO</t>
  </si>
  <si>
    <t>PIX/DEP/CHEQUE</t>
  </si>
  <si>
    <t>OSVANE ABREU FARIA PROJETOS E SERVIÇOS</t>
  </si>
  <si>
    <t>LUIZ FILIP CORREIA DAMACENO</t>
  </si>
  <si>
    <t>THIAGO TAVARES</t>
  </si>
  <si>
    <t>13°/2023</t>
  </si>
  <si>
    <t>MARIA APARECIDA DE PAULA ALMEIDA</t>
  </si>
  <si>
    <t>IMPERIO DOS ACESSORIOS</t>
  </si>
  <si>
    <t>SERGIO RODRIGUES DE LIMA GARRINO</t>
  </si>
  <si>
    <t>CEFF TRANSPORTE LTDA</t>
  </si>
  <si>
    <t>A3 - 3 Anos PJ</t>
  </si>
  <si>
    <t>LIDIANE CAMILA DE MORAES BEZERRA ( SWAP)</t>
  </si>
  <si>
    <t>BAIXA</t>
  </si>
  <si>
    <t>ANA LUISA MACHADO D, OLIVEIRA</t>
  </si>
  <si>
    <t xml:space="preserve">CLAUDIA M MARQUES </t>
  </si>
  <si>
    <t>COURI LOTERIAS E SERVIÇOS</t>
  </si>
  <si>
    <t>MIGUEL COURI GABRIEL DA CUNHA</t>
  </si>
  <si>
    <t>CORPEL CONSULTÓRIO MÉDICO</t>
  </si>
  <si>
    <t>VALTER GONÇALVES SOUZA</t>
  </si>
  <si>
    <t>HONORARIO</t>
  </si>
  <si>
    <t>CENTRO MÉDICO SÃO LUCAS</t>
  </si>
  <si>
    <t>PAULO HENRIQUE DE OLIVEIRA</t>
  </si>
  <si>
    <t>ALOISIO AUGUTOS HYPOLITO SILVA</t>
  </si>
  <si>
    <t>MERCEARIA VILLA</t>
  </si>
  <si>
    <t>EDUARDO PEREIRA ( CHEQUE DE TERCEIRO) CORPEL</t>
  </si>
  <si>
    <t>370.319.617-34</t>
  </si>
  <si>
    <t>SOLANGE ( REGULARIZE: CPF + Solange370*) gov: Solange18#</t>
  </si>
  <si>
    <t>HORA</t>
  </si>
  <si>
    <t>CERTIFICADOS AGENDADOS</t>
  </si>
  <si>
    <t>CX ESC JOSE GUILHERME DE ALMEIDA( CONERLIA )</t>
  </si>
  <si>
    <t>PEDRO</t>
  </si>
  <si>
    <t>MICHELLE PINHEIRO DORIA</t>
  </si>
  <si>
    <t>TLA ODONTOLOGIA LTDA</t>
  </si>
  <si>
    <t>HELEN APARECIDA MARTINS</t>
  </si>
  <si>
    <t>RIZONETE LIRA BRANDAO</t>
  </si>
  <si>
    <t>MARCIA KINGMA TERRA</t>
  </si>
  <si>
    <t>JORGE MANSUR, PF COM CEI</t>
  </si>
  <si>
    <t xml:space="preserve">CONDOMINIO MARCELO LISBOA </t>
  </si>
  <si>
    <t>IVAN</t>
  </si>
  <si>
    <t>PEDRO MARCOS TORRES</t>
  </si>
  <si>
    <t>CONTA</t>
  </si>
  <si>
    <t>LEONARDO</t>
  </si>
  <si>
    <t>LUANA</t>
  </si>
  <si>
    <t>CONTROLE DE ALTERAÇÃO</t>
  </si>
  <si>
    <t>CLIENTE</t>
  </si>
  <si>
    <t>DESCRIÇÃO</t>
  </si>
  <si>
    <t>DIOGO Q FERREIRA DE ALMEIDA</t>
  </si>
  <si>
    <t>PIX,DEP,CHEQUE</t>
  </si>
  <si>
    <t>TATIANA MOURÃO</t>
  </si>
  <si>
    <t>WILLIAM DOUGLAS SOUZA DE OLIVEIRA</t>
  </si>
  <si>
    <t>MARIA DAS GRAÇAS RIBEIRO</t>
  </si>
  <si>
    <t>270327783943.</t>
  </si>
  <si>
    <t>GISLENE ROTATORI ALVIM OLIVEIRA</t>
  </si>
  <si>
    <t>DANUBIA VIEIRA</t>
  </si>
  <si>
    <t>52.252.176/0001-34</t>
  </si>
  <si>
    <t>remedios comprados</t>
  </si>
  <si>
    <t>M G D USINAGEM LTDA</t>
  </si>
  <si>
    <t>121.481.296-19</t>
  </si>
  <si>
    <t>PEDRO BARBOSA AMARAL</t>
  </si>
  <si>
    <t>52.313.311/0001-04</t>
  </si>
  <si>
    <t>382.236.436-34</t>
  </si>
  <si>
    <t>EDUARDO PEREIRA CORPEL</t>
  </si>
  <si>
    <t>ESC JOSE GUILHERME DE ALMEIDA</t>
  </si>
  <si>
    <t>LUCINEA MARIA DA SILVA FONSECA</t>
  </si>
  <si>
    <t xml:space="preserve">SABRINA XAVIER DE ALMEIDA </t>
  </si>
  <si>
    <t>MOVER LOCAÇÃO</t>
  </si>
  <si>
    <t>ALBERTO MIGUEL BARBOSA</t>
  </si>
  <si>
    <t xml:space="preserve">JOSE FRANCISCO DE CAMPOS </t>
  </si>
  <si>
    <t>HOMERITON MATERIAIS DE CONST</t>
  </si>
  <si>
    <t>RENATO GARCIA FORMIGONI</t>
  </si>
  <si>
    <t>786070747982</t>
  </si>
  <si>
    <t>ALOIZIO MARCIANO</t>
  </si>
  <si>
    <t>22.432.913/0001-10</t>
  </si>
  <si>
    <t>082.793.636-29</t>
  </si>
  <si>
    <t>Valdemir082*</t>
  </si>
  <si>
    <t>Gilson053*</t>
  </si>
  <si>
    <t>26.971.836/0001-27</t>
  </si>
  <si>
    <t>053.507.766-14</t>
  </si>
  <si>
    <t xml:space="preserve">RIZONETE </t>
  </si>
  <si>
    <t>Hodoney039*</t>
  </si>
  <si>
    <t>52.566.483/0001-90</t>
  </si>
  <si>
    <t>039.990.196-54</t>
  </si>
  <si>
    <t>JULIANA DAS DORES VIANA</t>
  </si>
  <si>
    <t>227088748288</t>
  </si>
  <si>
    <t>080.268.096-88</t>
  </si>
  <si>
    <t>ANDRE CACAU BRASIL</t>
  </si>
  <si>
    <t>482905537423</t>
  </si>
  <si>
    <t>JOAO HENRIQUE DE OLIVEIRA SILVA</t>
  </si>
  <si>
    <t>123.259.486-50</t>
  </si>
  <si>
    <t>26.683.605-0001-18</t>
  </si>
  <si>
    <t>35.855.474-0001-08</t>
  </si>
  <si>
    <t>ALBERTO MIGUEL</t>
  </si>
  <si>
    <t>PAGAMENTO DO CLIPP</t>
  </si>
  <si>
    <t>TUDO PAGO</t>
  </si>
  <si>
    <t>CIRURGICA SÃO MIGUEL</t>
  </si>
  <si>
    <t>1º PARCELA</t>
  </si>
  <si>
    <t>2° PARCELA</t>
  </si>
  <si>
    <t>TULIO CESAR GRUNEWALD</t>
  </si>
  <si>
    <t>EDMAR JORGE VIEIRA</t>
  </si>
  <si>
    <t>MARCELLO FORTES GUERRA</t>
  </si>
  <si>
    <t>NAYARA CRISTINA BRAZ</t>
  </si>
  <si>
    <t>AUXILIADORA APARECIDA DE OLIVEIRA</t>
  </si>
  <si>
    <t xml:space="preserve">MARILUCIA GONÇALVES </t>
  </si>
  <si>
    <t>JONAS GABRIEL CAMPOS</t>
  </si>
  <si>
    <t>ARTE E CULTURA ISAAC</t>
  </si>
  <si>
    <t>JOSE KOS PINHEIRO DE ANDRADE</t>
  </si>
  <si>
    <t>28.954.615/0001-76</t>
  </si>
  <si>
    <t>NELSON</t>
  </si>
  <si>
    <t>Nelson289*</t>
  </si>
  <si>
    <t>588.334.806-82</t>
  </si>
  <si>
    <t>MENDES CALDEIRARIA E USINAGEM</t>
  </si>
  <si>
    <t>SANTEC SERVIÇOS GERAIS</t>
  </si>
  <si>
    <t>ANTONIO MARCOS</t>
  </si>
  <si>
    <t>008588970 n° parc 2º op</t>
  </si>
  <si>
    <t xml:space="preserve">dinheiro  </t>
  </si>
  <si>
    <t>IMPERIO DOS ACESSÓRIOS</t>
  </si>
  <si>
    <t>DL ONDONTO ( 34 )</t>
  </si>
  <si>
    <t>EVANDRO</t>
  </si>
  <si>
    <t>THALITA</t>
  </si>
  <si>
    <t>SIMONE MARIA DA COSTA MENDES</t>
  </si>
  <si>
    <t>37.324.948/0001-02</t>
  </si>
  <si>
    <t>081.504.826-28</t>
  </si>
  <si>
    <t>HELEN</t>
  </si>
  <si>
    <t>VALERIA</t>
  </si>
  <si>
    <t>Valeria065*</t>
  </si>
  <si>
    <t>CONSEP</t>
  </si>
  <si>
    <t>E M COMERCIO EIRELLI</t>
  </si>
  <si>
    <t>EDUARDO PEREIRA</t>
  </si>
  <si>
    <t>112.935.066-56</t>
  </si>
  <si>
    <t>42.296.678/0001-03</t>
  </si>
  <si>
    <t>Douglas422*</t>
  </si>
  <si>
    <t>diNHEIRO</t>
  </si>
  <si>
    <t>dINHEIRO</t>
  </si>
  <si>
    <t>52.218.416/0001-84</t>
  </si>
  <si>
    <t>017.721.596-89</t>
  </si>
  <si>
    <t>17.565.479/0001-06</t>
  </si>
  <si>
    <t>Aloizio072*</t>
  </si>
  <si>
    <t>072.275.716-61</t>
  </si>
  <si>
    <t>19.936.417/0001-99</t>
  </si>
  <si>
    <t>Alexandre199*</t>
  </si>
  <si>
    <t xml:space="preserve">IVAN DE OLIVEIRA FORMIGON ( marcelo lisboa) </t>
  </si>
  <si>
    <t>CARDOSO B FERREIRA ( CORPEL)</t>
  </si>
  <si>
    <t>OPÇAO INFORMATICA</t>
  </si>
  <si>
    <t>PIX\DEP\CHEQUE</t>
  </si>
  <si>
    <t>DINHEIRO/CHEQUE</t>
  </si>
  <si>
    <t>piX</t>
  </si>
  <si>
    <t>NELICA APARECIDA FERREIRA</t>
  </si>
  <si>
    <t>MARIA ELIZA CARVALHO DE PAULA</t>
  </si>
  <si>
    <t>370818153230</t>
  </si>
  <si>
    <t>29.339.133/0001-79</t>
  </si>
  <si>
    <t>111.023.866-50</t>
  </si>
  <si>
    <t>13°/2024</t>
  </si>
  <si>
    <t xml:space="preserve">ANDERSON RODRIGUES </t>
  </si>
  <si>
    <t>SADSCOR CLINICA CARDIOLOGICA</t>
  </si>
  <si>
    <t>SERRARIA E COMERCIO DE MADEIRAS</t>
  </si>
  <si>
    <t>ROGERIO FERREIRA LOPES</t>
  </si>
  <si>
    <t>VALERIA CRISTIA AQUINO DOS ANJOS</t>
  </si>
  <si>
    <t>PEÇAS NOVAS E USADAS</t>
  </si>
  <si>
    <t>ROSELI DOS SANTOS</t>
  </si>
  <si>
    <t>THIAGO</t>
  </si>
  <si>
    <t>emitidos com a DIRETA/QUALYCERT ( Dezembro/23)</t>
  </si>
  <si>
    <t>JANEIRO / 2024</t>
  </si>
  <si>
    <t>MARCOS JULIO BATISTA</t>
  </si>
  <si>
    <t>DINHEIRO E CHEQUE</t>
  </si>
  <si>
    <t>PIX/DINHEIRO</t>
  </si>
  <si>
    <t xml:space="preserve">ADRIANA APARECIDA </t>
  </si>
  <si>
    <t>ADRIANA APARECIDA</t>
  </si>
  <si>
    <t>ROSE PIZZAS</t>
  </si>
  <si>
    <t>ROSE</t>
  </si>
  <si>
    <t>JOSIEL DE CAMPOS RIBEIRO</t>
  </si>
  <si>
    <t xml:space="preserve">MARCO ANTONIO GUARINO </t>
  </si>
  <si>
    <t>CONFERIR</t>
  </si>
  <si>
    <t>ATRASADO</t>
  </si>
  <si>
    <t>COBRAR</t>
  </si>
  <si>
    <t>965472932415.</t>
  </si>
  <si>
    <t>BALDE CHEIO</t>
  </si>
  <si>
    <t>MARIA APARECIDA DA SILVA</t>
  </si>
  <si>
    <t>MARIA DA CONCEICAO PEREIRA DITTZ</t>
  </si>
  <si>
    <t>MARIA DA CONCEIÇÃO PEREIRA DITTZ</t>
  </si>
  <si>
    <t>24.302.711/0001-89</t>
  </si>
  <si>
    <t>ROBSON</t>
  </si>
  <si>
    <t>ANTONIL ALVIM PEREIRA</t>
  </si>
  <si>
    <t>51.615.883/0001-85</t>
  </si>
  <si>
    <t>124.349.687.83</t>
  </si>
  <si>
    <t>ALEXSSANDRO</t>
  </si>
  <si>
    <t>30.137.443/0001-90</t>
  </si>
  <si>
    <t>OSMAR</t>
  </si>
  <si>
    <t>FEVEREIRO / 2024</t>
  </si>
  <si>
    <t>VENDAS</t>
  </si>
  <si>
    <t>VIAÇÃO PAULA SANTOS</t>
  </si>
  <si>
    <t>PAGO ATE OUTUBRO</t>
  </si>
  <si>
    <t>EMPRESA PARANA MINAS</t>
  </si>
  <si>
    <t>A. COMUNITARIA SÃO MIGUEL</t>
  </si>
  <si>
    <t>FELIPPE GOMES FORTE</t>
  </si>
  <si>
    <t>pago</t>
  </si>
  <si>
    <t>PAULO CESAR FERREIRA LOPES</t>
  </si>
  <si>
    <t>KATCH OHANA</t>
  </si>
  <si>
    <t>MARIA DO CEU</t>
  </si>
  <si>
    <t>UNS SOLUÇÕES</t>
  </si>
  <si>
    <t>UINDSON</t>
  </si>
  <si>
    <t xml:space="preserve">CONTROLE MEI  </t>
  </si>
  <si>
    <t>KATCH OHANA DOS SANTOS FERREIRA</t>
  </si>
  <si>
    <t>53.969.717/0001-02</t>
  </si>
  <si>
    <t>117.403.206-54</t>
  </si>
  <si>
    <t>WALDETH</t>
  </si>
  <si>
    <t>CENTRO MEDICO SÃO LUCAS</t>
  </si>
  <si>
    <t>DIOGO</t>
  </si>
  <si>
    <t>ANA MARIA DE OLIVEIRA</t>
  </si>
  <si>
    <t>JOSE MARCIO EUGENIO</t>
  </si>
  <si>
    <t>FERRAGENS COSTA E CAETANO</t>
  </si>
  <si>
    <t>20/022024</t>
  </si>
  <si>
    <t>FRANCISCO BENTO DE OLIVEIRA</t>
  </si>
  <si>
    <t xml:space="preserve">ANALYDYA </t>
  </si>
  <si>
    <t>ANALYDYA</t>
  </si>
  <si>
    <t>DOUGLAS</t>
  </si>
  <si>
    <t>HENRIQUE</t>
  </si>
  <si>
    <t>CLAUDINEI</t>
  </si>
  <si>
    <t>JULIANO AMORIM</t>
  </si>
  <si>
    <t>MARIA MADALENA</t>
  </si>
  <si>
    <t>MARAIA MADALENA</t>
  </si>
  <si>
    <t>44.851.668/0001-18</t>
  </si>
  <si>
    <t>120.473.966-89</t>
  </si>
  <si>
    <t>MARÇO / 2024</t>
  </si>
  <si>
    <t xml:space="preserve">LARISSA LEANDRO </t>
  </si>
  <si>
    <t>LARISSA LEANDRO</t>
  </si>
  <si>
    <t>GERALDO EDISON</t>
  </si>
  <si>
    <t>FUNDO DA CRIANCA E ADOLESCENTE</t>
  </si>
  <si>
    <t>GLAUCIA SILVA DE ARAUJO</t>
  </si>
  <si>
    <t>COMPDEC</t>
  </si>
  <si>
    <t>ELISA OTONI DA ISLBEIRA</t>
  </si>
  <si>
    <t>JOSIANE APARECIDA FERANDES DA SILVEIRA</t>
  </si>
  <si>
    <t>SECRETARIA MUNICIPAL DE E. OF</t>
  </si>
  <si>
    <t xml:space="preserve">CHEILA CANTARINO </t>
  </si>
  <si>
    <t>FMS</t>
  </si>
  <si>
    <t>VALERIA RABELLO</t>
  </si>
  <si>
    <t>CARLOS EDUARDO DAMASCENO</t>
  </si>
  <si>
    <t>GERALDO MOURAO</t>
  </si>
  <si>
    <t>ALMIR JOSE DA SILVA</t>
  </si>
  <si>
    <t>RODRIGO BATISTA</t>
  </si>
  <si>
    <t>FMAS</t>
  </si>
  <si>
    <t>PRODUTOS DE LATICIONIOS ISA</t>
  </si>
  <si>
    <t>PLASF</t>
  </si>
  <si>
    <t>marflas</t>
  </si>
  <si>
    <t>flavia</t>
  </si>
  <si>
    <t>BARBARA ISABEL</t>
  </si>
  <si>
    <t>MAURO WILSON</t>
  </si>
  <si>
    <t>SENHA</t>
  </si>
  <si>
    <t xml:space="preserve">Zelia </t>
  </si>
  <si>
    <t>805.497.806-53</t>
  </si>
  <si>
    <t>Zelia@102030</t>
  </si>
  <si>
    <t>LEIDIANE</t>
  </si>
  <si>
    <t>BRANDELS</t>
  </si>
  <si>
    <t>IRMA MARIA</t>
  </si>
  <si>
    <t>LAB RUBENS TOLEDO</t>
  </si>
  <si>
    <t>ELIANA</t>
  </si>
  <si>
    <t xml:space="preserve">ELAINE </t>
  </si>
  <si>
    <t>Maria da Conceição Ap. Claudino</t>
  </si>
  <si>
    <t>995.100.576-49</t>
  </si>
  <si>
    <t>Mariac995*</t>
  </si>
  <si>
    <t>Carlos Mariano Ferreira</t>
  </si>
  <si>
    <t>261.464.606-72</t>
  </si>
  <si>
    <t>Carlos261*</t>
  </si>
  <si>
    <t>Geraldo Mourão Sobrinho</t>
  </si>
  <si>
    <t>Elba dos Santos Ferreira</t>
  </si>
  <si>
    <t>699.400.296-91</t>
  </si>
  <si>
    <t>Elba699*</t>
  </si>
  <si>
    <t>Sonia Maria Ribeiro</t>
  </si>
  <si>
    <t>521.476.736-68</t>
  </si>
  <si>
    <t>Sonia521***</t>
  </si>
  <si>
    <t>Laura Ines Foini e Silva</t>
  </si>
  <si>
    <t>382.234.306-49</t>
  </si>
  <si>
    <t>Laura382*</t>
  </si>
  <si>
    <t>Helio Rossi de Carvalho</t>
  </si>
  <si>
    <t>089.921.856-34</t>
  </si>
  <si>
    <t>Denize Maria Custodio Palmieri</t>
  </si>
  <si>
    <t>073.193.296-03</t>
  </si>
  <si>
    <t>Dmc1987@</t>
  </si>
  <si>
    <t>Angelo Aparecido Ferreira</t>
  </si>
  <si>
    <t>601.645.736-15</t>
  </si>
  <si>
    <t>A@f88025017</t>
  </si>
  <si>
    <t>200.596.698-37</t>
  </si>
  <si>
    <t>paula110</t>
  </si>
  <si>
    <t>Marilene Amaral Toledo de Lima</t>
  </si>
  <si>
    <t>Roselene Andreia dos Santos</t>
  </si>
  <si>
    <t>026.715.796-75</t>
  </si>
  <si>
    <t xml:space="preserve">   @Vasco1998</t>
  </si>
  <si>
    <t>Alexsander Jose dos S. Cantarino</t>
  </si>
  <si>
    <t>105.759.146-70</t>
  </si>
  <si>
    <t>#CRVGxx98</t>
  </si>
  <si>
    <t>Alexsandro Berg Soares</t>
  </si>
  <si>
    <t>071.055.526-11</t>
  </si>
  <si>
    <t>Alexsandro071*</t>
  </si>
  <si>
    <t>BARBARA ISABEL MACHADO</t>
  </si>
  <si>
    <t>Mauricio Emerson Dias da Silva</t>
  </si>
  <si>
    <t>101.455.876-06</t>
  </si>
  <si>
    <t>Dias302501@</t>
  </si>
  <si>
    <t>Erica Renata Vigilato</t>
  </si>
  <si>
    <t>044.462.866-50</t>
  </si>
  <si>
    <t>Erica@271181</t>
  </si>
  <si>
    <t xml:space="preserve">AL EMPREENDIMENTOS </t>
  </si>
  <si>
    <t>GRAÇA</t>
  </si>
  <si>
    <t>LEONARDO DE PAIVA</t>
  </si>
  <si>
    <t>CARMEM</t>
  </si>
  <si>
    <t>IMPERIO</t>
  </si>
  <si>
    <t>Nelson ferreira de souza</t>
  </si>
  <si>
    <t>Luiz Guilherme Pereira Carele</t>
  </si>
  <si>
    <t>088.474.756-51</t>
  </si>
  <si>
    <t>Luizgui12@</t>
  </si>
  <si>
    <t>Luciane Couri Guimaraes Correa</t>
  </si>
  <si>
    <t>555.549.116-68</t>
  </si>
  <si>
    <t>Luciane555*</t>
  </si>
  <si>
    <t>Moisés Emidio Xavier</t>
  </si>
  <si>
    <t>923.333.206-30</t>
  </si>
  <si>
    <t>Moises923***</t>
  </si>
  <si>
    <t>Sandro028*</t>
  </si>
  <si>
    <t>028.844.246-60</t>
  </si>
  <si>
    <t>MARIA LUCIA</t>
  </si>
  <si>
    <t>BRUNO OTONI</t>
  </si>
  <si>
    <t>Clenice Maria Pereira</t>
  </si>
  <si>
    <t>Clenice210*</t>
  </si>
  <si>
    <t>JADERSON</t>
  </si>
  <si>
    <t>ILSON</t>
  </si>
  <si>
    <t>MAURA</t>
  </si>
  <si>
    <t>VALERIA MENDES ANGELO</t>
  </si>
  <si>
    <t>Pedro elias</t>
  </si>
  <si>
    <t>pedro elias</t>
  </si>
  <si>
    <t>PEDRO SERGIO</t>
  </si>
  <si>
    <t>ABRIL / 2024</t>
  </si>
  <si>
    <t>RAFAEL SOTERO</t>
  </si>
  <si>
    <t>ILMARA</t>
  </si>
  <si>
    <t>diogo q ferreira de almeida</t>
  </si>
  <si>
    <t>ALEXANDRE FERNANDES DE AQUINO</t>
  </si>
  <si>
    <t>PABLO FERNANDO</t>
  </si>
  <si>
    <t>MARINETE DO NASCIMENTO</t>
  </si>
  <si>
    <t>MARCIA PAULA</t>
  </si>
  <si>
    <t>DANIEL SILVA DOS REIS</t>
  </si>
  <si>
    <t>RONDINELLI</t>
  </si>
  <si>
    <t>FABRICIO GONÇALVES</t>
  </si>
  <si>
    <t>JUNIOR RAFAEL</t>
  </si>
  <si>
    <t>REGINA</t>
  </si>
  <si>
    <t>RENATA 1</t>
  </si>
  <si>
    <t>CENTRO MEDICO SÃO CAMILO</t>
  </si>
  <si>
    <t>TAIS CAETANOS</t>
  </si>
  <si>
    <t>SILVIO JUNIOR</t>
  </si>
  <si>
    <t>VANIA MARIZA</t>
  </si>
  <si>
    <t>DIOMESE</t>
  </si>
  <si>
    <t>IRAI</t>
  </si>
  <si>
    <t>GERALDO MAGELA</t>
  </si>
  <si>
    <t>CORPEL ( HELIO CARDOSO JUNIOR )</t>
  </si>
  <si>
    <t>CORPEL ( CLAUDIO CESAR DE PAULA )</t>
  </si>
  <si>
    <t>MORRAINI</t>
  </si>
  <si>
    <t>MORRAINI BORGES</t>
  </si>
  <si>
    <t>ASAAS</t>
  </si>
  <si>
    <t>FERNANDA ROSSI</t>
  </si>
  <si>
    <t>059257545926</t>
  </si>
  <si>
    <t>FABIO AMORIM ESTEVES</t>
  </si>
  <si>
    <t>ADRIEL</t>
  </si>
  <si>
    <t>JOSE ALVES DA FONSECA</t>
  </si>
  <si>
    <t>RENATO ESTEVES DA FONSECA</t>
  </si>
  <si>
    <t>Wellington</t>
  </si>
  <si>
    <t>CELIA</t>
  </si>
  <si>
    <t>JULIO CESAR</t>
  </si>
  <si>
    <t>CAIXA ESCOLAR OLIVEIRA FORTES</t>
  </si>
  <si>
    <t>SIDINEIA</t>
  </si>
  <si>
    <t>marcos barreto</t>
  </si>
  <si>
    <t>FILIPE AUGUSTO</t>
  </si>
  <si>
    <t>Sandscor</t>
  </si>
  <si>
    <t>OSVANE</t>
  </si>
  <si>
    <t>MARIA STELA</t>
  </si>
  <si>
    <t>RAFAEL TEIXEIRA</t>
  </si>
  <si>
    <t>CONSEP SD</t>
  </si>
  <si>
    <t>CARLOS DA FONSECA</t>
  </si>
  <si>
    <t>PEDRO PAULO FERREIRA MARTINS</t>
  </si>
  <si>
    <t xml:space="preserve">PEDRO PAULO FERREIRA MARTINS </t>
  </si>
  <si>
    <t>HELENA CHAIA</t>
  </si>
  <si>
    <t>MAIO / 2024</t>
  </si>
  <si>
    <t>JOSE CARLOS DA SLVA</t>
  </si>
  <si>
    <t>JOSE CARLOS DA SILVA</t>
  </si>
  <si>
    <t>VALMIR DO CARMO</t>
  </si>
  <si>
    <t>NATALIA OLIVEIRA FISIO</t>
  </si>
  <si>
    <t>NATALIA OLIVEIRA</t>
  </si>
  <si>
    <t>JUCINEI</t>
  </si>
  <si>
    <t>CLAUDIA</t>
  </si>
  <si>
    <t>GERALDO NEVES</t>
  </si>
  <si>
    <t>GERALDO NEVEZ</t>
  </si>
  <si>
    <t>ELOISA DE FATIMA</t>
  </si>
  <si>
    <t>CESAR</t>
  </si>
  <si>
    <t>ALAIR</t>
  </si>
  <si>
    <t>28.986.240/0001-26</t>
  </si>
  <si>
    <t>086 139 756 82</t>
  </si>
  <si>
    <t>Geraldo289*</t>
  </si>
  <si>
    <t>MARIA DO CARMO MACHADO</t>
  </si>
  <si>
    <t xml:space="preserve">GILLIARDY </t>
  </si>
  <si>
    <t>GILLIARDY</t>
  </si>
  <si>
    <t xml:space="preserve">LEANDRO NOVAES </t>
  </si>
  <si>
    <t>LEANDRO NOVAES</t>
  </si>
  <si>
    <t>JULIANO PALMIERI</t>
  </si>
  <si>
    <t>DIVINA</t>
  </si>
  <si>
    <t>Marcio</t>
  </si>
  <si>
    <t>MARCIO</t>
  </si>
  <si>
    <t>ANALIA PALMIERI</t>
  </si>
  <si>
    <t>Pago</t>
  </si>
  <si>
    <t>GERALDA IVONE</t>
  </si>
  <si>
    <t>EDSON PIMENTEL DE SOUZA</t>
  </si>
  <si>
    <t>MARIA DAS GRAÇAS DA SILVA DIAS</t>
  </si>
  <si>
    <t>GERALDO VENANCIO PATICCIE</t>
  </si>
  <si>
    <t>TEREZINHA SALETE DE ARAUJO</t>
  </si>
  <si>
    <t xml:space="preserve">MARIA DAS GRAÇAS DA SILVA </t>
  </si>
  <si>
    <t>OSVALDO VIRGINIO DA SILVA</t>
  </si>
  <si>
    <t>LEANDRO APARECIDO MENDES</t>
  </si>
  <si>
    <t>JUNHO/2024</t>
  </si>
  <si>
    <t>MARIA DAS GRAÇAS ARAUJO DE ALMEIDA</t>
  </si>
  <si>
    <t>JORGE ADRIANO CUSTODIO DA SILVA</t>
  </si>
  <si>
    <t>WILLIAM TEODORO DE PAULA</t>
  </si>
  <si>
    <t>FRANCOIS MENDONÇA ASSIS</t>
  </si>
  <si>
    <t>L &amp; H TOPOGRAFIA</t>
  </si>
  <si>
    <t>MURILO</t>
  </si>
  <si>
    <t>003.910.706-06</t>
  </si>
  <si>
    <t>Marcos003*</t>
  </si>
  <si>
    <t>AMAURI</t>
  </si>
  <si>
    <t>DL AMINISTRAÇÃO E INCORPORAÇÃO</t>
  </si>
  <si>
    <t>ESTACIONAMENTO SÃO MIGUEL</t>
  </si>
  <si>
    <t>EDUARDO PEREIRA ( CORPEL )</t>
  </si>
  <si>
    <t>VALQUIRIA EDILAMAR</t>
  </si>
  <si>
    <t>PETISCO'S BAR</t>
  </si>
  <si>
    <t>LU</t>
  </si>
  <si>
    <t>WANEY JOSE ROSA</t>
  </si>
  <si>
    <t>JUlHO/2024</t>
  </si>
  <si>
    <t>113310482458</t>
  </si>
  <si>
    <t>segunda-feira,15 de julho de 2024</t>
  </si>
  <si>
    <t>ALEXANDRE DA SILVA BIZERRA</t>
  </si>
  <si>
    <t>JB MONAGENS INDUSTRIAIS</t>
  </si>
  <si>
    <t>CHeque</t>
  </si>
  <si>
    <t>ASSOCIACAO DOS PRODUTORES DE LEITE BALDE CHEIO</t>
  </si>
  <si>
    <t>sexta-feira,26 de julho de 2024</t>
  </si>
  <si>
    <t>LENI APARECIDA</t>
  </si>
  <si>
    <t>WENDLER MAURICIO</t>
  </si>
  <si>
    <t>LORRANA CRISTINA</t>
  </si>
  <si>
    <t>IRACEIA VITAL</t>
  </si>
  <si>
    <t>LUCIANE AS FORTES</t>
  </si>
  <si>
    <t>LUCIANE AS FORTE</t>
  </si>
  <si>
    <t>SIMONE MARIA MENDES</t>
  </si>
  <si>
    <t>SIMONE MAIRA MENDES</t>
  </si>
  <si>
    <t>MARIA CONSTANCIA</t>
  </si>
  <si>
    <t>DIOGO VAZ DE MELLO</t>
  </si>
  <si>
    <t>ANA MONICA DE OLIVEIRA</t>
  </si>
  <si>
    <t xml:space="preserve"> ANTONIO </t>
  </si>
  <si>
    <t>CONSELHO C S P S DUMONT</t>
  </si>
  <si>
    <t>CENTRO ESTUDO SEARA DE LUZ</t>
  </si>
  <si>
    <t>AGOSTO/2024</t>
  </si>
  <si>
    <t>JUNIOR AUGUSTO TIMOTEO</t>
  </si>
  <si>
    <t>E.M COMECRIO E REPRESENTAÇÕES</t>
  </si>
  <si>
    <t xml:space="preserve">PARTIDO SOCIAL DEMOCRATA </t>
  </si>
  <si>
    <t>PAULO ANTONIO SOARES</t>
  </si>
  <si>
    <t>VICENTINA VALERIA</t>
  </si>
  <si>
    <t>IVAN CARLOS</t>
  </si>
  <si>
    <t>GLEYDERSON PAULINO</t>
  </si>
  <si>
    <t>LEONE ROBSON</t>
  </si>
  <si>
    <t>SEBASTIAO DE CASTRO NUNES</t>
  </si>
  <si>
    <t>WALLACE HARLEN</t>
  </si>
  <si>
    <t>LUIZ ANTONIO DAVID</t>
  </si>
  <si>
    <t>DL  CONSTRUÇÃO</t>
  </si>
  <si>
    <t>SETEMBRO/2024</t>
  </si>
  <si>
    <t>RIKARDISSON</t>
  </si>
  <si>
    <t>MARIA DAS DORES</t>
  </si>
  <si>
    <t>WELINTON</t>
  </si>
  <si>
    <t xml:space="preserve">NILSEIA </t>
  </si>
  <si>
    <t>MGT CARIAS</t>
  </si>
  <si>
    <t>OUTUBRO/2024</t>
  </si>
  <si>
    <t>AL EMPREENDIMENTOS</t>
  </si>
  <si>
    <t>CHEQUE/DINHEIRO</t>
  </si>
  <si>
    <t>C08XWY104346</t>
  </si>
  <si>
    <t>CHUQUE</t>
  </si>
  <si>
    <t>CARLOS MURILO</t>
  </si>
  <si>
    <t>NILSON MARQUES</t>
  </si>
  <si>
    <t>A BORDO</t>
  </si>
  <si>
    <t>MPO ODONTOLOGIA</t>
  </si>
  <si>
    <t xml:space="preserve">PRISCILA </t>
  </si>
  <si>
    <t>BIANCA</t>
  </si>
  <si>
    <t>ANGELICA</t>
  </si>
  <si>
    <t>BRENO MENDES</t>
  </si>
  <si>
    <t>JOAO CARLOS</t>
  </si>
  <si>
    <t>EDER JOSE</t>
  </si>
  <si>
    <t xml:space="preserve">FERRAGENS COSTA </t>
  </si>
  <si>
    <t>VILMAR APARECIDO</t>
  </si>
  <si>
    <t>ANDREA ELISANDRE</t>
  </si>
  <si>
    <t>RUAN ANASTACIO TOLEDO</t>
  </si>
  <si>
    <t>NOVEMBRO/2024</t>
  </si>
  <si>
    <t xml:space="preserve">DIOGO QUINTINO </t>
  </si>
  <si>
    <t>amauri</t>
  </si>
  <si>
    <t>alvaro de paiva</t>
  </si>
  <si>
    <t>ALVARO</t>
  </si>
  <si>
    <t>ASSOCIAÇÃO QUILAMBOLA</t>
  </si>
  <si>
    <t>ROBERTO SILVA</t>
  </si>
  <si>
    <t>HENRIQUE PEREIRA</t>
  </si>
  <si>
    <t>MARCIO FRANCISCO DE OLIVEIRA</t>
  </si>
  <si>
    <t>MARCIO FRANCISCO</t>
  </si>
  <si>
    <t>FERNANDA CAROLINA</t>
  </si>
  <si>
    <t>VALTER LUIZ DE MORAES</t>
  </si>
  <si>
    <t>IVANIR GALDINO</t>
  </si>
  <si>
    <t>ALANA FERREIRA</t>
  </si>
  <si>
    <t>DALTO RODRIGO</t>
  </si>
  <si>
    <t>HELIO</t>
  </si>
  <si>
    <t>LUCIANO</t>
  </si>
  <si>
    <t>VANDERLEI PEREIRA DE FARIA</t>
  </si>
  <si>
    <t>VANDERLEI PEREIRA</t>
  </si>
  <si>
    <t>DEZEMBRO/2024</t>
  </si>
  <si>
    <t>Carlos henriquegomes junqueira</t>
  </si>
  <si>
    <t>EDUARDO DE PAULA SALMONT</t>
  </si>
  <si>
    <t>EDUARDO DE PALA SLAMONT</t>
  </si>
  <si>
    <t>CINDY EMANUELLE</t>
  </si>
  <si>
    <t>LEONI MOREIRA DE FREITAS</t>
  </si>
  <si>
    <t>EDSON EDUARDO MENDES</t>
  </si>
  <si>
    <t>DIOM DEIVER DA SILVA</t>
  </si>
  <si>
    <t>JOAO BATISTA ESTEVES</t>
  </si>
  <si>
    <t>PAULO CESAR DA SILVA</t>
  </si>
  <si>
    <t>JOSE RENATO</t>
  </si>
  <si>
    <t>DENILSON GERALDO</t>
  </si>
  <si>
    <t>KETLEN EDUARDA DA SILVEIRA SILVA</t>
  </si>
  <si>
    <t>CRISTIANE ALMEIDA</t>
  </si>
  <si>
    <t>DENILSON</t>
  </si>
  <si>
    <t>KETLEN</t>
  </si>
  <si>
    <t>CRISTIANE</t>
  </si>
  <si>
    <t>VAMLIR</t>
  </si>
  <si>
    <t>prefeitura de oliveira fortes</t>
  </si>
  <si>
    <t>alt de prefeito</t>
  </si>
  <si>
    <t>dbe e alteração argirita</t>
  </si>
  <si>
    <t>dbe e alteração camera rochedo de minas</t>
  </si>
  <si>
    <t>FABIOLA ALMEIDA</t>
  </si>
  <si>
    <t>OLIVEIRA FORTES GABINETE</t>
  </si>
  <si>
    <t>SILMAR</t>
  </si>
  <si>
    <t>JOSE GERALDO</t>
  </si>
  <si>
    <t>ARGIRITA PREFEITURA</t>
  </si>
  <si>
    <t>VICTOR SIMAS</t>
  </si>
  <si>
    <t>NOTA</t>
  </si>
  <si>
    <t>OSVANE ABREU</t>
  </si>
  <si>
    <t>ANA CLAUDIA DELGADO</t>
  </si>
  <si>
    <t>ANA CLAUDIA</t>
  </si>
  <si>
    <t>SECRETARIA MUNICIPAL DE EDUCAÇÃO</t>
  </si>
  <si>
    <t>VERA LUCIA</t>
  </si>
  <si>
    <t xml:space="preserve">VERA </t>
  </si>
  <si>
    <t>ASSOCI</t>
  </si>
  <si>
    <t>FUNDO MUNICIPAL</t>
  </si>
  <si>
    <t>PAULA MARCIA</t>
  </si>
  <si>
    <t>EDUARDO ANTONIO</t>
  </si>
  <si>
    <t>CLAUDIA CRISTINA</t>
  </si>
  <si>
    <t>LUIZ FERNANDO</t>
  </si>
  <si>
    <t>BRUNO GUERRA</t>
  </si>
  <si>
    <t>ALESSANDRO LUCIO</t>
  </si>
  <si>
    <t>JORGE  ALAIR DA SILVA</t>
  </si>
  <si>
    <t>ELIANE MARTINS</t>
  </si>
  <si>
    <t>891553483655</t>
  </si>
  <si>
    <t xml:space="preserve">OSMAR DOS SANTOS </t>
  </si>
  <si>
    <t>OSMAR DOS SANTOS</t>
  </si>
  <si>
    <t>VERA LUCIA FERREIRA</t>
  </si>
  <si>
    <t>ESTACIONAMENTO SOUZA SANTOS</t>
  </si>
  <si>
    <t>FERNANDO DIAS DE SOUZA</t>
  </si>
  <si>
    <t>FEVEREIRO/2025</t>
  </si>
  <si>
    <t>JANEIRO/2025     ONLINEID</t>
  </si>
  <si>
    <t>GIRLANE PEREIRA FERNANDES</t>
  </si>
  <si>
    <t>NATHALIA MARIA PIMENTEL</t>
  </si>
  <si>
    <t>LELIO MONTEIRO LIMA</t>
  </si>
  <si>
    <t>LUCAS CAMARGO EVANGELISTA</t>
  </si>
  <si>
    <t xml:space="preserve">DL ODONTOLOGIA </t>
  </si>
  <si>
    <t>EDUARDO SALMONT</t>
  </si>
  <si>
    <t>GERALDO MESSIAS</t>
  </si>
  <si>
    <t>FUNDO MUNICIPAL CRIANÇA E ADOL</t>
  </si>
  <si>
    <t>FUNDO MUNICIPAL ASSIST SOC</t>
  </si>
  <si>
    <t xml:space="preserve">GERALDO MESSIAS </t>
  </si>
  <si>
    <t>nota</t>
  </si>
  <si>
    <t>LAVANDERIA LAVA TUDO</t>
  </si>
  <si>
    <t>PRISCILA MARIA</t>
  </si>
  <si>
    <t xml:space="preserve"> DASHBOARD</t>
  </si>
  <si>
    <t>EDUARDO PEREIRA(CORPEL)</t>
  </si>
  <si>
    <t>VIACAO PIRES</t>
  </si>
  <si>
    <t>PAULA SANTOS</t>
  </si>
  <si>
    <t>ANA MARIA DA SILVA</t>
  </si>
  <si>
    <t>MARÇO/2025</t>
  </si>
  <si>
    <t>LEIDIANE DE FREITAS MOURA</t>
  </si>
  <si>
    <t>BRANDEL'S CONTABILIDADE</t>
  </si>
  <si>
    <t>FERREIRA E BRITO DISTRIBUIDORA</t>
  </si>
  <si>
    <t>HAICKE ANASTACIO</t>
  </si>
  <si>
    <t xml:space="preserve">ERICA DANIELA </t>
  </si>
  <si>
    <t>SINDICATO RURAL(JOSE LOMEU COSTA)</t>
  </si>
  <si>
    <t>LEILA SILVA DA SILVA(SWAP)</t>
  </si>
  <si>
    <t>LATICINIOS ISA</t>
  </si>
  <si>
    <t>ANA BEATRIZ DECORAÇÕES</t>
  </si>
  <si>
    <t>MARFLAS CONFECÇÕES</t>
  </si>
  <si>
    <t xml:space="preserve">SILMAR JOSE DIAS AÇOUGUE </t>
  </si>
  <si>
    <t>SILMAR JOSE DIAS AÇOUGUE</t>
  </si>
  <si>
    <t>VICTOR MIRANDA ARGIRITA</t>
  </si>
  <si>
    <t>VERA LUCIA FIGUEIREDO</t>
  </si>
  <si>
    <t>WILLIAM TEODORO</t>
  </si>
  <si>
    <t>MARIA DAS DORES TEODORO</t>
  </si>
  <si>
    <t>SIMONE MARTINS NEVES</t>
  </si>
  <si>
    <t>BIBLIOTECA ARGIRITA</t>
  </si>
  <si>
    <t>POLIANA APARECIDA</t>
  </si>
  <si>
    <t>CCMSP ARGIRITA</t>
  </si>
  <si>
    <t>MINI BAR RODA VIVA</t>
  </si>
  <si>
    <t>MARCIA DE OLIVEIRA MENDES</t>
  </si>
  <si>
    <t>CARLOS DE CASTRO FERREIRA</t>
  </si>
  <si>
    <t>JOAO VICTOR SILVA NASCIMENTO</t>
  </si>
  <si>
    <t xml:space="preserve">BISCOITERIA PALMIERI </t>
  </si>
  <si>
    <t>ABRIL/2025</t>
  </si>
  <si>
    <t>WALLACE RICELLI</t>
  </si>
  <si>
    <t xml:space="preserve">JOSIANE APARECIDA </t>
  </si>
  <si>
    <t>MARIA DOLORES MARQUES</t>
  </si>
  <si>
    <t>BRUNO OTONI DE CASTRO</t>
  </si>
  <si>
    <t>WEVERTON MAURICIO</t>
  </si>
  <si>
    <t>A3- 1 ANO PF</t>
  </si>
  <si>
    <t>ROSIMEIRE APARECIDA SILVA</t>
  </si>
  <si>
    <t xml:space="preserve">SERGIO RODRIGUES </t>
  </si>
  <si>
    <t xml:space="preserve">GABRIELA LUCAS DE SÁ </t>
  </si>
  <si>
    <t>B.O</t>
  </si>
  <si>
    <t>560,00 FALTA 40,00</t>
  </si>
  <si>
    <t>320,00,</t>
  </si>
  <si>
    <t>520,00,</t>
  </si>
  <si>
    <t>700,00 FALTOU 55,00</t>
  </si>
  <si>
    <t>DEU 400</t>
  </si>
  <si>
    <t>BARDO BH</t>
  </si>
  <si>
    <t>MPO</t>
  </si>
  <si>
    <t>DINHEIRO /CHEQUE</t>
  </si>
  <si>
    <t xml:space="preserve">ASSOC. LEANDRO CESAR </t>
  </si>
  <si>
    <t>LIDIANE MORAES</t>
  </si>
  <si>
    <t>MAIO/2025</t>
  </si>
  <si>
    <t>SIDINEA</t>
  </si>
  <si>
    <t>CAIXA ESCOLAR DA ESCOLA OF</t>
  </si>
  <si>
    <t>GIANNINA MARIA</t>
  </si>
  <si>
    <t>MARIA MADALENA ALCUNHA</t>
  </si>
  <si>
    <t>PALMIRA EMPREENDIMENTOS</t>
  </si>
  <si>
    <t>AMIGAO GAS</t>
  </si>
  <si>
    <t>NOVO LAR MOVEIS</t>
  </si>
  <si>
    <t>NOVO LAR MOVES</t>
  </si>
  <si>
    <t>DIENNIFFER BRUNA BERG</t>
  </si>
  <si>
    <t>00/01/1900</t>
  </si>
  <si>
    <t>059.715.306-07</t>
  </si>
  <si>
    <t>MEI</t>
  </si>
  <si>
    <t>senha gov</t>
  </si>
  <si>
    <t>*Mikhael2019</t>
  </si>
  <si>
    <t>Kassio120*</t>
  </si>
  <si>
    <t xml:space="preserve"> </t>
  </si>
  <si>
    <t>13°/2025</t>
  </si>
  <si>
    <t>ADRIANA DE OLIVEIRA SILVA(DRIJAIR)</t>
  </si>
  <si>
    <t>028.756.936-54</t>
  </si>
  <si>
    <t>61.051.319/0001-30</t>
  </si>
  <si>
    <t>LUCIANO CORREA DE AS</t>
  </si>
  <si>
    <t>723.079.866-34</t>
  </si>
  <si>
    <t>053.095.856-21</t>
  </si>
  <si>
    <t>26.549.309/0001-29</t>
  </si>
  <si>
    <t>26.285.060/0001-91</t>
  </si>
  <si>
    <t>065.430.276-65</t>
  </si>
  <si>
    <t>523.053.630/001-39</t>
  </si>
  <si>
    <t>143.472.016-05</t>
  </si>
  <si>
    <t>097.578.506-08</t>
  </si>
  <si>
    <t>30.897.926/0001-92</t>
  </si>
  <si>
    <t>025.829.326-80</t>
  </si>
  <si>
    <t>60.219.016/0001-11</t>
  </si>
  <si>
    <t>070.823.946-32</t>
  </si>
  <si>
    <t>59.157.372/0001-79</t>
  </si>
  <si>
    <t>ALESSANDRO LUCIO DA SILVA</t>
  </si>
  <si>
    <t>049.547.466-55</t>
  </si>
  <si>
    <t>59.082.069/0001-54</t>
  </si>
  <si>
    <t>BIANCA FERREIRA SANT ANNA SILVA</t>
  </si>
  <si>
    <t>104.161.746-12</t>
  </si>
  <si>
    <t>58.761.231/0001-06</t>
  </si>
  <si>
    <t>ROSA DE FATIMA DIONISIA NETO</t>
  </si>
  <si>
    <t xml:space="preserve"> JULIANO AMORIM ARAUJO</t>
  </si>
  <si>
    <t>AMIGAO GAS E AGUA</t>
  </si>
  <si>
    <t>BISCOITERIA PALMIERI</t>
  </si>
  <si>
    <t>BIOMA MEIO AMBIENTE</t>
  </si>
  <si>
    <t xml:space="preserve">ESTACIONAMENTO SOUZA SANTOS </t>
  </si>
  <si>
    <t>INGRIDY PAULA</t>
  </si>
  <si>
    <t>RODRIGO DA SILVA FREITAS</t>
  </si>
  <si>
    <t>DPAULA QUEIJOS EDSON ALVIM</t>
  </si>
  <si>
    <t>ANTONIO MARCOS DE OLIVEIRA OBRA</t>
  </si>
  <si>
    <t>THIAGO RODRIGO</t>
  </si>
  <si>
    <t>ISABELA AUXILIADORA</t>
  </si>
  <si>
    <t>DENIZE MARIA PALMIERI</t>
  </si>
  <si>
    <t>FLORIPES MRV ESQUADRIAS</t>
  </si>
  <si>
    <t>RICARDO OLD PINE</t>
  </si>
  <si>
    <t>CONSTRUSERV</t>
  </si>
  <si>
    <t>AUXILIADORA S/ FUNCIONARIO</t>
  </si>
  <si>
    <t xml:space="preserve">OSVANE HOMEM DE FARIA </t>
  </si>
  <si>
    <t>IVANIR GALDINO SOARES</t>
  </si>
  <si>
    <t>LABORATORIO SÃO LUCAS</t>
  </si>
  <si>
    <t>NELSON RUFINO</t>
  </si>
  <si>
    <t>GABRIELA ROTATORI</t>
  </si>
  <si>
    <t>CONSELHO COMUNITARIO (NF)</t>
  </si>
  <si>
    <t>820,00,</t>
  </si>
  <si>
    <t>545,00,</t>
  </si>
  <si>
    <t>300,00 FALTOU 25</t>
  </si>
  <si>
    <t xml:space="preserve">FAZENDA ALVORADA </t>
  </si>
  <si>
    <t>650 FALTA 50,00</t>
  </si>
  <si>
    <t>730,00 FALTA 160,00</t>
  </si>
  <si>
    <t>560,00 FALTA 110,00</t>
  </si>
  <si>
    <t>880,00 + 120</t>
  </si>
  <si>
    <t>880,00+120,00</t>
  </si>
  <si>
    <t>600,00+120,00</t>
  </si>
  <si>
    <t>SOMA DOS VALORES</t>
  </si>
  <si>
    <t>ANTERIORES PG</t>
  </si>
  <si>
    <t>400+120 FALTA 80</t>
  </si>
  <si>
    <t>400 falta 20</t>
  </si>
  <si>
    <t>400,00,</t>
  </si>
  <si>
    <t>NOBREAK</t>
  </si>
  <si>
    <t>DPAULAQUEIJOS EDSON ALVIM</t>
  </si>
  <si>
    <t xml:space="preserve">YES CURSO DE IDIOMAS </t>
  </si>
  <si>
    <t>PAOLA FRANCA GIFFONI LEMOS</t>
  </si>
  <si>
    <t xml:space="preserve">PADARIA NOSSA SENHORA DO LIBANO </t>
  </si>
  <si>
    <t>SABRINA XAVIER DE ALMEIDA HENRIQUES</t>
  </si>
  <si>
    <t>INACIO ONOFRE FORMIGONI</t>
  </si>
  <si>
    <t>LUCIANO CORREA DE SA</t>
  </si>
  <si>
    <t>LUANA COSTA E SILVA TOSTES</t>
  </si>
  <si>
    <t>MARIA APARECIDA OLIVEIRA DE LIMA</t>
  </si>
  <si>
    <t>CARLOS ALBERTO DE AZEVEDO</t>
  </si>
  <si>
    <t>AMIGAO GAS E AGUA LTDA</t>
  </si>
  <si>
    <t xml:space="preserve"> VERA LUCIA FERREIRA NOVAES</t>
  </si>
  <si>
    <t>L &amp; e Contabilidade</t>
  </si>
  <si>
    <t>SALVINA COSTA E SILVA</t>
  </si>
  <si>
    <t>LUIZ ANTONIO DA SILVA</t>
  </si>
  <si>
    <t>NATALIA ALVES TOLEDO DITTZ COSTA</t>
  </si>
  <si>
    <t>BRUNO CARLOS DA SILVA</t>
  </si>
  <si>
    <t>M.KAR LTDA</t>
  </si>
  <si>
    <t>61.299.114 BRUNO CARLOS DA SILVA</t>
  </si>
  <si>
    <t>JAIME ELOISIO DE FIGUEIREDO</t>
  </si>
  <si>
    <t>JUNHO/2025</t>
  </si>
  <si>
    <t>VICTOR MIRANDA CORTACIO SIMAS</t>
  </si>
  <si>
    <t>Bar Restaurante e Mercearia Drijair</t>
  </si>
  <si>
    <t>JULHO/2025</t>
  </si>
  <si>
    <t>GERALDO APARECIDO DE PAIVA</t>
  </si>
  <si>
    <t>TATIANA ESTEVES MOURAO</t>
  </si>
  <si>
    <t>CRISTIANA DE LA ROCQUE</t>
  </si>
  <si>
    <t>JHONANTHAN AGOSTINHO COBUCI</t>
  </si>
  <si>
    <t>CARLOS ALBERTO DE BARROS</t>
  </si>
  <si>
    <t>LAILA SOUZA RIBEIRO</t>
  </si>
  <si>
    <t>CESAR JOSE PEREIRA</t>
  </si>
  <si>
    <t>MARIA DAS GRACAS COTA TORRES</t>
  </si>
  <si>
    <t>RENAN COSTA DE NOVAIS</t>
  </si>
  <si>
    <t>NEIDE MARIA DA SILVA</t>
  </si>
  <si>
    <t>QUARTZOMINER</t>
  </si>
  <si>
    <t>GUILHERME GABRIEL DA CUNHA</t>
  </si>
  <si>
    <t>AMANDA DE OLIVEIRA GONÇALVES</t>
  </si>
  <si>
    <t>360 FALTA 20,00</t>
  </si>
  <si>
    <t>CARLOS ANTONIO NETTO(ESCOLA DE FUTEBOL FUTURO)</t>
  </si>
  <si>
    <t>111.989.916-82</t>
  </si>
  <si>
    <t>62.171.080/0001-03</t>
  </si>
  <si>
    <t>MILAINE APARECIDA DA SILVA FERREIRA</t>
  </si>
  <si>
    <t>62.054.834/0001-37</t>
  </si>
  <si>
    <t>CERTIFICADO</t>
  </si>
  <si>
    <t>279.043.266-04</t>
  </si>
  <si>
    <t>082.872.356-77</t>
  </si>
  <si>
    <t>62.423.572/0001-30</t>
  </si>
  <si>
    <t>GERSON APARECIDO DA SILVA</t>
  </si>
  <si>
    <t>14.741.328/0001-73</t>
  </si>
  <si>
    <t>ANDREA REGINA MENDES</t>
  </si>
  <si>
    <t>VALDEMIR SEBASTIÃO DE PAULA</t>
  </si>
  <si>
    <t>37.790.445/0001-22</t>
  </si>
  <si>
    <t>TIAGO LADEIRA MEYER</t>
  </si>
  <si>
    <t>135.974.956-05</t>
  </si>
  <si>
    <t>44.231.234/0001-15</t>
  </si>
  <si>
    <t>GISELE BATISTA DE OLIVEIRA</t>
  </si>
  <si>
    <t>40.362.676/0001-40</t>
  </si>
  <si>
    <t>RAFAELA APARECIDA DE CAMPOS</t>
  </si>
  <si>
    <t>31.859.690/0001-62</t>
  </si>
  <si>
    <t>CLEUSA HAUCK ANTUNES DE CARVALHO</t>
  </si>
  <si>
    <t>18.675.160/0001-04</t>
  </si>
  <si>
    <t xml:space="preserve">ROBERTA VITAL ROSA DE OLIVEIRA </t>
  </si>
  <si>
    <t>36.159.594/0001-25</t>
  </si>
  <si>
    <t>LENI DA SILVA REIS</t>
  </si>
  <si>
    <t>30.312.616/0001-69</t>
  </si>
  <si>
    <t>LUCIANA LINO PEREIRA</t>
  </si>
  <si>
    <t>GERALDO EDISON DA SILVA</t>
  </si>
  <si>
    <t>21.630.459/0001-49</t>
  </si>
  <si>
    <t>LUCNEIA FERREIRA COSTA</t>
  </si>
  <si>
    <t>15.079.373/0001-77</t>
  </si>
  <si>
    <t>42.931.127/0001-74</t>
  </si>
  <si>
    <t>VALFRIDO FERREIRA MARTINS</t>
  </si>
  <si>
    <t>31.805.308/0001-38</t>
  </si>
  <si>
    <t>MARIA DEOLINDA DE SOUZA LIMA</t>
  </si>
  <si>
    <t>21.329.613/0001-47</t>
  </si>
  <si>
    <t>WESLEY JOSE GOMES FERREIRA</t>
  </si>
  <si>
    <t>26.984.952/0001-80</t>
  </si>
  <si>
    <t>29.306.371/0001-88</t>
  </si>
  <si>
    <t>34.708.992/0001-28</t>
  </si>
  <si>
    <t>11.378.930/0001-08</t>
  </si>
  <si>
    <t>EDUARDA GOMES RIBEIRO</t>
  </si>
  <si>
    <t>48.596.448/0001-46</t>
  </si>
  <si>
    <t xml:space="preserve">GUSTAVO SA FORTES DE VASCONCELLOS </t>
  </si>
  <si>
    <t>12.432.667/0001-42</t>
  </si>
  <si>
    <t>DOUGLAS LUCIANO DE OLIVEIRA PIMENTEL</t>
  </si>
  <si>
    <t>27.419.003/0001-10</t>
  </si>
  <si>
    <t>ANA PAULA DE OLIVEIRA</t>
  </si>
  <si>
    <t>29.556.205/0001-30</t>
  </si>
  <si>
    <t>ADRIANA LUCIA DA SILVA REIS</t>
  </si>
  <si>
    <t>13.813.404/0001-46</t>
  </si>
  <si>
    <t>ALZIRA ROSA DE SOUZA MELLO</t>
  </si>
  <si>
    <t>31.107.510/0001-96</t>
  </si>
  <si>
    <t>DENIZIA GOMES LISBOA DE OLIVEIRA</t>
  </si>
  <si>
    <t>21.294.391/0001-74</t>
  </si>
  <si>
    <t>ELIZABETH MARIA PEREIRA</t>
  </si>
  <si>
    <t>21.439.881/0001-11</t>
  </si>
  <si>
    <t>ILIO GERALDO DE OLIVEIRA</t>
  </si>
  <si>
    <t>32.234.156/0001-11</t>
  </si>
  <si>
    <t>ITAMAR FERREIRA</t>
  </si>
  <si>
    <t>35.166.469/0001-80</t>
  </si>
  <si>
    <t>JORGE FERREIRA MARTINS </t>
  </si>
  <si>
    <t>36.936.745/0001-04</t>
  </si>
  <si>
    <t>LOURDES FERREIRA DA COSTA</t>
  </si>
  <si>
    <t>30.727.788/0001-20</t>
  </si>
  <si>
    <t>LUCAS REIS DE CASTRO</t>
  </si>
  <si>
    <t>11.697.139/0001-52</t>
  </si>
  <si>
    <t>LUCIANA APARECIDA FERREIRA</t>
  </si>
  <si>
    <t>LUCINEA MARIA DA SILVA</t>
  </si>
  <si>
    <t>04.919.108/0001-33</t>
  </si>
  <si>
    <t>MARCELO ESTEVES DE OLIVEIRA</t>
  </si>
  <si>
    <t>38.028.967/0001-54</t>
  </si>
  <si>
    <t>MARIA APARECIDA FERREIRA</t>
  </si>
  <si>
    <t>34.529.492/0001-29</t>
  </si>
  <si>
    <t>MARIA DA GLORIA DE JESUS</t>
  </si>
  <si>
    <t>MARIA DE FÁTIMA OLIVEIRA PEREIRA</t>
  </si>
  <si>
    <t>39.344.691/0001-86</t>
  </si>
  <si>
    <t>MARISE DE MEIRELLES SOUSA</t>
  </si>
  <si>
    <t>33.463.323/0001-70</t>
  </si>
  <si>
    <t>37.310.231/0001-01</t>
  </si>
  <si>
    <t>SAMIRA DE PAULA COSTA MELADO SILVA</t>
  </si>
  <si>
    <t>40.918.028/0001-27</t>
  </si>
  <si>
    <t>FRANÇOIS</t>
  </si>
  <si>
    <t>40.897.950/0001-85</t>
  </si>
  <si>
    <t>40.978.789/0001-74</t>
  </si>
  <si>
    <t>GILVAN</t>
  </si>
  <si>
    <t>100.347.126-90</t>
  </si>
  <si>
    <t>054.27.86.37-02</t>
  </si>
  <si>
    <t>946.859.596-04</t>
  </si>
  <si>
    <t>028.85.56.66-63</t>
  </si>
  <si>
    <t>830.253.326-20</t>
  </si>
  <si>
    <t>382.260.656-15</t>
  </si>
  <si>
    <t>545.704.096-87</t>
  </si>
  <si>
    <t>071.423.006-55</t>
  </si>
  <si>
    <t>086.139.756-82</t>
  </si>
  <si>
    <t>656.933.106-04</t>
  </si>
  <si>
    <t>034.444.186-55</t>
  </si>
  <si>
    <t>055.122.646-30</t>
  </si>
  <si>
    <t>071.523.286-09</t>
  </si>
  <si>
    <t>026.235.616-30</t>
  </si>
  <si>
    <t>064.813.866-67</t>
  </si>
  <si>
    <t>82.034.756-72</t>
  </si>
  <si>
    <t>100.958.316-65</t>
  </si>
  <si>
    <t>049.662.426-14</t>
  </si>
  <si>
    <t>995.106.506-68</t>
  </si>
  <si>
    <t>062.856.596-80</t>
  </si>
  <si>
    <t>865.555.026-49</t>
  </si>
  <si>
    <t>283.660.776-91</t>
  </si>
  <si>
    <t>259.474.866-87</t>
  </si>
  <si>
    <t>723.095.046-53</t>
  </si>
  <si>
    <t>031.331.026-21</t>
  </si>
  <si>
    <t>723.090.406-49</t>
  </si>
  <si>
    <t>848.329.916-04</t>
  </si>
  <si>
    <t>028.780.916-12</t>
  </si>
  <si>
    <t>047.819.237-12</t>
  </si>
  <si>
    <t>122.491.506-21</t>
  </si>
  <si>
    <t>057.282.916-78</t>
  </si>
  <si>
    <t>068.116.486-78</t>
  </si>
  <si>
    <r>
      <t>BRENDA CRISTINA DA SILVA senha gov:105243Leo</t>
    </r>
    <r>
      <rPr>
        <u/>
        <sz val="11"/>
        <color theme="1"/>
        <rFont val="Calibri"/>
        <family val="2"/>
        <scheme val="minor"/>
      </rPr>
      <t>$</t>
    </r>
  </si>
  <si>
    <t>NEIVALDO JUNIOR HOUCK DE OLIVEIRA</t>
  </si>
  <si>
    <t>DINHEIRO/PIX</t>
  </si>
  <si>
    <t>OBS</t>
  </si>
  <si>
    <t>Juliana Werneck Barros</t>
  </si>
  <si>
    <t>Ju220575@</t>
  </si>
  <si>
    <t>05/02025</t>
  </si>
  <si>
    <t>125.468.347-03</t>
  </si>
  <si>
    <t>62.240.384/0001-77</t>
  </si>
  <si>
    <t>BAUER COSTA DOS REIS JUNIOR</t>
  </si>
  <si>
    <t>035.474.976-55</t>
  </si>
  <si>
    <t>62.500.308/0001-53</t>
  </si>
  <si>
    <t>MARIA PAULA DA SILVA MELO</t>
  </si>
  <si>
    <t>48.260.840/0001-10</t>
  </si>
  <si>
    <t>RICARDO VIANA DE OLIVEIRA</t>
  </si>
  <si>
    <t>138.764.436-01</t>
  </si>
  <si>
    <t>AGOSTO/2025</t>
  </si>
  <si>
    <t xml:space="preserve">RITA MARIA DE CASSIA FORTES </t>
  </si>
  <si>
    <t>RITA MARIA DE CASSIA FORTES</t>
  </si>
  <si>
    <t>MATHEUS LEITE MORAES DA SILVA</t>
  </si>
  <si>
    <t>PAGOU 25O MUDOU P ARQUIVO</t>
  </si>
  <si>
    <t>CENTRO MEDICO SAO CAMILO LTDA</t>
  </si>
  <si>
    <t>PROVERT PROFISSIONAIS EM ALTURA</t>
  </si>
  <si>
    <t>LEMUEL BENJAMIM CANDIDO</t>
  </si>
  <si>
    <t>IMPERIO DOS ACESSORIOS &amp; PECAS LTDA</t>
  </si>
  <si>
    <t>J &amp; M Academia</t>
  </si>
  <si>
    <t>SETEMBRO/2025</t>
  </si>
  <si>
    <t>BIOMA MEIO AMBIENTE, CONSTRUCAO</t>
  </si>
  <si>
    <t xml:space="preserve">PRODUTOS DE LATICINIOS ITANHANDU </t>
  </si>
  <si>
    <t>Mercearia Vila</t>
  </si>
  <si>
    <t>Parana Minas Turismo</t>
  </si>
  <si>
    <t xml:space="preserve">LIVIA LADEIRA KINGMA ORLANDO LOPES </t>
  </si>
  <si>
    <t>946.892.706-78</t>
  </si>
  <si>
    <t>62.657.589/0001-52</t>
  </si>
  <si>
    <t>VANILCE FERNANDES PATICCIE DORIA</t>
  </si>
  <si>
    <t>senha gov Vp@102030</t>
  </si>
  <si>
    <t>SONIA MARIA</t>
  </si>
  <si>
    <t>340,00,</t>
  </si>
  <si>
    <t>320 FALTA 20,00</t>
  </si>
  <si>
    <t>DEPOSITO</t>
  </si>
  <si>
    <t>TLA CLINICA ODONTOLOGICA</t>
  </si>
  <si>
    <t>LABORATORIO RUBENS TOLEDO</t>
  </si>
  <si>
    <t>PIX NO DIA</t>
  </si>
  <si>
    <t>L E E CONTABILIDADE</t>
  </si>
  <si>
    <t>GRATUITO</t>
  </si>
  <si>
    <t>PEDRO HENRIQUE COTA TORRES</t>
  </si>
  <si>
    <t>DALTON LEANDRO DA COSTA</t>
  </si>
  <si>
    <t>MARCIO FRANCISCO(DENIZIA)</t>
  </si>
  <si>
    <t>.PIX</t>
  </si>
  <si>
    <t>350,00 FALTA 30,00</t>
  </si>
  <si>
    <t>ALEXSSANDRO  SANTOS</t>
  </si>
  <si>
    <t>155.520.118-05</t>
  </si>
  <si>
    <t>62.915.250/0001-09</t>
  </si>
  <si>
    <t>DANIEL JOSE ALVES</t>
  </si>
  <si>
    <t>senha gov 241562Rag@</t>
  </si>
  <si>
    <t>128.524.966-66</t>
  </si>
  <si>
    <t>61.288.493/0001-00</t>
  </si>
  <si>
    <t>Cassia99903099!</t>
  </si>
  <si>
    <t>CASSIA CANTARINO SILVEIRA</t>
  </si>
  <si>
    <t>CACAU BRASIL</t>
  </si>
  <si>
    <t>BOLETO</t>
  </si>
  <si>
    <t xml:space="preserve">PIX </t>
  </si>
  <si>
    <t>LAISA SILVA TOLEDO</t>
  </si>
  <si>
    <t>RAFAELA ANDRADE NUNES</t>
  </si>
  <si>
    <t>JULIANA WERNECK</t>
  </si>
  <si>
    <t>OUTUBRO/2025</t>
  </si>
  <si>
    <t>ANA LUISA MACHADO</t>
  </si>
  <si>
    <t>*98Merish</t>
  </si>
  <si>
    <t>ACESSO</t>
  </si>
  <si>
    <t>29.397.375/0001-19</t>
  </si>
  <si>
    <t>058.169.116-43</t>
  </si>
  <si>
    <t>Laf@102030</t>
  </si>
  <si>
    <t>789.982.636-53</t>
  </si>
  <si>
    <t>63.100.181/0001-48</t>
  </si>
  <si>
    <t>JORGE ANTONIO CALISTO DE PAULA</t>
  </si>
  <si>
    <t>LEANDRO APARECIDO FERREIRA</t>
  </si>
  <si>
    <t>153.755.906-03</t>
  </si>
  <si>
    <t>54.276.030/0001-54</t>
  </si>
  <si>
    <t>ROBBK RODRIGUES DE ALMEIDA PAIVA</t>
  </si>
  <si>
    <t>Raquel Fernandes Paticcié</t>
  </si>
  <si>
    <t>Raquel009*</t>
  </si>
  <si>
    <t>PROCURAÇÃO</t>
  </si>
  <si>
    <t>Ana Luisa Machado de Oliveira</t>
  </si>
  <si>
    <t>09MarAna#</t>
  </si>
  <si>
    <t>Antônio Caetano Grossi</t>
  </si>
  <si>
    <t>Papai2019@</t>
  </si>
  <si>
    <t>Antônio Fernandes Sobrinho</t>
  </si>
  <si>
    <t>#Dr40733</t>
  </si>
  <si>
    <t>Catedral da Benção Paiva</t>
  </si>
  <si>
    <t>Woc@102030</t>
  </si>
  <si>
    <t>Catedral da Fé</t>
  </si>
  <si>
    <t>Cjf@102030</t>
  </si>
  <si>
    <t>Catedral da Glória</t>
  </si>
  <si>
    <t>Iso@102030</t>
  </si>
  <si>
    <t>Edinartte Carvalho Doria</t>
  </si>
  <si>
    <t>Edinartte011*</t>
  </si>
  <si>
    <t>Elizabeth Piziollo Faria</t>
  </si>
  <si>
    <t>Elias1508!</t>
  </si>
  <si>
    <t>Felipe Gonçalves Shroder e Souza</t>
  </si>
  <si>
    <t>Schroder78@</t>
  </si>
  <si>
    <t>Gislene Rotatori Alvim Oliveira</t>
  </si>
  <si>
    <t>Gislene097</t>
  </si>
  <si>
    <t>Ilmara da Silva</t>
  </si>
  <si>
    <t>Ilmara285*</t>
  </si>
  <si>
    <t>Irma Lucia Sá Fortes</t>
  </si>
  <si>
    <t>Irma0056***</t>
  </si>
  <si>
    <t>Isabel Paixão Andrade Fernandes</t>
  </si>
  <si>
    <t>Ipaf@102030</t>
  </si>
  <si>
    <t>Iva Maria de Sá Fortes Dittz</t>
  </si>
  <si>
    <t>Ivamaria410*</t>
  </si>
  <si>
    <t>Lucymar de Oliveira Costa</t>
  </si>
  <si>
    <t>Lucymar1937*</t>
  </si>
  <si>
    <t>Luiz Antônio da Silva Veloso</t>
  </si>
  <si>
    <t>Luiz095*</t>
  </si>
  <si>
    <t>Márcia Kingma Terra</t>
  </si>
  <si>
    <t>Marcia280*</t>
  </si>
  <si>
    <t>Maria Alice Ferreira Santos</t>
  </si>
  <si>
    <t>Malice1936@</t>
  </si>
  <si>
    <t>Maria Constância de Oliveira Viana</t>
  </si>
  <si>
    <t>Maria181*</t>
  </si>
  <si>
    <t>Maria das Graças Silva Figueiredo</t>
  </si>
  <si>
    <t>50M09g16s#</t>
  </si>
  <si>
    <t>Marilia Coelho Lombello</t>
  </si>
  <si>
    <t>Juninho2022@</t>
  </si>
  <si>
    <t>Marya Eduarda Feliciano</t>
  </si>
  <si>
    <t>Adraude1*</t>
  </si>
  <si>
    <t>Neusa Rodrigues Garcia</t>
  </si>
  <si>
    <t>Neusa10@</t>
  </si>
  <si>
    <t>Nylda Giuseppe Barreiros</t>
  </si>
  <si>
    <t>Nylda048*</t>
  </si>
  <si>
    <t>Renato Garcia Formigoni</t>
  </si>
  <si>
    <t>142278Rgf*</t>
  </si>
  <si>
    <t>Ronaldo Valentim do Amaral</t>
  </si>
  <si>
    <t>7407@7407</t>
  </si>
  <si>
    <t>Rosa de Fátima Machado Pinheiro</t>
  </si>
  <si>
    <t>Rosa0056***</t>
  </si>
  <si>
    <t>Silvane de Castro Freitas</t>
  </si>
  <si>
    <t>260166Sil@</t>
  </si>
  <si>
    <t>Tânia Abdallah</t>
  </si>
  <si>
    <t>Tania773148*</t>
  </si>
  <si>
    <t>Thadeu Kingma Pampanelli</t>
  </si>
  <si>
    <t>05091982Diego#</t>
  </si>
  <si>
    <t>Thiago Rodrigues de Lima</t>
  </si>
  <si>
    <t>Thiagodelima@1984</t>
  </si>
  <si>
    <r>
      <t xml:space="preserve">KEVEN MATEUS CANTARINO BARBOSA </t>
    </r>
    <r>
      <rPr>
        <sz val="7"/>
        <color theme="1"/>
        <rFont val="Calibri"/>
        <family val="2"/>
        <scheme val="minor"/>
      </rPr>
      <t xml:space="preserve">( </t>
    </r>
    <r>
      <rPr>
        <sz val="7"/>
        <color theme="1"/>
        <rFont val="Arial"/>
        <family val="2"/>
      </rPr>
      <t>PARCELMANTOS</t>
    </r>
    <r>
      <rPr>
        <sz val="11"/>
        <color theme="1"/>
        <rFont val="Calibri"/>
        <family val="2"/>
        <scheme val="minor"/>
      </rPr>
      <t>)</t>
    </r>
  </si>
  <si>
    <t>Vp@102030</t>
  </si>
  <si>
    <t>241562Rag@</t>
  </si>
  <si>
    <t>Ro010619@</t>
  </si>
  <si>
    <t>Lcs@102030</t>
  </si>
  <si>
    <t>30.774.361/0001-56</t>
  </si>
  <si>
    <t>898.517.066-04</t>
  </si>
  <si>
    <t>VALÉRIA MENDES ANGELO</t>
  </si>
  <si>
    <t>GILSON BATISTA CIMINO</t>
  </si>
  <si>
    <t>HODONEY DOS SANTOS GARCIA</t>
  </si>
  <si>
    <t>ALOIZIO MARCIANO DA SILVA</t>
  </si>
  <si>
    <t>ALEXANDRE DE LIMA RUFFO</t>
  </si>
  <si>
    <t>BRUNA DAUDT DE CASTRO</t>
  </si>
  <si>
    <t>KASSIO DIANINI DO CARMO</t>
  </si>
  <si>
    <t>LUCIANO CORREIA DE SA</t>
  </si>
  <si>
    <t>MAURICIO AUGUSTO BERNARDO</t>
  </si>
  <si>
    <t>BAIXADO</t>
  </si>
  <si>
    <t>Claudio José dos Santos</t>
  </si>
  <si>
    <t>010.673.906-93</t>
  </si>
  <si>
    <t>M@c101316</t>
  </si>
  <si>
    <t>LEANDRO LUCIO(SIDINEIA)</t>
  </si>
  <si>
    <t>043.680.206-69</t>
  </si>
  <si>
    <t>63.207.449/0001-45</t>
  </si>
  <si>
    <t>EVA BATISTA BASTOS</t>
  </si>
  <si>
    <t>Eva511206!</t>
  </si>
  <si>
    <t>CATEDRAL DA GLÓRIA</t>
  </si>
  <si>
    <t>CATEDRAL DA FÉ</t>
  </si>
  <si>
    <t>JULIANO AMORIM ARAUJO</t>
  </si>
  <si>
    <t>TOQUE DE ARTE DECORACOES ANA BEATRIZ</t>
  </si>
  <si>
    <t>GIANNINA MARIA PASCOAL</t>
  </si>
  <si>
    <t>IMPERIO DOS ACESSÓRIOS THIAGO</t>
  </si>
  <si>
    <t>453.794.596-68</t>
  </si>
  <si>
    <t>GILMAR GOMES REZENDE</t>
  </si>
  <si>
    <t>27.613.859/0001-22</t>
  </si>
  <si>
    <t>Gilmar453*</t>
  </si>
  <si>
    <t>Senha Portal</t>
  </si>
  <si>
    <t>VICENTINA VALERIA PACHECO</t>
  </si>
  <si>
    <t>A3 - 1 ano PF</t>
  </si>
  <si>
    <t>HOMERITON MATERIAIS DE CONSTRUÇÃO</t>
  </si>
  <si>
    <t>SIDNEY APARECIDO</t>
  </si>
  <si>
    <t>SIDNEY APARECIDO DA SILVA</t>
  </si>
  <si>
    <t xml:space="preserve">PALMIERI EMPREENDIMENTOS </t>
  </si>
  <si>
    <t xml:space="preserve">BOLETO </t>
  </si>
  <si>
    <t>BORDO VIAGENS</t>
  </si>
  <si>
    <t>LEONARDO DA SILVA RIBEIRO</t>
  </si>
  <si>
    <t>JÁ HAVIA TOKEN</t>
  </si>
  <si>
    <t>Mpsm@102030</t>
  </si>
  <si>
    <t>RAQUEL MAIA</t>
  </si>
  <si>
    <t>046.761.186-30</t>
  </si>
  <si>
    <t>36.805.656/0001-29</t>
  </si>
  <si>
    <t>VALFRAN MAURICIO DA SILVA SOBRINHO</t>
  </si>
  <si>
    <t>Vm.307590</t>
  </si>
  <si>
    <t>ROMULO MIGUEL</t>
  </si>
  <si>
    <t xml:space="preserve">ROMULO MIGUEL </t>
  </si>
  <si>
    <t>Mab@1020</t>
  </si>
  <si>
    <t>NOVEMBRO/2025</t>
  </si>
  <si>
    <t>ALVARO DE PAIVA GONCALVES</t>
  </si>
  <si>
    <t>JUNIOR AUGUSTO TIMOTEO DA SILVA</t>
  </si>
  <si>
    <t>C E E E M  CAIXA ESCOLAR DE OLIVEIRA FORTES</t>
  </si>
  <si>
    <t xml:space="preserve">AMANDA FERNANDES </t>
  </si>
  <si>
    <t>Senha gov</t>
  </si>
  <si>
    <t>053.938.886-60</t>
  </si>
  <si>
    <t>30.148.152/0001-05</t>
  </si>
  <si>
    <t>MARIA LUCIENE DE PAULA RAMOS</t>
  </si>
  <si>
    <t>21.330.475/0001-16</t>
  </si>
  <si>
    <t>PAULO E SILVA</t>
  </si>
  <si>
    <t>Er15032007@</t>
  </si>
  <si>
    <t>047.925.926-74</t>
  </si>
  <si>
    <t>Joalsi723*</t>
  </si>
  <si>
    <t xml:space="preserve">  </t>
  </si>
  <si>
    <t>55.446.461/0001-84</t>
  </si>
  <si>
    <t xml:space="preserve">RAPHAELA ANDREIA </t>
  </si>
  <si>
    <t>144.342.646-64</t>
  </si>
  <si>
    <t>12061703Je.</t>
  </si>
  <si>
    <t xml:space="preserve">MARCIO CANDIDO </t>
  </si>
  <si>
    <t>51.403.116/0001-02</t>
  </si>
  <si>
    <t>037.833.286-40</t>
  </si>
  <si>
    <t>marciomarcia123</t>
  </si>
  <si>
    <t>703.417.726-07</t>
  </si>
  <si>
    <t>Ram@102030</t>
  </si>
  <si>
    <t>63.913.7360001-70</t>
  </si>
  <si>
    <t>Catica123#</t>
  </si>
  <si>
    <t>RYAN ANDRADE MARTINS</t>
  </si>
  <si>
    <t>VIRGINIA FERRAZ DE MATOS PALMIERI</t>
  </si>
  <si>
    <t>TONY ROBSON ROMAO FERREIRA</t>
  </si>
  <si>
    <t>PECAS NOVAS E USADAS</t>
  </si>
  <si>
    <t>JAMILE ASSIS</t>
  </si>
  <si>
    <t>DEZEMBRO/2025</t>
  </si>
  <si>
    <t>LUCIANO DE OLIVEIRA</t>
  </si>
  <si>
    <t>600,00 FALTA 25,00</t>
  </si>
  <si>
    <t>300,00 FALTA 40,00</t>
  </si>
  <si>
    <t>320,00 FALTA 20,00</t>
  </si>
  <si>
    <t>ANA LUISA MACHADO (MARCOS VALERIO)</t>
  </si>
  <si>
    <t>18.993.303/0001-18</t>
  </si>
  <si>
    <t>SOCIEDADE MUSICAL NOSSA SENHORA AP</t>
  </si>
  <si>
    <t>usuario é o n cnpj</t>
  </si>
  <si>
    <t>AÇOUGUE GONÇALVES(PADARIA SÃO JORGE)</t>
  </si>
  <si>
    <t>080.096.656-22</t>
  </si>
  <si>
    <t>53.135.092/0001-83</t>
  </si>
  <si>
    <t xml:space="preserve">MATHEUS NOVAES CAMPOS </t>
  </si>
  <si>
    <t>QAz9182@</t>
  </si>
  <si>
    <t>092.691.764-38</t>
  </si>
  <si>
    <t>30.897.648/0001-73</t>
  </si>
  <si>
    <t>JULIO CESAR MARCELINO</t>
  </si>
  <si>
    <t>LEja171087#</t>
  </si>
  <si>
    <t>SENHA GOV</t>
  </si>
  <si>
    <t>056.415.526-82</t>
  </si>
  <si>
    <t>62.362.866/0001-08</t>
  </si>
  <si>
    <t>GABRIELA DE SOUZA FERREIRA MARTINS</t>
  </si>
  <si>
    <t>Gabi2025@#</t>
  </si>
  <si>
    <t>CAMARA MUNICIPAL ROCHEDO</t>
  </si>
  <si>
    <t xml:space="preserve">HERIQUE PEREIRA DE OLIVEIRA </t>
  </si>
  <si>
    <t>HERIQUE PEREIRA DE OLIVEIRA</t>
  </si>
  <si>
    <t>ALEXANDRE BARBOSA DA CUNHA RUFFO</t>
  </si>
  <si>
    <t xml:space="preserve">ALEXANDRE BARBOSA DA CUNHA RUFFO </t>
  </si>
  <si>
    <t xml:space="preserve">MERCEARIA CAMPOS DO VALE </t>
  </si>
  <si>
    <t>CLEIDSMELIA ALEXSANDRA DOS SANTOS</t>
  </si>
  <si>
    <t xml:space="preserve">FERNANDO VAZ DE MELLO </t>
  </si>
  <si>
    <t>FERNANDO VAZ DE MELLO</t>
  </si>
  <si>
    <t xml:space="preserve">LUCIA HELENA FORMIGONI  </t>
  </si>
  <si>
    <t>LUCIA HELENA FORMIGONI</t>
  </si>
  <si>
    <t>MARIA DA PENHA MODESTO</t>
  </si>
  <si>
    <t>Maria Aparecida Rodrigues Caetano</t>
  </si>
  <si>
    <t>Maria418*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</si>
</sst>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164" formatCode="&quot;R$&quot;#,##0_);[Red]\(&quot;R$&quot;#,##0\)"/>
    <numFmt numFmtId="165" formatCode="&quot;R$&quot;#,##0.00_);[Red]\(&quot;R$&quot;#,##0.00\)"/>
    <numFmt numFmtId="166" formatCode="_(&quot;R$&quot;* #,##0.00_);_(&quot;R$&quot;* \(#,##0.00\);_(&quot;R$&quot;* &quot;-&quot;??_);_(@_)"/>
    <numFmt numFmtId="167" formatCode="&quot;R$&quot;\ #,##0.00"/>
    <numFmt numFmtId="168" formatCode="0.0%"/>
    <numFmt numFmtId="169" formatCode="[$-F800]dddd\,\ mmmm\ dd\,\ yyyy"/>
    <numFmt numFmtId="170" formatCode="00000"/>
    <numFmt numFmtId="171" formatCode="000&quot;.&quot;000&quot;.&quot;000\-00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haroni"/>
      <charset val="177"/>
    </font>
    <font>
      <sz val="11"/>
      <color theme="1"/>
      <name val="Aharoni"/>
      <charset val="177"/>
    </font>
    <font>
      <i/>
      <sz val="40"/>
      <color theme="0"/>
      <name val="Calibri Light"/>
      <family val="2"/>
    </font>
    <font>
      <sz val="22"/>
      <color theme="0"/>
      <name val="Calibri"/>
      <family val="2"/>
      <scheme val="minor"/>
    </font>
    <font>
      <b/>
      <sz val="8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4"/>
      <color theme="0"/>
      <name val="Albertus MT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Arial"/>
      <family val="2"/>
    </font>
    <font>
      <b/>
      <i/>
      <sz val="14"/>
      <color theme="9" tint="-0.49998474074526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24"/>
      <color theme="0"/>
      <name val="Arial"/>
      <family val="2"/>
    </font>
    <font>
      <b/>
      <sz val="26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  <font>
      <b/>
      <sz val="29"/>
      <color rgb="FF3C763D"/>
      <name val="Arial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i/>
      <sz val="2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01F1E"/>
      <name val="Calibri"/>
      <family val="2"/>
      <scheme val="minor"/>
    </font>
    <font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sz val="11"/>
      <color rgb="FF1A1D1E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7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ourier-Bold"/>
    </font>
    <font>
      <sz val="10"/>
      <color theme="1"/>
      <name val="Helvetica"/>
      <family val="2"/>
    </font>
    <font>
      <sz val="10"/>
      <color theme="1"/>
      <name val="Verdana"/>
      <family val="2"/>
    </font>
    <font>
      <sz val="11"/>
      <color theme="1"/>
      <name val="Segoe UI"/>
      <family val="2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i/>
      <sz val="16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theme="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6FEA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8F5D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8F5D5"/>
        <bgColor theme="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BFFB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9FFD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theme="5"/>
      </patternFill>
    </fill>
    <fill>
      <patternFill patternType="solid">
        <fgColor rgb="FFFBFFD6"/>
        <bgColor indexed="64"/>
      </patternFill>
    </fill>
    <fill>
      <patternFill patternType="solid">
        <fgColor rgb="FFFBFFD6"/>
        <bgColor theme="5"/>
      </patternFill>
    </fill>
    <fill>
      <patternFill patternType="solid">
        <fgColor rgb="FF01FF9E"/>
        <bgColor indexed="64"/>
      </patternFill>
    </fill>
    <fill>
      <patternFill patternType="solid">
        <fgColor theme="0"/>
        <bgColor rgb="FFD99594"/>
      </patternFill>
    </fill>
    <fill>
      <patternFill patternType="solid">
        <fgColor theme="0"/>
        <bgColor rgb="FFDD7E6B"/>
      </patternFill>
    </fill>
    <fill>
      <patternFill patternType="solid">
        <fgColor rgb="FFC8F5D5"/>
        <bgColor rgb="FFDD7E6B"/>
      </patternFill>
    </fill>
    <fill>
      <patternFill patternType="solid">
        <fgColor rgb="FFC8F5D5"/>
        <bgColor rgb="FFD9959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7EFB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16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ck">
        <color theme="1" tint="4.9989318521683403E-2"/>
      </left>
      <right style="thin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0"/>
      </top>
      <bottom style="thick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ck">
        <color theme="1" tint="4.9989318521683403E-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1" tint="4.9989318521683403E-2"/>
      </right>
      <top style="thin">
        <color indexed="64"/>
      </top>
      <bottom style="thin">
        <color indexed="64"/>
      </bottom>
      <diagonal/>
    </border>
    <border>
      <left style="thick">
        <color rgb="FF01FF9E"/>
      </left>
      <right style="thick">
        <color rgb="FF01FF9E"/>
      </right>
      <top style="thick">
        <color rgb="FF01FF9E"/>
      </top>
      <bottom/>
      <diagonal/>
    </border>
    <border>
      <left style="thick">
        <color rgb="FF01FF9E"/>
      </left>
      <right style="thick">
        <color rgb="FF01FF9E"/>
      </right>
      <top/>
      <bottom style="thick">
        <color rgb="FF01FF9E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 tint="4.9989318521683403E-2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/>
      <top/>
      <bottom style="thick">
        <color theme="1" tint="4.9989318521683403E-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99">
    <xf numFmtId="0" fontId="0" fillId="0" borderId="0" xfId="0"/>
    <xf numFmtId="0" fontId="2" fillId="0" borderId="0" xfId="0" applyFont="1" applyAlignment="1">
      <alignment horizontal="center" vertical="center"/>
    </xf>
    <xf numFmtId="166" fontId="2" fillId="0" borderId="0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6" fontId="2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2" borderId="1" xfId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7" fontId="4" fillId="0" borderId="1" xfId="0" applyNumberFormat="1" applyFont="1" applyBorder="1" applyAlignment="1">
      <alignment horizontal="center" vertical="center" wrapText="1"/>
    </xf>
    <xf numFmtId="17" fontId="4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66" fontId="5" fillId="2" borderId="8" xfId="1" applyFont="1" applyFill="1" applyBorder="1" applyAlignment="1">
      <alignment horizontal="center" vertical="center"/>
    </xf>
    <xf numFmtId="166" fontId="5" fillId="0" borderId="5" xfId="1" applyFont="1" applyBorder="1" applyAlignment="1">
      <alignment horizontal="center" vertical="center"/>
    </xf>
    <xf numFmtId="166" fontId="5" fillId="0" borderId="5" xfId="1" applyFont="1" applyFill="1" applyBorder="1" applyAlignment="1">
      <alignment horizontal="center" vertical="center"/>
    </xf>
    <xf numFmtId="166" fontId="5" fillId="0" borderId="5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166" fontId="5" fillId="2" borderId="6" xfId="1" applyFont="1" applyFill="1" applyBorder="1" applyAlignment="1">
      <alignment horizontal="center" vertical="center"/>
    </xf>
    <xf numFmtId="166" fontId="5" fillId="0" borderId="6" xfId="1" applyFont="1" applyBorder="1" applyAlignment="1">
      <alignment horizontal="center" vertical="center"/>
    </xf>
    <xf numFmtId="166" fontId="5" fillId="0" borderId="6" xfId="1" applyFont="1" applyFill="1" applyBorder="1" applyAlignment="1">
      <alignment horizontal="center" vertical="center"/>
    </xf>
    <xf numFmtId="166" fontId="5" fillId="0" borderId="8" xfId="1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66" fontId="5" fillId="3" borderId="6" xfId="1" applyFont="1" applyFill="1" applyBorder="1" applyAlignment="1">
      <alignment horizontal="center" vertical="center"/>
    </xf>
    <xf numFmtId="166" fontId="5" fillId="3" borderId="8" xfId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166" fontId="5" fillId="0" borderId="12" xfId="1" applyFont="1" applyBorder="1" applyAlignment="1">
      <alignment horizontal="center" vertical="center"/>
    </xf>
    <xf numFmtId="166" fontId="5" fillId="0" borderId="12" xfId="1" applyFont="1" applyFill="1" applyBorder="1" applyAlignment="1">
      <alignment horizontal="center" vertical="center"/>
    </xf>
    <xf numFmtId="166" fontId="5" fillId="0" borderId="9" xfId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6" fontId="5" fillId="0" borderId="1" xfId="1" applyFont="1" applyBorder="1" applyAlignment="1">
      <alignment horizontal="center" vertical="center"/>
    </xf>
    <xf numFmtId="166" fontId="5" fillId="0" borderId="1" xfId="1" applyFont="1" applyFill="1" applyBorder="1" applyAlignment="1">
      <alignment horizontal="center" vertical="center"/>
    </xf>
    <xf numFmtId="166" fontId="5" fillId="0" borderId="15" xfId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166" fontId="5" fillId="0" borderId="15" xfId="1" applyFont="1" applyFill="1" applyBorder="1" applyAlignment="1">
      <alignment horizontal="center" vertical="center" wrapText="1"/>
    </xf>
    <xf numFmtId="0" fontId="8" fillId="0" borderId="0" xfId="0" applyFont="1"/>
    <xf numFmtId="166" fontId="9" fillId="0" borderId="14" xfId="1" applyFont="1" applyFill="1" applyBorder="1" applyAlignment="1">
      <alignment vertical="center" wrapText="1"/>
    </xf>
    <xf numFmtId="166" fontId="5" fillId="0" borderId="6" xfId="1" applyFont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166" fontId="0" fillId="0" borderId="14" xfId="1" applyFont="1" applyBorder="1" applyAlignment="1">
      <alignment horizontal="center"/>
    </xf>
    <xf numFmtId="17" fontId="0" fillId="0" borderId="0" xfId="0" applyNumberFormat="1"/>
    <xf numFmtId="166" fontId="0" fillId="0" borderId="0" xfId="1" applyFont="1"/>
    <xf numFmtId="166" fontId="3" fillId="6" borderId="14" xfId="1" applyFont="1" applyFill="1" applyBorder="1"/>
    <xf numFmtId="16" fontId="3" fillId="6" borderId="14" xfId="0" applyNumberFormat="1" applyFont="1" applyFill="1" applyBorder="1"/>
    <xf numFmtId="166" fontId="0" fillId="0" borderId="0" xfId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6" fontId="3" fillId="7" borderId="14" xfId="1" applyFont="1" applyFill="1" applyBorder="1" applyAlignment="1">
      <alignment horizontal="center" vertical="center"/>
    </xf>
    <xf numFmtId="166" fontId="0" fillId="0" borderId="14" xfId="1" applyFont="1" applyBorder="1" applyAlignment="1">
      <alignment horizontal="center" vertical="center"/>
    </xf>
    <xf numFmtId="166" fontId="3" fillId="0" borderId="14" xfId="1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166" fontId="3" fillId="2" borderId="14" xfId="1" applyFont="1" applyFill="1" applyBorder="1" applyAlignment="1">
      <alignment horizontal="center"/>
    </xf>
    <xf numFmtId="166" fontId="0" fillId="0" borderId="0" xfId="0" applyNumberFormat="1"/>
    <xf numFmtId="0" fontId="10" fillId="0" borderId="14" xfId="0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7" fontId="0" fillId="0" borderId="14" xfId="0" applyNumberFormat="1" applyBorder="1" applyAlignment="1">
      <alignment horizontal="center" vertical="center"/>
    </xf>
    <xf numFmtId="166" fontId="0" fillId="2" borderId="14" xfId="1" applyFont="1" applyFill="1" applyBorder="1" applyAlignment="1">
      <alignment horizontal="center" vertical="center"/>
    </xf>
    <xf numFmtId="17" fontId="0" fillId="2" borderId="0" xfId="0" applyNumberFormat="1" applyFill="1"/>
    <xf numFmtId="166" fontId="0" fillId="2" borderId="0" xfId="1" applyFont="1" applyFill="1"/>
    <xf numFmtId="16" fontId="0" fillId="0" borderId="0" xfId="0" applyNumberFormat="1" applyAlignment="1">
      <alignment horizontal="center" vertical="center"/>
    </xf>
    <xf numFmtId="165" fontId="9" fillId="0" borderId="14" xfId="1" applyNumberFormat="1" applyFont="1" applyFill="1" applyBorder="1" applyAlignment="1">
      <alignment vertical="center" wrapText="1"/>
    </xf>
    <xf numFmtId="14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26" xfId="0" applyFont="1" applyFill="1" applyBorder="1" applyAlignment="1">
      <alignment horizontal="center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4" fillId="8" borderId="39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14" fillId="8" borderId="36" xfId="0" applyFont="1" applyFill="1" applyBorder="1" applyAlignment="1">
      <alignment horizontal="center" vertical="center" wrapText="1"/>
    </xf>
    <xf numFmtId="0" fontId="14" fillId="8" borderId="22" xfId="0" applyFont="1" applyFill="1" applyBorder="1" applyAlignment="1">
      <alignment horizontal="center" vertical="center" wrapText="1"/>
    </xf>
    <xf numFmtId="0" fontId="14" fillId="8" borderId="32" xfId="0" applyFont="1" applyFill="1" applyBorder="1" applyAlignment="1">
      <alignment horizontal="center" vertical="center" wrapText="1"/>
    </xf>
    <xf numFmtId="0" fontId="14" fillId="8" borderId="44" xfId="0" applyFont="1" applyFill="1" applyBorder="1" applyAlignment="1">
      <alignment horizontal="center" vertical="center" wrapText="1"/>
    </xf>
    <xf numFmtId="0" fontId="14" fillId="8" borderId="42" xfId="0" applyFont="1" applyFill="1" applyBorder="1" applyAlignment="1">
      <alignment horizontal="center" vertical="center" wrapText="1"/>
    </xf>
    <xf numFmtId="0" fontId="14" fillId="8" borderId="27" xfId="0" applyFont="1" applyFill="1" applyBorder="1" applyAlignment="1">
      <alignment horizontal="center" vertical="center" wrapText="1"/>
    </xf>
    <xf numFmtId="0" fontId="14" fillId="8" borderId="40" xfId="0" applyFont="1" applyFill="1" applyBorder="1" applyAlignment="1">
      <alignment horizontal="center" vertical="center" wrapText="1"/>
    </xf>
    <xf numFmtId="0" fontId="14" fillId="8" borderId="51" xfId="0" applyFont="1" applyFill="1" applyBorder="1" applyAlignment="1">
      <alignment horizontal="center" vertical="center" wrapText="1"/>
    </xf>
    <xf numFmtId="0" fontId="14" fillId="8" borderId="52" xfId="0" applyFont="1" applyFill="1" applyBorder="1" applyAlignment="1">
      <alignment horizontal="center" vertical="center" wrapText="1"/>
    </xf>
    <xf numFmtId="0" fontId="14" fillId="8" borderId="45" xfId="0" applyFont="1" applyFill="1" applyBorder="1" applyAlignment="1">
      <alignment horizontal="center" vertical="center" wrapText="1"/>
    </xf>
    <xf numFmtId="0" fontId="14" fillId="8" borderId="46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8" borderId="47" xfId="0" applyFont="1" applyFill="1" applyBorder="1" applyAlignment="1">
      <alignment horizontal="center" vertical="center" wrapText="1"/>
    </xf>
    <xf numFmtId="0" fontId="14" fillId="8" borderId="5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6" fontId="9" fillId="9" borderId="14" xfId="1" applyFont="1" applyFill="1" applyBorder="1" applyAlignment="1">
      <alignment horizontal="center" vertical="center" wrapText="1"/>
    </xf>
    <xf numFmtId="16" fontId="0" fillId="0" borderId="20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/>
    <xf numFmtId="16" fontId="0" fillId="0" borderId="33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" fontId="0" fillId="0" borderId="18" xfId="0" applyNumberFormat="1" applyBorder="1" applyAlignment="1">
      <alignment horizontal="center" vertical="center"/>
    </xf>
    <xf numFmtId="166" fontId="0" fillId="0" borderId="0" xfId="1" applyFont="1" applyAlignment="1">
      <alignment horizontal="center"/>
    </xf>
    <xf numFmtId="166" fontId="3" fillId="2" borderId="14" xfId="0" applyNumberFormat="1" applyFont="1" applyFill="1" applyBorder="1" applyAlignment="1">
      <alignment horizontal="center"/>
    </xf>
    <xf numFmtId="14" fontId="0" fillId="0" borderId="14" xfId="0" applyNumberFormat="1" applyBorder="1"/>
    <xf numFmtId="166" fontId="0" fillId="0" borderId="14" xfId="1" applyFont="1" applyBorder="1"/>
    <xf numFmtId="0" fontId="3" fillId="0" borderId="0" xfId="0" applyFont="1" applyAlignment="1">
      <alignment horizontal="center" vertical="center"/>
    </xf>
    <xf numFmtId="0" fontId="15" fillId="11" borderId="17" xfId="0" applyFont="1" applyFill="1" applyBorder="1" applyAlignment="1">
      <alignment horizontal="center" vertical="center"/>
    </xf>
    <xf numFmtId="16" fontId="0" fillId="0" borderId="58" xfId="0" applyNumberFormat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58" xfId="0" applyBorder="1" applyAlignment="1">
      <alignment horizontal="center"/>
    </xf>
    <xf numFmtId="167" fontId="15" fillId="11" borderId="17" xfId="0" applyNumberFormat="1" applyFont="1" applyFill="1" applyBorder="1" applyAlignment="1">
      <alignment horizontal="center" vertical="center"/>
    </xf>
    <xf numFmtId="167" fontId="0" fillId="0" borderId="59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11" borderId="1" xfId="0" applyFill="1" applyBorder="1"/>
    <xf numFmtId="0" fontId="14" fillId="11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1" borderId="66" xfId="0" applyFill="1" applyBorder="1"/>
    <xf numFmtId="0" fontId="14" fillId="11" borderId="70" xfId="0" applyFont="1" applyFill="1" applyBorder="1" applyAlignment="1">
      <alignment horizontal="center" vertical="center" wrapText="1"/>
    </xf>
    <xf numFmtId="0" fontId="0" fillId="11" borderId="70" xfId="0" applyFill="1" applyBorder="1" applyAlignment="1">
      <alignment horizontal="center" vertical="center"/>
    </xf>
    <xf numFmtId="0" fontId="0" fillId="11" borderId="70" xfId="0" applyFill="1" applyBorder="1"/>
    <xf numFmtId="166" fontId="9" fillId="12" borderId="14" xfId="1" applyFont="1" applyFill="1" applyBorder="1" applyAlignment="1">
      <alignment vertical="center" wrapText="1"/>
    </xf>
    <xf numFmtId="0" fontId="8" fillId="12" borderId="0" xfId="0" applyFont="1" applyFill="1"/>
    <xf numFmtId="0" fontId="7" fillId="14" borderId="14" xfId="0" applyFont="1" applyFill="1" applyBorder="1" applyAlignment="1">
      <alignment horizontal="center" vertical="center" wrapText="1"/>
    </xf>
    <xf numFmtId="165" fontId="0" fillId="0" borderId="14" xfId="0" applyNumberFormat="1" applyBorder="1" applyAlignment="1">
      <alignment vertical="center"/>
    </xf>
    <xf numFmtId="167" fontId="0" fillId="0" borderId="0" xfId="0" applyNumberFormat="1"/>
    <xf numFmtId="0" fontId="2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21" fillId="8" borderId="0" xfId="2" applyFont="1" applyFill="1" applyBorder="1" applyAlignment="1">
      <alignment horizontal="center" vertical="center"/>
    </xf>
    <xf numFmtId="0" fontId="23" fillId="17" borderId="0" xfId="2" applyFont="1" applyFill="1" applyBorder="1" applyAlignment="1">
      <alignment horizontal="center" vertical="center"/>
    </xf>
    <xf numFmtId="0" fontId="25" fillId="8" borderId="0" xfId="2" applyFont="1" applyFill="1" applyBorder="1" applyAlignment="1">
      <alignment horizontal="center" vertical="center"/>
    </xf>
    <xf numFmtId="0" fontId="25" fillId="17" borderId="0" xfId="2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26" fillId="8" borderId="0" xfId="2" applyFont="1" applyFill="1" applyBorder="1" applyAlignment="1">
      <alignment horizontal="center" vertical="center"/>
    </xf>
    <xf numFmtId="0" fontId="26" fillId="17" borderId="0" xfId="2" applyFont="1" applyFill="1" applyBorder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166" fontId="27" fillId="0" borderId="0" xfId="0" applyNumberFormat="1" applyFont="1"/>
    <xf numFmtId="0" fontId="26" fillId="8" borderId="74" xfId="2" applyFont="1" applyFill="1" applyBorder="1" applyAlignment="1">
      <alignment vertical="center"/>
    </xf>
    <xf numFmtId="0" fontId="26" fillId="17" borderId="74" xfId="2" applyFont="1" applyFill="1" applyBorder="1" applyAlignment="1">
      <alignment horizontal="center" vertical="center"/>
    </xf>
    <xf numFmtId="0" fontId="24" fillId="17" borderId="74" xfId="2" applyFont="1" applyFill="1" applyBorder="1" applyAlignment="1">
      <alignment vertical="center"/>
    </xf>
    <xf numFmtId="0" fontId="23" fillId="17" borderId="74" xfId="2" applyFont="1" applyFill="1" applyBorder="1" applyAlignment="1">
      <alignment vertical="center"/>
    </xf>
    <xf numFmtId="0" fontId="0" fillId="0" borderId="75" xfId="0" applyBorder="1"/>
    <xf numFmtId="0" fontId="0" fillId="0" borderId="75" xfId="0" applyBorder="1" applyAlignment="1">
      <alignment horizontal="center" vertical="center"/>
    </xf>
    <xf numFmtId="0" fontId="0" fillId="10" borderId="75" xfId="0" applyFill="1" applyBorder="1"/>
    <xf numFmtId="0" fontId="0" fillId="18" borderId="75" xfId="0" applyFill="1" applyBorder="1"/>
    <xf numFmtId="0" fontId="0" fillId="18" borderId="75" xfId="0" applyFill="1" applyBorder="1" applyAlignment="1">
      <alignment horizontal="center" vertical="center"/>
    </xf>
    <xf numFmtId="0" fontId="0" fillId="18" borderId="75" xfId="0" applyFill="1" applyBorder="1" applyAlignment="1">
      <alignment vertical="center" wrapText="1"/>
    </xf>
    <xf numFmtId="0" fontId="0" fillId="4" borderId="75" xfId="0" applyFill="1" applyBorder="1"/>
    <xf numFmtId="0" fontId="0" fillId="4" borderId="75" xfId="0" applyFill="1" applyBorder="1" applyAlignment="1">
      <alignment horizontal="center" vertical="center"/>
    </xf>
    <xf numFmtId="0" fontId="0" fillId="4" borderId="75" xfId="0" applyFill="1" applyBorder="1" applyAlignment="1">
      <alignment vertical="center" wrapText="1"/>
    </xf>
    <xf numFmtId="0" fontId="0" fillId="19" borderId="75" xfId="0" applyFill="1" applyBorder="1"/>
    <xf numFmtId="0" fontId="0" fillId="19" borderId="75" xfId="0" applyFill="1" applyBorder="1" applyAlignment="1">
      <alignment horizontal="center" vertical="center"/>
    </xf>
    <xf numFmtId="0" fontId="0" fillId="19" borderId="75" xfId="0" applyFill="1" applyBorder="1" applyAlignment="1">
      <alignment vertical="center" wrapText="1"/>
    </xf>
    <xf numFmtId="0" fontId="0" fillId="20" borderId="75" xfId="0" applyFill="1" applyBorder="1" applyAlignment="1">
      <alignment horizontal="center" vertical="center"/>
    </xf>
    <xf numFmtId="0" fontId="0" fillId="20" borderId="75" xfId="0" applyFill="1" applyBorder="1" applyAlignment="1">
      <alignment vertical="center" wrapText="1"/>
    </xf>
    <xf numFmtId="0" fontId="0" fillId="20" borderId="75" xfId="0" applyFill="1" applyBorder="1"/>
    <xf numFmtId="0" fontId="0" fillId="3" borderId="75" xfId="0" applyFill="1" applyBorder="1"/>
    <xf numFmtId="0" fontId="0" fillId="3" borderId="75" xfId="0" applyFill="1" applyBorder="1" applyAlignment="1">
      <alignment horizontal="center" vertical="center"/>
    </xf>
    <xf numFmtId="0" fontId="0" fillId="3" borderId="75" xfId="0" applyFill="1" applyBorder="1" applyAlignment="1">
      <alignment vertical="center" wrapText="1"/>
    </xf>
    <xf numFmtId="16" fontId="0" fillId="18" borderId="75" xfId="0" applyNumberFormat="1" applyFill="1" applyBorder="1" applyAlignment="1">
      <alignment horizontal="center" vertical="center"/>
    </xf>
    <xf numFmtId="0" fontId="0" fillId="18" borderId="76" xfId="0" applyFill="1" applyBorder="1"/>
    <xf numFmtId="16" fontId="0" fillId="20" borderId="75" xfId="0" applyNumberFormat="1" applyFill="1" applyBorder="1" applyAlignment="1">
      <alignment horizontal="center" vertical="center"/>
    </xf>
    <xf numFmtId="0" fontId="29" fillId="4" borderId="77" xfId="0" applyFont="1" applyFill="1" applyBorder="1"/>
    <xf numFmtId="0" fontId="0" fillId="18" borderId="75" xfId="0" applyFill="1" applyBorder="1" applyAlignment="1">
      <alignment horizontal="center" vertical="center" wrapText="1"/>
    </xf>
    <xf numFmtId="0" fontId="0" fillId="12" borderId="75" xfId="0" applyFill="1" applyBorder="1"/>
    <xf numFmtId="0" fontId="0" fillId="12" borderId="75" xfId="0" applyFill="1" applyBorder="1" applyAlignment="1">
      <alignment horizontal="center" vertical="center"/>
    </xf>
    <xf numFmtId="0" fontId="0" fillId="12" borderId="75" xfId="0" applyFill="1" applyBorder="1" applyAlignment="1">
      <alignment vertical="center" wrapText="1"/>
    </xf>
    <xf numFmtId="0" fontId="0" fillId="18" borderId="75" xfId="0" applyFill="1" applyBorder="1" applyAlignment="1">
      <alignment vertical="center"/>
    </xf>
    <xf numFmtId="0" fontId="0" fillId="4" borderId="75" xfId="0" applyFill="1" applyBorder="1" applyAlignment="1">
      <alignment vertical="center"/>
    </xf>
    <xf numFmtId="0" fontId="21" fillId="17" borderId="80" xfId="2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68" fontId="0" fillId="0" borderId="0" xfId="3" applyNumberFormat="1" applyFont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8" fontId="0" fillId="0" borderId="14" xfId="3" applyNumberFormat="1" applyFont="1" applyBorder="1" applyAlignment="1">
      <alignment horizontal="center" vertical="center" wrapText="1"/>
    </xf>
    <xf numFmtId="166" fontId="0" fillId="0" borderId="14" xfId="1" applyFont="1" applyBorder="1" applyAlignment="1">
      <alignment horizontal="center" vertical="center" wrapText="1"/>
    </xf>
    <xf numFmtId="166" fontId="31" fillId="21" borderId="14" xfId="1" applyFont="1" applyFill="1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165" fontId="0" fillId="0" borderId="14" xfId="1" applyNumberFormat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top" wrapText="1"/>
    </xf>
    <xf numFmtId="166" fontId="31" fillId="22" borderId="14" xfId="1" applyFont="1" applyFill="1" applyBorder="1" applyAlignment="1">
      <alignment horizontal="center" vertical="center" wrapText="1"/>
    </xf>
    <xf numFmtId="166" fontId="13" fillId="23" borderId="14" xfId="1" applyFont="1" applyFill="1" applyBorder="1" applyAlignment="1">
      <alignment horizontal="center" vertical="center" wrapText="1"/>
    </xf>
    <xf numFmtId="166" fontId="13" fillId="24" borderId="14" xfId="1" applyFont="1" applyFill="1" applyBorder="1" applyAlignment="1">
      <alignment horizontal="center" vertical="center" wrapText="1"/>
    </xf>
    <xf numFmtId="166" fontId="31" fillId="25" borderId="14" xfId="1" applyFont="1" applyFill="1" applyBorder="1" applyAlignment="1">
      <alignment horizontal="center" vertical="center" wrapText="1"/>
    </xf>
    <xf numFmtId="166" fontId="31" fillId="2" borderId="14" xfId="1" applyFont="1" applyFill="1" applyBorder="1" applyAlignment="1">
      <alignment horizontal="center" vertical="center" wrapText="1"/>
    </xf>
    <xf numFmtId="166" fontId="31" fillId="26" borderId="14" xfId="1" applyFont="1" applyFill="1" applyBorder="1" applyAlignment="1">
      <alignment horizontal="center" vertical="center" wrapText="1"/>
    </xf>
    <xf numFmtId="166" fontId="13" fillId="27" borderId="14" xfId="1" applyFont="1" applyFill="1" applyBorder="1" applyAlignment="1">
      <alignment horizontal="center" vertical="center" wrapText="1"/>
    </xf>
    <xf numFmtId="166" fontId="28" fillId="8" borderId="14" xfId="1" applyFont="1" applyFill="1" applyBorder="1" applyAlignment="1">
      <alignment horizontal="center" vertical="center" wrapText="1"/>
    </xf>
    <xf numFmtId="166" fontId="0" fillId="28" borderId="14" xfId="1" applyFont="1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166" fontId="0" fillId="29" borderId="14" xfId="1" applyFont="1" applyFill="1" applyBorder="1" applyAlignment="1">
      <alignment horizontal="center" vertical="center" wrapText="1"/>
    </xf>
    <xf numFmtId="166" fontId="0" fillId="30" borderId="14" xfId="1" applyFont="1" applyFill="1" applyBorder="1" applyAlignment="1">
      <alignment horizontal="center" vertical="center" wrapText="1"/>
    </xf>
    <xf numFmtId="17" fontId="0" fillId="3" borderId="14" xfId="0" applyNumberFormat="1" applyFill="1" applyBorder="1" applyAlignment="1">
      <alignment horizontal="center" vertical="center" wrapText="1"/>
    </xf>
    <xf numFmtId="17" fontId="0" fillId="11" borderId="14" xfId="0" applyNumberFormat="1" applyFill="1" applyBorder="1" applyAlignment="1">
      <alignment horizontal="center" vertical="center" wrapText="1"/>
    </xf>
    <xf numFmtId="168" fontId="0" fillId="11" borderId="14" xfId="3" applyNumberFormat="1" applyFont="1" applyFill="1" applyBorder="1" applyAlignment="1">
      <alignment horizontal="center" vertical="center" wrapText="1"/>
    </xf>
    <xf numFmtId="166" fontId="0" fillId="11" borderId="14" xfId="1" applyFont="1" applyFill="1" applyBorder="1" applyAlignment="1">
      <alignment horizontal="center" vertical="center" wrapText="1"/>
    </xf>
    <xf numFmtId="166" fontId="0" fillId="31" borderId="14" xfId="1" applyFont="1" applyFill="1" applyBorder="1" applyAlignment="1">
      <alignment horizontal="center" vertical="center" wrapText="1"/>
    </xf>
    <xf numFmtId="0" fontId="0" fillId="11" borderId="14" xfId="0" applyFill="1" applyBorder="1" applyAlignment="1">
      <alignment horizontal="center" vertical="center" wrapText="1"/>
    </xf>
    <xf numFmtId="14" fontId="0" fillId="11" borderId="14" xfId="0" applyNumberFormat="1" applyFill="1" applyBorder="1" applyAlignment="1">
      <alignment horizontal="center" vertical="center" wrapText="1"/>
    </xf>
    <xf numFmtId="0" fontId="0" fillId="31" borderId="14" xfId="0" applyFill="1" applyBorder="1" applyAlignment="1">
      <alignment horizontal="center" vertical="center" wrapText="1"/>
    </xf>
    <xf numFmtId="166" fontId="13" fillId="32" borderId="14" xfId="1" applyFont="1" applyFill="1" applyBorder="1" applyAlignment="1">
      <alignment horizontal="center" vertical="center" wrapText="1"/>
    </xf>
    <xf numFmtId="166" fontId="28" fillId="33" borderId="14" xfId="1" applyFont="1" applyFill="1" applyBorder="1" applyAlignment="1">
      <alignment horizontal="center" vertical="center" wrapText="1"/>
    </xf>
    <xf numFmtId="166" fontId="0" fillId="16" borderId="14" xfId="1" applyFont="1" applyFill="1" applyBorder="1" applyAlignment="1">
      <alignment horizontal="center" vertical="center" wrapText="1"/>
    </xf>
    <xf numFmtId="166" fontId="0" fillId="34" borderId="14" xfId="1" applyFont="1" applyFill="1" applyBorder="1" applyAlignment="1">
      <alignment horizontal="center" vertical="center" wrapText="1"/>
    </xf>
    <xf numFmtId="166" fontId="0" fillId="35" borderId="14" xfId="1" applyFont="1" applyFill="1" applyBorder="1" applyAlignment="1">
      <alignment horizontal="center" vertical="center" wrapText="1"/>
    </xf>
    <xf numFmtId="0" fontId="3" fillId="36" borderId="14" xfId="0" applyFont="1" applyFill="1" applyBorder="1" applyAlignment="1">
      <alignment horizontal="center" vertical="center" wrapText="1"/>
    </xf>
    <xf numFmtId="168" fontId="3" fillId="36" borderId="14" xfId="3" applyNumberFormat="1" applyFont="1" applyFill="1" applyBorder="1" applyAlignment="1">
      <alignment horizontal="center" vertical="center" wrapText="1"/>
    </xf>
    <xf numFmtId="0" fontId="13" fillId="32" borderId="14" xfId="0" applyFont="1" applyFill="1" applyBorder="1" applyAlignment="1">
      <alignment horizontal="center" vertical="center" wrapText="1"/>
    </xf>
    <xf numFmtId="14" fontId="28" fillId="0" borderId="0" xfId="0" applyNumberFormat="1" applyFont="1" applyAlignment="1">
      <alignment horizontal="center" vertical="center" wrapText="1"/>
    </xf>
    <xf numFmtId="0" fontId="13" fillId="33" borderId="14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13" fillId="34" borderId="14" xfId="0" applyFont="1" applyFill="1" applyBorder="1" applyAlignment="1">
      <alignment horizontal="center" vertical="center" wrapText="1"/>
    </xf>
    <xf numFmtId="0" fontId="13" fillId="35" borderId="14" xfId="0" applyFont="1" applyFill="1" applyBorder="1" applyAlignment="1">
      <alignment horizontal="center" vertical="center" wrapText="1"/>
    </xf>
    <xf numFmtId="0" fontId="7" fillId="38" borderId="14" xfId="0" applyFont="1" applyFill="1" applyBorder="1" applyAlignment="1">
      <alignment horizontal="center" vertical="center" wrapText="1"/>
    </xf>
    <xf numFmtId="0" fontId="8" fillId="37" borderId="0" xfId="0" applyFont="1" applyFill="1"/>
    <xf numFmtId="166" fontId="9" fillId="37" borderId="14" xfId="1" applyFont="1" applyFill="1" applyBorder="1" applyAlignment="1">
      <alignment vertical="center" wrapText="1"/>
    </xf>
    <xf numFmtId="0" fontId="8" fillId="39" borderId="0" xfId="0" applyFont="1" applyFill="1"/>
    <xf numFmtId="0" fontId="7" fillId="40" borderId="14" xfId="0" applyFont="1" applyFill="1" applyBorder="1" applyAlignment="1">
      <alignment horizontal="center" vertical="center" wrapText="1"/>
    </xf>
    <xf numFmtId="166" fontId="9" fillId="39" borderId="14" xfId="1" applyFont="1" applyFill="1" applyBorder="1" applyAlignment="1">
      <alignment vertical="center" wrapText="1"/>
    </xf>
    <xf numFmtId="165" fontId="9" fillId="12" borderId="14" xfId="1" applyNumberFormat="1" applyFont="1" applyFill="1" applyBorder="1" applyAlignment="1">
      <alignment vertical="center" wrapText="1"/>
    </xf>
    <xf numFmtId="14" fontId="0" fillId="0" borderId="0" xfId="0" applyNumberFormat="1"/>
    <xf numFmtId="14" fontId="0" fillId="0" borderId="58" xfId="0" applyNumberFormat="1" applyBorder="1" applyAlignment="1">
      <alignment horizontal="center"/>
    </xf>
    <xf numFmtId="166" fontId="9" fillId="10" borderId="14" xfId="1" applyFont="1" applyFill="1" applyBorder="1" applyAlignment="1">
      <alignment vertical="center" wrapText="1"/>
    </xf>
    <xf numFmtId="0" fontId="0" fillId="0" borderId="0" xfId="0" applyProtection="1">
      <protection locked="0"/>
    </xf>
    <xf numFmtId="0" fontId="19" fillId="0" borderId="0" xfId="0" applyFont="1" applyProtection="1">
      <protection locked="0"/>
    </xf>
    <xf numFmtId="166" fontId="0" fillId="0" borderId="0" xfId="0" applyNumberFormat="1" applyAlignment="1">
      <alignment vertical="center" wrapText="1"/>
    </xf>
    <xf numFmtId="0" fontId="0" fillId="0" borderId="33" xfId="0" applyBorder="1"/>
    <xf numFmtId="0" fontId="0" fillId="0" borderId="20" xfId="0" applyBorder="1"/>
    <xf numFmtId="0" fontId="0" fillId="0" borderId="32" xfId="0" applyBorder="1"/>
    <xf numFmtId="167" fontId="0" fillId="0" borderId="18" xfId="0" applyNumberFormat="1" applyBorder="1"/>
    <xf numFmtId="167" fontId="0" fillId="0" borderId="14" xfId="0" applyNumberFormat="1" applyBorder="1"/>
    <xf numFmtId="167" fontId="0" fillId="0" borderId="0" xfId="1" applyNumberFormat="1" applyFont="1"/>
    <xf numFmtId="0" fontId="28" fillId="15" borderId="20" xfId="0" applyFont="1" applyFill="1" applyBorder="1"/>
    <xf numFmtId="167" fontId="28" fillId="15" borderId="14" xfId="0" applyNumberFormat="1" applyFont="1" applyFill="1" applyBorder="1"/>
    <xf numFmtId="0" fontId="0" fillId="31" borderId="1" xfId="0" applyFill="1" applyBorder="1" applyAlignment="1">
      <alignment horizontal="center" vertical="center"/>
    </xf>
    <xf numFmtId="0" fontId="0" fillId="31" borderId="14" xfId="0" applyFill="1" applyBorder="1"/>
    <xf numFmtId="0" fontId="0" fillId="31" borderId="70" xfId="0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 wrapText="1"/>
    </xf>
    <xf numFmtId="166" fontId="9" fillId="12" borderId="19" xfId="1" applyFont="1" applyFill="1" applyBorder="1" applyAlignment="1">
      <alignment vertical="center" wrapText="1"/>
    </xf>
    <xf numFmtId="0" fontId="42" fillId="5" borderId="0" xfId="0" applyFont="1" applyFill="1" applyAlignment="1">
      <alignment horizontal="center" vertical="center"/>
    </xf>
    <xf numFmtId="0" fontId="41" fillId="0" borderId="0" xfId="0" applyFont="1"/>
    <xf numFmtId="0" fontId="44" fillId="17" borderId="0" xfId="2" applyFont="1" applyFill="1" applyAlignment="1">
      <alignment horizontal="center" vertical="center"/>
    </xf>
    <xf numFmtId="0" fontId="0" fillId="8" borderId="0" xfId="0" applyFill="1"/>
    <xf numFmtId="0" fontId="39" fillId="8" borderId="14" xfId="0" applyFont="1" applyFill="1" applyBorder="1" applyAlignment="1">
      <alignment horizontal="center" vertical="center"/>
    </xf>
    <xf numFmtId="0" fontId="38" fillId="17" borderId="16" xfId="0" applyFont="1" applyFill="1" applyBorder="1" applyAlignment="1">
      <alignment horizontal="center" vertical="center" wrapText="1"/>
    </xf>
    <xf numFmtId="166" fontId="31" fillId="0" borderId="18" xfId="0" applyNumberFormat="1" applyFont="1" applyBorder="1" applyAlignment="1">
      <alignment horizontal="center" vertical="center"/>
    </xf>
    <xf numFmtId="0" fontId="43" fillId="12" borderId="84" xfId="0" applyFont="1" applyFill="1" applyBorder="1" applyAlignment="1">
      <alignment horizontal="center" vertical="center" wrapText="1"/>
    </xf>
    <xf numFmtId="17" fontId="13" fillId="8" borderId="86" xfId="0" applyNumberFormat="1" applyFont="1" applyFill="1" applyBorder="1" applyAlignment="1">
      <alignment horizontal="center" vertical="center"/>
    </xf>
    <xf numFmtId="0" fontId="40" fillId="41" borderId="87" xfId="0" applyFont="1" applyFill="1" applyBorder="1" applyAlignment="1">
      <alignment horizontal="center" vertical="center"/>
    </xf>
    <xf numFmtId="0" fontId="3" fillId="0" borderId="87" xfId="0" applyFont="1" applyBorder="1"/>
    <xf numFmtId="166" fontId="41" fillId="12" borderId="88" xfId="0" applyNumberFormat="1" applyFont="1" applyFill="1" applyBorder="1"/>
    <xf numFmtId="0" fontId="41" fillId="12" borderId="89" xfId="0" applyFont="1" applyFill="1" applyBorder="1"/>
    <xf numFmtId="0" fontId="2" fillId="8" borderId="14" xfId="0" applyFont="1" applyFill="1" applyBorder="1" applyAlignment="1">
      <alignment horizontal="center" vertical="center"/>
    </xf>
    <xf numFmtId="0" fontId="8" fillId="0" borderId="14" xfId="0" applyFont="1" applyBorder="1"/>
    <xf numFmtId="0" fontId="8" fillId="10" borderId="14" xfId="0" applyFont="1" applyFill="1" applyBorder="1"/>
    <xf numFmtId="0" fontId="33" fillId="42" borderId="14" xfId="0" applyFont="1" applyFill="1" applyBorder="1"/>
    <xf numFmtId="0" fontId="35" fillId="43" borderId="14" xfId="0" applyFont="1" applyFill="1" applyBorder="1"/>
    <xf numFmtId="0" fontId="8" fillId="12" borderId="14" xfId="0" applyFont="1" applyFill="1" applyBorder="1"/>
    <xf numFmtId="0" fontId="33" fillId="44" borderId="14" xfId="0" applyFont="1" applyFill="1" applyBorder="1"/>
    <xf numFmtId="0" fontId="32" fillId="12" borderId="14" xfId="0" applyFont="1" applyFill="1" applyBorder="1"/>
    <xf numFmtId="166" fontId="0" fillId="0" borderId="0" xfId="1" applyFont="1" applyBorder="1" applyAlignment="1">
      <alignment horizontal="center"/>
    </xf>
    <xf numFmtId="166" fontId="0" fillId="0" borderId="0" xfId="1" applyFont="1" applyBorder="1"/>
    <xf numFmtId="0" fontId="45" fillId="17" borderId="74" xfId="2" applyFont="1" applyFill="1" applyBorder="1" applyAlignment="1">
      <alignment vertical="center"/>
    </xf>
    <xf numFmtId="0" fontId="36" fillId="17" borderId="74" xfId="2" applyFont="1" applyFill="1" applyBorder="1" applyAlignment="1">
      <alignment vertical="center" wrapText="1"/>
    </xf>
    <xf numFmtId="0" fontId="46" fillId="31" borderId="0" xfId="0" applyFont="1" applyFill="1" applyAlignment="1">
      <alignment wrapText="1"/>
    </xf>
    <xf numFmtId="166" fontId="47" fillId="31" borderId="0" xfId="1" applyFont="1" applyFill="1" applyAlignment="1">
      <alignment horizontal="center" vertical="center"/>
    </xf>
    <xf numFmtId="0" fontId="13" fillId="31" borderId="0" xfId="0" applyFont="1" applyFill="1" applyAlignment="1">
      <alignment horizontal="center"/>
    </xf>
    <xf numFmtId="0" fontId="13" fillId="31" borderId="21" xfId="0" applyFont="1" applyFill="1" applyBorder="1" applyAlignment="1">
      <alignment horizontal="center"/>
    </xf>
    <xf numFmtId="166" fontId="13" fillId="31" borderId="21" xfId="1" applyFont="1" applyFill="1" applyBorder="1" applyAlignment="1">
      <alignment horizontal="center"/>
    </xf>
    <xf numFmtId="166" fontId="0" fillId="0" borderId="14" xfId="0" applyNumberFormat="1" applyBorder="1"/>
    <xf numFmtId="167" fontId="0" fillId="0" borderId="14" xfId="0" applyNumberFormat="1" applyBorder="1" applyAlignment="1">
      <alignment horizontal="center"/>
    </xf>
    <xf numFmtId="0" fontId="0" fillId="0" borderId="40" xfId="0" applyBorder="1"/>
    <xf numFmtId="166" fontId="0" fillId="0" borderId="20" xfId="1" applyFont="1" applyBorder="1" applyAlignment="1">
      <alignment horizontal="center"/>
    </xf>
    <xf numFmtId="0" fontId="0" fillId="0" borderId="90" xfId="0" applyBorder="1" applyAlignment="1">
      <alignment horizontal="center"/>
    </xf>
    <xf numFmtId="0" fontId="39" fillId="2" borderId="14" xfId="0" applyFont="1" applyFill="1" applyBorder="1" applyAlignment="1">
      <alignment horizontal="center"/>
    </xf>
    <xf numFmtId="0" fontId="0" fillId="0" borderId="18" xfId="0" applyBorder="1"/>
    <xf numFmtId="16" fontId="0" fillId="0" borderId="19" xfId="0" applyNumberForma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166" fontId="0" fillId="0" borderId="18" xfId="1" applyFont="1" applyBorder="1"/>
    <xf numFmtId="0" fontId="3" fillId="46" borderId="14" xfId="0" applyFont="1" applyFill="1" applyBorder="1" applyAlignment="1">
      <alignment horizontal="center" vertical="center"/>
    </xf>
    <xf numFmtId="0" fontId="0" fillId="47" borderId="75" xfId="0" applyFill="1" applyBorder="1" applyAlignment="1">
      <alignment vertical="center" wrapText="1"/>
    </xf>
    <xf numFmtId="0" fontId="0" fillId="47" borderId="75" xfId="0" applyFill="1" applyBorder="1" applyAlignment="1">
      <alignment horizontal="center" vertical="center"/>
    </xf>
    <xf numFmtId="0" fontId="0" fillId="47" borderId="75" xfId="0" applyFill="1" applyBorder="1"/>
    <xf numFmtId="16" fontId="0" fillId="47" borderId="75" xfId="0" applyNumberFormat="1" applyFill="1" applyBorder="1" applyAlignment="1">
      <alignment horizontal="center" vertical="center"/>
    </xf>
    <xf numFmtId="0" fontId="0" fillId="47" borderId="75" xfId="0" applyFill="1" applyBorder="1" applyAlignment="1">
      <alignment horizontal="justify" vertical="center" wrapText="1"/>
    </xf>
    <xf numFmtId="0" fontId="0" fillId="47" borderId="75" xfId="0" applyFill="1" applyBorder="1" applyAlignment="1">
      <alignment vertical="center"/>
    </xf>
    <xf numFmtId="0" fontId="14" fillId="8" borderId="43" xfId="0" applyFont="1" applyFill="1" applyBorder="1" applyAlignment="1">
      <alignment horizontal="center" vertical="center" wrapText="1"/>
    </xf>
    <xf numFmtId="16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8" fillId="47" borderId="75" xfId="0" applyFont="1" applyFill="1" applyBorder="1" applyAlignment="1">
      <alignment vertical="center" wrapText="1"/>
    </xf>
    <xf numFmtId="0" fontId="8" fillId="47" borderId="75" xfId="0" applyFont="1" applyFill="1" applyBorder="1" applyAlignment="1">
      <alignment horizontal="center" vertical="center"/>
    </xf>
    <xf numFmtId="0" fontId="8" fillId="47" borderId="75" xfId="0" applyFont="1" applyFill="1" applyBorder="1"/>
    <xf numFmtId="165" fontId="0" fillId="0" borderId="20" xfId="0" applyNumberFormat="1" applyBorder="1" applyAlignment="1">
      <alignment horizontal="center" vertical="center"/>
    </xf>
    <xf numFmtId="0" fontId="14" fillId="8" borderId="21" xfId="0" applyFont="1" applyFill="1" applyBorder="1" applyAlignment="1">
      <alignment vertical="center" wrapText="1"/>
    </xf>
    <xf numFmtId="169" fontId="0" fillId="0" borderId="0" xfId="0" applyNumberFormat="1" applyAlignment="1">
      <alignment horizontal="center"/>
    </xf>
    <xf numFmtId="169" fontId="0" fillId="0" borderId="0" xfId="0" applyNumberFormat="1"/>
    <xf numFmtId="14" fontId="26" fillId="8" borderId="0" xfId="2" applyNumberFormat="1" applyFont="1" applyFill="1" applyBorder="1" applyAlignment="1">
      <alignment horizontal="center" vertical="center"/>
    </xf>
    <xf numFmtId="0" fontId="55" fillId="8" borderId="0" xfId="2" applyFont="1" applyFill="1" applyBorder="1" applyAlignment="1">
      <alignment horizontal="center" vertical="center"/>
    </xf>
    <xf numFmtId="0" fontId="55" fillId="17" borderId="0" xfId="2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5" fillId="17" borderId="74" xfId="2" applyFont="1" applyFill="1" applyBorder="1" applyAlignment="1">
      <alignment vertical="center"/>
    </xf>
    <xf numFmtId="166" fontId="0" fillId="0" borderId="0" xfId="0" quotePrefix="1" applyNumberFormat="1"/>
    <xf numFmtId="0" fontId="26" fillId="4" borderId="75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/>
    </xf>
    <xf numFmtId="167" fontId="30" fillId="48" borderId="75" xfId="0" applyNumberFormat="1" applyFont="1" applyFill="1" applyBorder="1" applyAlignment="1">
      <alignment horizontal="center" vertical="center"/>
    </xf>
    <xf numFmtId="0" fontId="30" fillId="48" borderId="75" xfId="0" applyFont="1" applyFill="1" applyBorder="1" applyAlignment="1">
      <alignment horizontal="center" vertical="center"/>
    </xf>
    <xf numFmtId="0" fontId="30" fillId="48" borderId="75" xfId="0" applyFont="1" applyFill="1" applyBorder="1"/>
    <xf numFmtId="49" fontId="56" fillId="0" borderId="0" xfId="0" applyNumberFormat="1" applyFont="1" applyAlignment="1">
      <alignment horizontal="center" vertical="center"/>
    </xf>
    <xf numFmtId="0" fontId="0" fillId="3" borderId="0" xfId="0" applyFill="1"/>
    <xf numFmtId="0" fontId="5" fillId="10" borderId="6" xfId="0" applyFont="1" applyFill="1" applyBorder="1" applyAlignment="1">
      <alignment horizontal="center" vertical="center" wrapText="1"/>
    </xf>
    <xf numFmtId="0" fontId="5" fillId="10" borderId="11" xfId="0" applyFont="1" applyFill="1" applyBorder="1" applyAlignment="1">
      <alignment horizontal="center" vertical="center"/>
    </xf>
    <xf numFmtId="0" fontId="25" fillId="17" borderId="74" xfId="2" applyFont="1" applyFill="1" applyBorder="1" applyAlignment="1">
      <alignment horizontal="center" vertical="center"/>
    </xf>
    <xf numFmtId="0" fontId="22" fillId="0" borderId="0" xfId="0" applyFont="1"/>
    <xf numFmtId="14" fontId="22" fillId="8" borderId="0" xfId="0" applyNumberFormat="1" applyFont="1" applyFill="1" applyAlignment="1">
      <alignment horizontal="center" vertical="center"/>
    </xf>
    <xf numFmtId="14" fontId="0" fillId="0" borderId="18" xfId="0" applyNumberFormat="1" applyBorder="1"/>
    <xf numFmtId="20" fontId="0" fillId="0" borderId="18" xfId="0" applyNumberFormat="1" applyBorder="1"/>
    <xf numFmtId="14" fontId="58" fillId="11" borderId="21" xfId="0" applyNumberFormat="1" applyFont="1" applyFill="1" applyBorder="1" applyAlignment="1">
      <alignment horizontal="center"/>
    </xf>
    <xf numFmtId="0" fontId="58" fillId="11" borderId="21" xfId="0" applyFont="1" applyFill="1" applyBorder="1" applyAlignment="1">
      <alignment horizontal="center"/>
    </xf>
    <xf numFmtId="14" fontId="0" fillId="47" borderId="18" xfId="0" applyNumberFormat="1" applyFill="1" applyBorder="1"/>
    <xf numFmtId="20" fontId="0" fillId="47" borderId="18" xfId="0" applyNumberFormat="1" applyFill="1" applyBorder="1"/>
    <xf numFmtId="0" fontId="0" fillId="47" borderId="18" xfId="0" applyFill="1" applyBorder="1"/>
    <xf numFmtId="0" fontId="0" fillId="47" borderId="0" xfId="0" applyFill="1"/>
    <xf numFmtId="0" fontId="0" fillId="37" borderId="0" xfId="0" applyFill="1" applyProtection="1">
      <protection locked="0"/>
    </xf>
    <xf numFmtId="166" fontId="21" fillId="17" borderId="0" xfId="1" applyFont="1" applyFill="1" applyBorder="1" applyAlignment="1">
      <alignment horizontal="center" vertical="center"/>
    </xf>
    <xf numFmtId="166" fontId="2" fillId="8" borderId="0" xfId="1" applyFont="1" applyFill="1" applyBorder="1" applyAlignment="1">
      <alignment horizontal="center" vertical="center"/>
    </xf>
    <xf numFmtId="166" fontId="47" fillId="31" borderId="14" xfId="1" applyFont="1" applyFill="1" applyBorder="1" applyAlignment="1">
      <alignment wrapText="1"/>
    </xf>
    <xf numFmtId="17" fontId="0" fillId="0" borderId="14" xfId="0" applyNumberFormat="1" applyBorder="1"/>
    <xf numFmtId="0" fontId="32" fillId="10" borderId="0" xfId="0" applyFont="1" applyFill="1" applyProtection="1">
      <protection locked="0"/>
    </xf>
    <xf numFmtId="0" fontId="63" fillId="10" borderId="0" xfId="0" applyFont="1" applyFill="1" applyAlignment="1" applyProtection="1">
      <alignment horizontal="center" vertical="center"/>
      <protection locked="0"/>
    </xf>
    <xf numFmtId="16" fontId="63" fillId="10" borderId="0" xfId="0" applyNumberFormat="1" applyFont="1" applyFill="1" applyAlignment="1" applyProtection="1">
      <alignment horizontal="center" vertical="center"/>
      <protection locked="0"/>
    </xf>
    <xf numFmtId="0" fontId="11" fillId="8" borderId="54" xfId="0" applyFont="1" applyFill="1" applyBorder="1" applyAlignment="1">
      <alignment horizontal="center" vertical="center"/>
    </xf>
    <xf numFmtId="0" fontId="11" fillId="8" borderId="101" xfId="0" applyFont="1" applyFill="1" applyBorder="1" applyAlignment="1">
      <alignment horizontal="center" vertical="center"/>
    </xf>
    <xf numFmtId="0" fontId="14" fillId="8" borderId="68" xfId="0" applyFont="1" applyFill="1" applyBorder="1" applyAlignment="1">
      <alignment horizontal="center" vertical="center" wrapText="1"/>
    </xf>
    <xf numFmtId="0" fontId="14" fillId="8" borderId="101" xfId="0" applyFont="1" applyFill="1" applyBorder="1" applyAlignment="1">
      <alignment horizontal="center" vertical="center" wrapText="1"/>
    </xf>
    <xf numFmtId="0" fontId="14" fillId="8" borderId="72" xfId="0" applyFont="1" applyFill="1" applyBorder="1" applyAlignment="1">
      <alignment horizontal="center" vertical="center" wrapText="1"/>
    </xf>
    <xf numFmtId="165" fontId="0" fillId="0" borderId="14" xfId="0" applyNumberFormat="1" applyBorder="1" applyAlignment="1">
      <alignment horizontal="center"/>
    </xf>
    <xf numFmtId="0" fontId="65" fillId="12" borderId="84" xfId="0" applyFont="1" applyFill="1" applyBorder="1" applyAlignment="1">
      <alignment horizontal="center" vertical="center" wrapText="1"/>
    </xf>
    <xf numFmtId="0" fontId="31" fillId="17" borderId="0" xfId="2" applyFont="1" applyFill="1" applyAlignment="1">
      <alignment horizontal="center" vertical="center"/>
    </xf>
    <xf numFmtId="0" fontId="31" fillId="17" borderId="0" xfId="2" applyFont="1" applyFill="1" applyBorder="1" applyAlignment="1">
      <alignment horizontal="center" vertical="center"/>
    </xf>
    <xf numFmtId="0" fontId="66" fillId="0" borderId="0" xfId="0" applyFont="1"/>
    <xf numFmtId="0" fontId="67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70" fillId="0" borderId="0" xfId="0" applyFont="1" applyProtection="1">
      <protection locked="0"/>
    </xf>
    <xf numFmtId="0" fontId="13" fillId="31" borderId="0" xfId="0" applyFont="1" applyFill="1" applyAlignment="1">
      <alignment horizontal="center" vertical="center"/>
    </xf>
    <xf numFmtId="0" fontId="8" fillId="0" borderId="14" xfId="0" applyFont="1" applyBorder="1" applyAlignment="1">
      <alignment horizontal="left"/>
    </xf>
    <xf numFmtId="0" fontId="21" fillId="17" borderId="74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71" fillId="12" borderId="85" xfId="0" applyNumberFormat="1" applyFont="1" applyFill="1" applyBorder="1" applyAlignment="1">
      <alignment horizontal="center" vertical="center"/>
    </xf>
    <xf numFmtId="166" fontId="72" fillId="0" borderId="0" xfId="1" applyFont="1" applyAlignment="1">
      <alignment horizontal="center"/>
    </xf>
    <xf numFmtId="0" fontId="73" fillId="0" borderId="14" xfId="0" applyFont="1" applyBorder="1" applyAlignment="1">
      <alignment horizontal="center"/>
    </xf>
    <xf numFmtId="16" fontId="7" fillId="14" borderId="14" xfId="0" applyNumberFormat="1" applyFont="1" applyFill="1" applyBorder="1" applyAlignment="1">
      <alignment horizontal="center" vertical="center" wrapText="1"/>
    </xf>
    <xf numFmtId="14" fontId="7" fillId="5" borderId="14" xfId="0" applyNumberFormat="1" applyFont="1" applyFill="1" applyBorder="1" applyAlignment="1">
      <alignment horizontal="center" vertical="center" wrapText="1"/>
    </xf>
    <xf numFmtId="0" fontId="0" fillId="49" borderId="14" xfId="0" applyFill="1" applyBorder="1" applyAlignment="1">
      <alignment horizontal="center" vertical="center" wrapText="1"/>
    </xf>
    <xf numFmtId="14" fontId="0" fillId="49" borderId="14" xfId="0" applyNumberFormat="1" applyFill="1" applyBorder="1" applyAlignment="1">
      <alignment horizontal="center" vertical="center" wrapText="1"/>
    </xf>
    <xf numFmtId="166" fontId="31" fillId="49" borderId="14" xfId="1" applyFont="1" applyFill="1" applyBorder="1" applyAlignment="1">
      <alignment horizontal="center" vertical="center" wrapText="1"/>
    </xf>
    <xf numFmtId="166" fontId="0" fillId="49" borderId="14" xfId="1" applyFont="1" applyFill="1" applyBorder="1" applyAlignment="1">
      <alignment horizontal="center" vertical="center" wrapText="1"/>
    </xf>
    <xf numFmtId="168" fontId="0" fillId="49" borderId="14" xfId="3" applyNumberFormat="1" applyFont="1" applyFill="1" applyBorder="1" applyAlignment="1">
      <alignment horizontal="center" vertical="center" wrapText="1"/>
    </xf>
    <xf numFmtId="0" fontId="31" fillId="50" borderId="0" xfId="2" applyFont="1" applyFill="1" applyAlignment="1">
      <alignment horizontal="center" vertical="center"/>
    </xf>
    <xf numFmtId="0" fontId="32" fillId="0" borderId="0" xfId="0" applyFont="1" applyAlignment="1">
      <alignment vertical="center" wrapText="1"/>
    </xf>
    <xf numFmtId="0" fontId="32" fillId="3" borderId="0" xfId="0" applyFont="1" applyFill="1" applyAlignment="1">
      <alignment vertical="center" wrapText="1"/>
    </xf>
    <xf numFmtId="16" fontId="0" fillId="10" borderId="14" xfId="0" applyNumberFormat="1" applyFill="1" applyBorder="1" applyAlignment="1">
      <alignment horizontal="center" vertical="center"/>
    </xf>
    <xf numFmtId="0" fontId="14" fillId="8" borderId="48" xfId="0" applyFont="1" applyFill="1" applyBorder="1" applyAlignment="1">
      <alignment horizontal="center" vertical="center" wrapText="1"/>
    </xf>
    <xf numFmtId="0" fontId="8" fillId="10" borderId="14" xfId="0" applyFont="1" applyFill="1" applyBorder="1" applyAlignment="1">
      <alignment horizontal="left"/>
    </xf>
    <xf numFmtId="171" fontId="8" fillId="10" borderId="14" xfId="0" applyNumberFormat="1" applyFont="1" applyFill="1" applyBorder="1" applyAlignment="1">
      <alignment horizontal="center"/>
    </xf>
    <xf numFmtId="0" fontId="76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6" fillId="0" borderId="0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/>
    </xf>
    <xf numFmtId="171" fontId="8" fillId="0" borderId="14" xfId="0" applyNumberFormat="1" applyFont="1" applyBorder="1" applyAlignment="1">
      <alignment horizontal="center"/>
    </xf>
    <xf numFmtId="4" fontId="8" fillId="0" borderId="14" xfId="0" applyNumberFormat="1" applyFont="1" applyBorder="1" applyAlignment="1">
      <alignment horizontal="center"/>
    </xf>
    <xf numFmtId="4" fontId="8" fillId="10" borderId="14" xfId="0" applyNumberFormat="1" applyFont="1" applyFill="1" applyBorder="1" applyAlignment="1">
      <alignment horizontal="center"/>
    </xf>
    <xf numFmtId="49" fontId="3" fillId="51" borderId="14" xfId="0" applyNumberFormat="1" applyFont="1" applyFill="1" applyBorder="1" applyAlignment="1">
      <alignment horizontal="center"/>
    </xf>
    <xf numFmtId="0" fontId="3" fillId="51" borderId="14" xfId="0" applyFont="1" applyFill="1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38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77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2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74" fillId="0" borderId="0" xfId="0" quotePrefix="1" applyFont="1" applyAlignment="1">
      <alignment horizontal="center" vertical="center"/>
    </xf>
    <xf numFmtId="3" fontId="7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horizontal="center"/>
    </xf>
    <xf numFmtId="49" fontId="22" fillId="0" borderId="16" xfId="0" applyNumberFormat="1" applyFont="1" applyBorder="1" applyAlignment="1">
      <alignment horizontal="center"/>
    </xf>
    <xf numFmtId="49" fontId="22" fillId="0" borderId="16" xfId="0" applyNumberFormat="1" applyFont="1" applyBorder="1" applyAlignment="1">
      <alignment horizontal="center" vertical="center"/>
    </xf>
    <xf numFmtId="170" fontId="0" fillId="0" borderId="16" xfId="0" applyNumberFormat="1" applyBorder="1" applyAlignment="1">
      <alignment horizontal="center"/>
    </xf>
    <xf numFmtId="49" fontId="0" fillId="10" borderId="14" xfId="0" applyNumberForma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/>
    </xf>
    <xf numFmtId="49" fontId="22" fillId="0" borderId="93" xfId="0" applyNumberFormat="1" applyFont="1" applyBorder="1" applyAlignment="1">
      <alignment horizontal="center"/>
    </xf>
    <xf numFmtId="0" fontId="79" fillId="0" borderId="0" xfId="0" applyFont="1" applyAlignment="1">
      <alignment horizontal="center"/>
    </xf>
    <xf numFmtId="49" fontId="22" fillId="0" borderId="0" xfId="1" applyNumberFormat="1" applyFont="1" applyFill="1" applyBorder="1" applyAlignment="1">
      <alignment horizontal="center" vertical="center"/>
    </xf>
    <xf numFmtId="49" fontId="22" fillId="0" borderId="0" xfId="1" applyNumberFormat="1" applyFont="1" applyFill="1" applyAlignment="1">
      <alignment horizontal="center" vertical="center"/>
    </xf>
    <xf numFmtId="49" fontId="80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2" fillId="0" borderId="0" xfId="0" applyFont="1" applyAlignment="1">
      <alignment horizontal="center"/>
    </xf>
    <xf numFmtId="49" fontId="81" fillId="0" borderId="0" xfId="0" applyNumberFormat="1" applyFont="1" applyAlignment="1">
      <alignment horizontal="center"/>
    </xf>
    <xf numFmtId="0" fontId="79" fillId="0" borderId="14" xfId="0" applyFont="1" applyBorder="1" applyAlignment="1">
      <alignment horizontal="center"/>
    </xf>
    <xf numFmtId="0" fontId="83" fillId="0" borderId="0" xfId="0" applyFont="1" applyAlignment="1">
      <alignment horizontal="center"/>
    </xf>
    <xf numFmtId="0" fontId="83" fillId="0" borderId="16" xfId="0" applyFont="1" applyBorder="1" applyAlignment="1">
      <alignment horizontal="center"/>
    </xf>
    <xf numFmtId="0" fontId="84" fillId="0" borderId="0" xfId="0" applyFont="1" applyAlignment="1">
      <alignment horizontal="center"/>
    </xf>
    <xf numFmtId="49" fontId="74" fillId="0" borderId="0" xfId="0" applyNumberFormat="1" applyFont="1" applyAlignment="1">
      <alignment horizontal="center"/>
    </xf>
    <xf numFmtId="170" fontId="85" fillId="0" borderId="0" xfId="0" applyNumberFormat="1" applyFont="1" applyAlignment="1">
      <alignment horizontal="center"/>
    </xf>
    <xf numFmtId="0" fontId="0" fillId="10" borderId="14" xfId="0" applyFill="1" applyBorder="1" applyAlignment="1">
      <alignment horizontal="center" vertical="center" wrapText="1"/>
    </xf>
    <xf numFmtId="0" fontId="20" fillId="0" borderId="14" xfId="2" applyBorder="1" applyAlignment="1">
      <alignment horizontal="center"/>
    </xf>
    <xf numFmtId="2" fontId="0" fillId="0" borderId="14" xfId="0" applyNumberFormat="1" applyBorder="1" applyAlignment="1">
      <alignment horizontal="center" vertical="center"/>
    </xf>
    <xf numFmtId="165" fontId="86" fillId="12" borderId="85" xfId="0" applyNumberFormat="1" applyFont="1" applyFill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20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14" fillId="8" borderId="36" xfId="0" applyNumberFormat="1" applyFont="1" applyFill="1" applyBorder="1" applyAlignment="1">
      <alignment horizontal="center" vertical="center" wrapText="1"/>
    </xf>
    <xf numFmtId="0" fontId="20" fillId="0" borderId="0" xfId="2" applyAlignment="1">
      <alignment horizontal="center"/>
    </xf>
    <xf numFmtId="49" fontId="40" fillId="37" borderId="2" xfId="0" applyNumberFormat="1" applyFont="1" applyFill="1" applyBorder="1" applyAlignment="1">
      <alignment horizontal="center" vertical="center" wrapText="1"/>
    </xf>
    <xf numFmtId="49" fontId="40" fillId="37" borderId="2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20" fillId="0" borderId="0" xfId="2" applyFill="1" applyAlignment="1">
      <alignment horizontal="center"/>
    </xf>
    <xf numFmtId="0" fontId="0" fillId="0" borderId="16" xfId="0" applyBorder="1" applyAlignment="1">
      <alignment horizontal="center"/>
    </xf>
    <xf numFmtId="49" fontId="87" fillId="0" borderId="16" xfId="0" applyNumberFormat="1" applyFont="1" applyBorder="1" applyAlignment="1">
      <alignment horizontal="center"/>
    </xf>
    <xf numFmtId="49" fontId="0" fillId="52" borderId="113" xfId="0" applyNumberFormat="1" applyFill="1" applyBorder="1" applyAlignment="1">
      <alignment horizontal="center"/>
    </xf>
    <xf numFmtId="49" fontId="22" fillId="52" borderId="113" xfId="0" applyNumberFormat="1" applyFont="1" applyFill="1" applyBorder="1" applyAlignment="1">
      <alignment horizontal="center"/>
    </xf>
    <xf numFmtId="0" fontId="0" fillId="52" borderId="113" xfId="0" applyFill="1" applyBorder="1" applyAlignment="1">
      <alignment horizontal="center"/>
    </xf>
    <xf numFmtId="0" fontId="30" fillId="48" borderId="76" xfId="0" applyFont="1" applyFill="1" applyBorder="1" applyAlignment="1">
      <alignment horizontal="center"/>
    </xf>
    <xf numFmtId="0" fontId="30" fillId="48" borderId="79" xfId="0" applyFont="1" applyFill="1" applyBorder="1" applyAlignment="1">
      <alignment horizontal="center"/>
    </xf>
    <xf numFmtId="0" fontId="30" fillId="48" borderId="7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6" fontId="0" fillId="0" borderId="14" xfId="1" applyFont="1" applyBorder="1" applyAlignment="1">
      <alignment horizontal="center"/>
    </xf>
    <xf numFmtId="0" fontId="21" fillId="17" borderId="0" xfId="2" applyFont="1" applyFill="1" applyBorder="1" applyAlignment="1">
      <alignment horizontal="center" vertical="center"/>
    </xf>
    <xf numFmtId="0" fontId="48" fillId="11" borderId="0" xfId="0" applyFont="1" applyFill="1" applyAlignment="1">
      <alignment horizontal="center" vertical="center"/>
    </xf>
    <xf numFmtId="49" fontId="40" fillId="37" borderId="2" xfId="0" applyNumberFormat="1" applyFont="1" applyFill="1" applyBorder="1" applyAlignment="1">
      <alignment horizontal="center" vertical="center" wrapText="1"/>
    </xf>
    <xf numFmtId="49" fontId="40" fillId="37" borderId="20" xfId="0" applyNumberFormat="1" applyFont="1" applyFill="1" applyBorder="1" applyAlignment="1">
      <alignment horizontal="center" vertical="center" wrapText="1"/>
    </xf>
    <xf numFmtId="49" fontId="58" fillId="19" borderId="19" xfId="0" applyNumberFormat="1" applyFont="1" applyFill="1" applyBorder="1" applyAlignment="1">
      <alignment horizontal="center" vertical="center" wrapText="1"/>
    </xf>
    <xf numFmtId="49" fontId="58" fillId="19" borderId="2" xfId="0" applyNumberFormat="1" applyFont="1" applyFill="1" applyBorder="1" applyAlignment="1">
      <alignment horizontal="center" vertical="center" wrapText="1"/>
    </xf>
    <xf numFmtId="49" fontId="58" fillId="19" borderId="20" xfId="0" applyNumberFormat="1" applyFont="1" applyFill="1" applyBorder="1" applyAlignment="1">
      <alignment horizontal="center" vertical="center" wrapText="1"/>
    </xf>
    <xf numFmtId="49" fontId="40" fillId="37" borderId="1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4" fillId="19" borderId="30" xfId="0" applyFont="1" applyFill="1" applyBorder="1" applyAlignment="1">
      <alignment horizontal="center" vertical="center" wrapText="1"/>
    </xf>
    <xf numFmtId="0" fontId="64" fillId="19" borderId="103" xfId="0" applyFont="1" applyFill="1" applyBorder="1" applyAlignment="1">
      <alignment horizontal="center" vertical="center" wrapText="1"/>
    </xf>
    <xf numFmtId="0" fontId="64" fillId="19" borderId="32" xfId="0" applyFont="1" applyFill="1" applyBorder="1" applyAlignment="1">
      <alignment horizontal="center" vertical="center" wrapText="1"/>
    </xf>
    <xf numFmtId="0" fontId="64" fillId="19" borderId="81" xfId="0" applyFont="1" applyFill="1" applyBorder="1" applyAlignment="1">
      <alignment horizontal="center" vertical="center" wrapText="1"/>
    </xf>
    <xf numFmtId="0" fontId="64" fillId="19" borderId="82" xfId="0" applyFont="1" applyFill="1" applyBorder="1" applyAlignment="1">
      <alignment horizontal="center" vertical="center" wrapText="1"/>
    </xf>
    <xf numFmtId="0" fontId="64" fillId="19" borderId="33" xfId="0" applyFont="1" applyFill="1" applyBorder="1" applyAlignment="1">
      <alignment horizontal="center" vertical="center" wrapText="1"/>
    </xf>
    <xf numFmtId="0" fontId="0" fillId="8" borderId="0" xfId="0" applyFill="1" applyAlignment="1" applyProtection="1">
      <alignment horizontal="center"/>
      <protection locked="0"/>
    </xf>
    <xf numFmtId="0" fontId="62" fillId="10" borderId="0" xfId="0" applyFont="1" applyFill="1" applyAlignment="1" applyProtection="1">
      <alignment horizontal="center" vertical="center"/>
      <protection locked="0"/>
    </xf>
    <xf numFmtId="0" fontId="61" fillId="10" borderId="0" xfId="0" applyFont="1" applyFill="1" applyAlignment="1" applyProtection="1">
      <alignment horizontal="center" vertical="center"/>
      <protection locked="0"/>
    </xf>
    <xf numFmtId="0" fontId="58" fillId="10" borderId="0" xfId="0" applyFont="1" applyFill="1" applyAlignment="1" applyProtection="1">
      <alignment horizontal="center" vertical="center" wrapText="1"/>
      <protection locked="0"/>
    </xf>
    <xf numFmtId="0" fontId="18" fillId="10" borderId="0" xfId="0" applyFont="1" applyFill="1" applyAlignment="1" applyProtection="1">
      <alignment horizontal="center" vertical="center"/>
      <protection locked="0"/>
    </xf>
    <xf numFmtId="0" fontId="14" fillId="8" borderId="25" xfId="0" applyFont="1" applyFill="1" applyBorder="1" applyAlignment="1">
      <alignment horizontal="center" vertical="center" wrapText="1"/>
    </xf>
    <xf numFmtId="0" fontId="14" fillId="8" borderId="41" xfId="0" applyFont="1" applyFill="1" applyBorder="1" applyAlignment="1">
      <alignment horizontal="center" vertical="center" wrapText="1"/>
    </xf>
    <xf numFmtId="0" fontId="14" fillId="8" borderId="49" xfId="0" applyFont="1" applyFill="1" applyBorder="1" applyAlignment="1">
      <alignment horizontal="center" vertical="center" wrapText="1"/>
    </xf>
    <xf numFmtId="0" fontId="14" fillId="8" borderId="27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167" fontId="0" fillId="0" borderId="20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67" fontId="0" fillId="0" borderId="1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0" fontId="14" fillId="8" borderId="26" xfId="0" applyFont="1" applyFill="1" applyBorder="1" applyAlignment="1">
      <alignment horizontal="center" vertical="center" wrapText="1"/>
    </xf>
    <xf numFmtId="165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5" fontId="0" fillId="0" borderId="16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 wrapText="1"/>
    </xf>
    <xf numFmtId="0" fontId="14" fillId="8" borderId="44" xfId="0" applyFont="1" applyFill="1" applyBorder="1" applyAlignment="1">
      <alignment horizontal="center" vertical="center" wrapText="1"/>
    </xf>
    <xf numFmtId="0" fontId="14" fillId="8" borderId="57" xfId="0" applyFont="1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4" fillId="8" borderId="42" xfId="0" applyFont="1" applyFill="1" applyBorder="1" applyAlignment="1">
      <alignment horizontal="center" vertical="center" wrapText="1"/>
    </xf>
    <xf numFmtId="166" fontId="0" fillId="0" borderId="18" xfId="1" applyFont="1" applyBorder="1" applyAlignment="1">
      <alignment horizontal="center" vertical="center"/>
    </xf>
    <xf numFmtId="166" fontId="0" fillId="0" borderId="14" xfId="1" applyFont="1" applyBorder="1" applyAlignment="1">
      <alignment horizontal="center" vertical="center"/>
    </xf>
    <xf numFmtId="166" fontId="0" fillId="0" borderId="16" xfId="1" applyFont="1" applyBorder="1" applyAlignment="1">
      <alignment horizontal="center" vertical="center"/>
    </xf>
    <xf numFmtId="166" fontId="0" fillId="0" borderId="17" xfId="1" applyFont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 wrapText="1"/>
    </xf>
    <xf numFmtId="0" fontId="14" fillId="8" borderId="35" xfId="0" applyFont="1" applyFill="1" applyBorder="1" applyAlignment="1">
      <alignment horizontal="center" vertical="center" wrapText="1"/>
    </xf>
    <xf numFmtId="166" fontId="0" fillId="0" borderId="33" xfId="1" applyFont="1" applyBorder="1" applyAlignment="1">
      <alignment horizontal="center" vertical="center"/>
    </xf>
    <xf numFmtId="166" fontId="0" fillId="0" borderId="20" xfId="1" applyFont="1" applyBorder="1" applyAlignment="1">
      <alignment horizontal="center" vertical="center"/>
    </xf>
    <xf numFmtId="166" fontId="0" fillId="0" borderId="94" xfId="1" applyFont="1" applyBorder="1" applyAlignment="1">
      <alignment horizontal="center" vertical="center"/>
    </xf>
    <xf numFmtId="0" fontId="14" fillId="11" borderId="66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14" fillId="11" borderId="70" xfId="0" applyFont="1" applyFill="1" applyBorder="1" applyAlignment="1">
      <alignment horizontal="center" vertical="center" wrapText="1"/>
    </xf>
    <xf numFmtId="166" fontId="17" fillId="11" borderId="67" xfId="1" applyFont="1" applyFill="1" applyBorder="1" applyAlignment="1">
      <alignment horizontal="center" vertical="center"/>
    </xf>
    <xf numFmtId="166" fontId="17" fillId="11" borderId="68" xfId="1" applyFont="1" applyFill="1" applyBorder="1" applyAlignment="1">
      <alignment horizontal="center" vertical="center"/>
    </xf>
    <xf numFmtId="166" fontId="17" fillId="11" borderId="69" xfId="1" applyFont="1" applyFill="1" applyBorder="1" applyAlignment="1">
      <alignment horizontal="center" vertical="center"/>
    </xf>
    <xf numFmtId="166" fontId="17" fillId="11" borderId="64" xfId="1" applyFont="1" applyFill="1" applyBorder="1" applyAlignment="1">
      <alignment horizontal="center" vertical="center"/>
    </xf>
    <xf numFmtId="166" fontId="17" fillId="11" borderId="0" xfId="1" applyFont="1" applyFill="1" applyBorder="1" applyAlignment="1">
      <alignment horizontal="center" vertical="center"/>
    </xf>
    <xf numFmtId="166" fontId="17" fillId="11" borderId="65" xfId="1" applyFont="1" applyFill="1" applyBorder="1" applyAlignment="1">
      <alignment horizontal="center" vertical="center"/>
    </xf>
    <xf numFmtId="166" fontId="17" fillId="11" borderId="71" xfId="1" applyFont="1" applyFill="1" applyBorder="1" applyAlignment="1">
      <alignment horizontal="center" vertical="center"/>
    </xf>
    <xf numFmtId="166" fontId="17" fillId="11" borderId="72" xfId="1" applyFont="1" applyFill="1" applyBorder="1" applyAlignment="1">
      <alignment horizontal="center" vertical="center"/>
    </xf>
    <xf numFmtId="166" fontId="17" fillId="11" borderId="73" xfId="1" applyFont="1" applyFill="1" applyBorder="1" applyAlignment="1">
      <alignment horizontal="center" vertical="center"/>
    </xf>
    <xf numFmtId="166" fontId="0" fillId="11" borderId="66" xfId="1" applyFont="1" applyFill="1" applyBorder="1" applyAlignment="1">
      <alignment horizontal="center" vertical="center"/>
    </xf>
    <xf numFmtId="166" fontId="0" fillId="11" borderId="1" xfId="1" applyFont="1" applyFill="1" applyBorder="1" applyAlignment="1">
      <alignment horizontal="center" vertical="center"/>
    </xf>
    <xf numFmtId="166" fontId="0" fillId="31" borderId="95" xfId="1" applyFont="1" applyFill="1" applyBorder="1" applyAlignment="1">
      <alignment horizontal="center" vertical="center"/>
    </xf>
    <xf numFmtId="166" fontId="0" fillId="31" borderId="96" xfId="1" applyFont="1" applyFill="1" applyBorder="1" applyAlignment="1">
      <alignment horizontal="center" vertical="center"/>
    </xf>
    <xf numFmtId="167" fontId="0" fillId="31" borderId="14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14" fillId="8" borderId="104" xfId="0" applyFont="1" applyFill="1" applyBorder="1" applyAlignment="1">
      <alignment horizontal="center" vertical="center" wrapText="1"/>
    </xf>
    <xf numFmtId="0" fontId="14" fillId="8" borderId="105" xfId="0" applyFont="1" applyFill="1" applyBorder="1" applyAlignment="1">
      <alignment horizontal="center" vertical="center" wrapText="1"/>
    </xf>
    <xf numFmtId="0" fontId="14" fillId="8" borderId="106" xfId="0" applyFont="1" applyFill="1" applyBorder="1" applyAlignment="1">
      <alignment horizontal="center" vertical="center" wrapText="1"/>
    </xf>
    <xf numFmtId="0" fontId="14" fillId="8" borderId="40" xfId="0" applyFont="1" applyFill="1" applyBorder="1" applyAlignment="1">
      <alignment horizontal="center" vertical="center" wrapText="1"/>
    </xf>
    <xf numFmtId="0" fontId="14" fillId="8" borderId="29" xfId="0" applyFont="1" applyFill="1" applyBorder="1" applyAlignment="1">
      <alignment horizontal="center" vertical="center" wrapText="1"/>
    </xf>
    <xf numFmtId="0" fontId="14" fillId="8" borderId="23" xfId="0" applyFont="1" applyFill="1" applyBorder="1" applyAlignment="1">
      <alignment horizontal="center" vertical="center" wrapText="1"/>
    </xf>
    <xf numFmtId="0" fontId="14" fillId="8" borderId="21" xfId="0" applyFont="1" applyFill="1" applyBorder="1" applyAlignment="1">
      <alignment horizontal="center" vertical="center" wrapText="1"/>
    </xf>
    <xf numFmtId="165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10" borderId="14" xfId="0" applyNumberFormat="1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0" fontId="14" fillId="8" borderId="45" xfId="0" applyFont="1" applyFill="1" applyBorder="1" applyAlignment="1">
      <alignment horizontal="center" vertical="center" wrapText="1"/>
    </xf>
    <xf numFmtId="0" fontId="14" fillId="8" borderId="51" xfId="0" applyFont="1" applyFill="1" applyBorder="1" applyAlignment="1">
      <alignment horizontal="center" vertical="center" wrapText="1"/>
    </xf>
    <xf numFmtId="0" fontId="14" fillId="8" borderId="53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14" fillId="8" borderId="24" xfId="0" applyFont="1" applyFill="1" applyBorder="1" applyAlignment="1">
      <alignment horizontal="center" vertical="center" wrapText="1"/>
    </xf>
    <xf numFmtId="165" fontId="0" fillId="0" borderId="56" xfId="0" applyNumberFormat="1" applyBorder="1" applyAlignment="1">
      <alignment horizontal="center" vertical="center"/>
    </xf>
    <xf numFmtId="165" fontId="0" fillId="0" borderId="57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0" fontId="0" fillId="0" borderId="17" xfId="0" applyBorder="1" applyAlignment="1">
      <alignment horizontal="center" vertical="center"/>
    </xf>
    <xf numFmtId="2" fontId="0" fillId="10" borderId="20" xfId="0" applyNumberFormat="1" applyFill="1" applyBorder="1" applyAlignment="1">
      <alignment horizontal="center" vertical="center"/>
    </xf>
    <xf numFmtId="167" fontId="0" fillId="10" borderId="20" xfId="0" applyNumberFormat="1" applyFill="1" applyBorder="1" applyAlignment="1">
      <alignment horizontal="center" vertical="center"/>
    </xf>
    <xf numFmtId="0" fontId="14" fillId="8" borderId="50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8" borderId="30" xfId="0" applyFont="1" applyFill="1" applyBorder="1" applyAlignment="1">
      <alignment horizontal="center" vertical="center" wrapText="1"/>
    </xf>
    <xf numFmtId="167" fontId="14" fillId="8" borderId="27" xfId="0" applyNumberFormat="1" applyFont="1" applyFill="1" applyBorder="1" applyAlignment="1">
      <alignment horizontal="center" vertical="center" wrapText="1"/>
    </xf>
    <xf numFmtId="167" fontId="14" fillId="8" borderId="28" xfId="0" applyNumberFormat="1" applyFont="1" applyFill="1" applyBorder="1" applyAlignment="1">
      <alignment horizontal="center" vertical="center" wrapText="1"/>
    </xf>
    <xf numFmtId="0" fontId="14" fillId="8" borderId="46" xfId="0" applyFont="1" applyFill="1" applyBorder="1" applyAlignment="1">
      <alignment horizontal="center" vertical="center" wrapText="1"/>
    </xf>
    <xf numFmtId="0" fontId="14" fillId="8" borderId="47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167" fontId="14" fillId="8" borderId="44" xfId="0" applyNumberFormat="1" applyFont="1" applyFill="1" applyBorder="1" applyAlignment="1">
      <alignment horizontal="center" vertical="center" wrapText="1"/>
    </xf>
    <xf numFmtId="167" fontId="14" fillId="8" borderId="46" xfId="0" applyNumberFormat="1" applyFont="1" applyFill="1" applyBorder="1" applyAlignment="1">
      <alignment horizontal="center" vertical="center" wrapText="1"/>
    </xf>
    <xf numFmtId="165" fontId="0" fillId="0" borderId="109" xfId="0" applyNumberForma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14" fillId="8" borderId="107" xfId="0" applyFont="1" applyFill="1" applyBorder="1" applyAlignment="1">
      <alignment horizontal="center" vertical="center" wrapText="1"/>
    </xf>
    <xf numFmtId="0" fontId="14" fillId="8" borderId="108" xfId="0" applyFont="1" applyFill="1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67" fontId="14" fillId="8" borderId="36" xfId="0" applyNumberFormat="1" applyFont="1" applyFill="1" applyBorder="1" applyAlignment="1">
      <alignment horizontal="center" vertical="center" wrapText="1"/>
    </xf>
    <xf numFmtId="167" fontId="14" fillId="8" borderId="37" xfId="0" applyNumberFormat="1" applyFont="1" applyFill="1" applyBorder="1" applyAlignment="1">
      <alignment horizontal="center" vertical="center" wrapText="1"/>
    </xf>
    <xf numFmtId="165" fontId="0" fillId="0" borderId="20" xfId="1" applyNumberFormat="1" applyFont="1" applyBorder="1" applyAlignment="1">
      <alignment horizontal="center" vertical="center"/>
    </xf>
    <xf numFmtId="0" fontId="0" fillId="0" borderId="20" xfId="1" applyNumberFormat="1" applyFont="1" applyBorder="1" applyAlignment="1">
      <alignment horizontal="center" vertical="center"/>
    </xf>
    <xf numFmtId="165" fontId="0" fillId="0" borderId="98" xfId="0" applyNumberForma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98" xfId="0" applyNumberFormat="1" applyBorder="1" applyAlignment="1">
      <alignment horizontal="center" vertical="center"/>
    </xf>
    <xf numFmtId="2" fontId="0" fillId="0" borderId="99" xfId="0" applyNumberFormat="1" applyBorder="1" applyAlignment="1">
      <alignment horizontal="center" vertical="center"/>
    </xf>
    <xf numFmtId="2" fontId="0" fillId="0" borderId="18" xfId="1" applyNumberFormat="1" applyFont="1" applyBorder="1" applyAlignment="1">
      <alignment horizontal="center" vertical="center"/>
    </xf>
    <xf numFmtId="2" fontId="0" fillId="0" borderId="14" xfId="1" applyNumberFormat="1" applyFont="1" applyBorder="1" applyAlignment="1">
      <alignment horizontal="center" vertical="center"/>
    </xf>
    <xf numFmtId="165" fontId="0" fillId="0" borderId="14" xfId="1" applyNumberFormat="1" applyFont="1" applyBorder="1" applyAlignment="1">
      <alignment horizontal="center" vertical="center"/>
    </xf>
    <xf numFmtId="0" fontId="21" fillId="17" borderId="100" xfId="2" applyFont="1" applyFill="1" applyBorder="1" applyAlignment="1">
      <alignment horizontal="center" vertical="center"/>
    </xf>
    <xf numFmtId="0" fontId="14" fillId="8" borderId="83" xfId="0" applyFont="1" applyFill="1" applyBorder="1" applyAlignment="1">
      <alignment horizontal="center" vertical="center" wrapText="1"/>
    </xf>
    <xf numFmtId="165" fontId="0" fillId="0" borderId="33" xfId="1" applyNumberFormat="1" applyFont="1" applyBorder="1" applyAlignment="1">
      <alignment horizontal="center" vertical="center"/>
    </xf>
    <xf numFmtId="165" fontId="0" fillId="0" borderId="18" xfId="1" applyNumberFormat="1" applyFont="1" applyBorder="1" applyAlignment="1">
      <alignment horizontal="center" vertical="center"/>
    </xf>
    <xf numFmtId="167" fontId="0" fillId="0" borderId="56" xfId="0" applyNumberFormat="1" applyBorder="1" applyAlignment="1">
      <alignment horizontal="center" vertical="center"/>
    </xf>
    <xf numFmtId="167" fontId="0" fillId="0" borderId="57" xfId="0" applyNumberFormat="1" applyBorder="1" applyAlignment="1">
      <alignment horizontal="center" vertical="center"/>
    </xf>
    <xf numFmtId="166" fontId="0" fillId="0" borderId="97" xfId="1" applyFont="1" applyBorder="1" applyAlignment="1">
      <alignment horizontal="center" vertical="center"/>
    </xf>
    <xf numFmtId="164" fontId="0" fillId="0" borderId="14" xfId="1" applyNumberFormat="1" applyFont="1" applyBorder="1" applyAlignment="1">
      <alignment horizontal="center" vertical="center"/>
    </xf>
    <xf numFmtId="0" fontId="14" fillId="8" borderId="111" xfId="0" applyFont="1" applyFill="1" applyBorder="1" applyAlignment="1">
      <alignment horizontal="center" vertical="center" wrapText="1"/>
    </xf>
    <xf numFmtId="0" fontId="25" fillId="17" borderId="0" xfId="2" applyFont="1" applyFill="1" applyBorder="1" applyAlignment="1">
      <alignment horizontal="center" vertical="center"/>
    </xf>
    <xf numFmtId="2" fontId="0" fillId="0" borderId="56" xfId="0" applyNumberFormat="1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14" xfId="0" quotePrefix="1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2" fontId="14" fillId="8" borderId="27" xfId="0" applyNumberFormat="1" applyFont="1" applyFill="1" applyBorder="1" applyAlignment="1">
      <alignment horizontal="center" vertical="center" wrapText="1"/>
    </xf>
    <xf numFmtId="2" fontId="14" fillId="8" borderId="28" xfId="0" applyNumberFormat="1" applyFont="1" applyFill="1" applyBorder="1" applyAlignment="1">
      <alignment horizontal="center" vertical="center" wrapText="1"/>
    </xf>
    <xf numFmtId="2" fontId="0" fillId="0" borderId="109" xfId="0" applyNumberFormat="1" applyBorder="1" applyAlignment="1">
      <alignment horizontal="center" vertical="center"/>
    </xf>
    <xf numFmtId="2" fontId="0" fillId="0" borderId="110" xfId="0" applyNumberFormat="1" applyBorder="1" applyAlignment="1">
      <alignment horizontal="center" vertical="center"/>
    </xf>
    <xf numFmtId="0" fontId="14" fillId="8" borderId="68" xfId="0" applyFont="1" applyFill="1" applyBorder="1" applyAlignment="1">
      <alignment horizontal="center" vertical="center" wrapText="1"/>
    </xf>
    <xf numFmtId="0" fontId="14" fillId="8" borderId="72" xfId="0" applyFont="1" applyFill="1" applyBorder="1" applyAlignment="1">
      <alignment horizontal="center" vertical="center" wrapText="1"/>
    </xf>
    <xf numFmtId="0" fontId="26" fillId="17" borderId="101" xfId="2" applyFont="1" applyFill="1" applyBorder="1" applyAlignment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102" xfId="0" applyFont="1" applyFill="1" applyBorder="1" applyAlignment="1">
      <alignment horizontal="center" vertical="center" wrapText="1"/>
    </xf>
    <xf numFmtId="0" fontId="50" fillId="8" borderId="68" xfId="2" applyFont="1" applyFill="1" applyBorder="1" applyAlignment="1">
      <alignment horizontal="center" vertical="center"/>
    </xf>
    <xf numFmtId="0" fontId="50" fillId="8" borderId="0" xfId="2" applyFont="1" applyFill="1" applyBorder="1" applyAlignment="1">
      <alignment horizontal="center" vertical="center"/>
    </xf>
    <xf numFmtId="0" fontId="10" fillId="17" borderId="0" xfId="2" applyFont="1" applyFill="1" applyAlignment="1">
      <alignment horizontal="center"/>
    </xf>
    <xf numFmtId="49" fontId="47" fillId="8" borderId="112" xfId="0" applyNumberFormat="1" applyFont="1" applyFill="1" applyBorder="1" applyAlignment="1">
      <alignment horizontal="center" vertical="center"/>
    </xf>
    <xf numFmtId="49" fontId="47" fillId="8" borderId="0" xfId="0" applyNumberFormat="1" applyFont="1" applyFill="1" applyAlignment="1">
      <alignment horizontal="center" vertical="center"/>
    </xf>
    <xf numFmtId="0" fontId="55" fillId="17" borderId="0" xfId="2" applyFont="1" applyFill="1" applyBorder="1" applyAlignment="1">
      <alignment horizontal="center" vertical="center" wrapText="1"/>
    </xf>
    <xf numFmtId="166" fontId="50" fillId="31" borderId="0" xfId="1" applyFont="1" applyFill="1" applyAlignment="1">
      <alignment horizontal="center" vertical="center"/>
    </xf>
    <xf numFmtId="0" fontId="36" fillId="17" borderId="74" xfId="2" applyFont="1" applyFill="1" applyBorder="1" applyAlignment="1">
      <alignment horizontal="center" vertical="center" wrapText="1"/>
    </xf>
    <xf numFmtId="0" fontId="59" fillId="8" borderId="72" xfId="0" applyFont="1" applyFill="1" applyBorder="1" applyAlignment="1">
      <alignment horizontal="center" vertical="center"/>
    </xf>
    <xf numFmtId="0" fontId="36" fillId="17" borderId="0" xfId="2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166" fontId="13" fillId="11" borderId="0" xfId="0" applyNumberFormat="1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36" fillId="17" borderId="74" xfId="2" applyFont="1" applyFill="1" applyBorder="1" applyAlignment="1">
      <alignment horizontal="center" vertical="center"/>
    </xf>
    <xf numFmtId="0" fontId="25" fillId="17" borderId="74" xfId="2" applyFont="1" applyFill="1" applyBorder="1" applyAlignment="1">
      <alignment horizontal="center" vertical="center"/>
    </xf>
    <xf numFmtId="0" fontId="37" fillId="15" borderId="0" xfId="0" applyFont="1" applyFill="1" applyAlignment="1">
      <alignment horizontal="center"/>
    </xf>
    <xf numFmtId="49" fontId="53" fillId="11" borderId="0" xfId="0" applyNumberFormat="1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1" fillId="17" borderId="74" xfId="2" applyFont="1" applyFill="1" applyBorder="1" applyAlignment="1">
      <alignment horizontal="center" vertical="center"/>
    </xf>
    <xf numFmtId="0" fontId="24" fillId="17" borderId="74" xfId="2" applyFont="1" applyFill="1" applyBorder="1" applyAlignment="1">
      <alignment horizontal="center" vertical="center"/>
    </xf>
    <xf numFmtId="0" fontId="23" fillId="17" borderId="74" xfId="2" applyFont="1" applyFill="1" applyBorder="1" applyAlignment="1">
      <alignment horizontal="center" vertical="center"/>
    </xf>
    <xf numFmtId="0" fontId="7" fillId="5" borderId="81" xfId="0" applyFont="1" applyFill="1" applyBorder="1" applyAlignment="1">
      <alignment horizontal="center" vertical="center"/>
    </xf>
    <xf numFmtId="0" fontId="7" fillId="5" borderId="82" xfId="0" applyFont="1" applyFill="1" applyBorder="1" applyAlignment="1">
      <alignment horizontal="center" vertical="center"/>
    </xf>
    <xf numFmtId="0" fontId="7" fillId="5" borderId="33" xfId="0" applyFont="1" applyFill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166" fontId="26" fillId="12" borderId="13" xfId="0" applyNumberFormat="1" applyFont="1" applyFill="1" applyBorder="1" applyAlignment="1">
      <alignment horizontal="center" vertical="center"/>
    </xf>
    <xf numFmtId="0" fontId="26" fillId="12" borderId="10" xfId="0" applyFont="1" applyFill="1" applyBorder="1" applyAlignment="1">
      <alignment horizontal="center" vertical="center"/>
    </xf>
    <xf numFmtId="0" fontId="9" fillId="37" borderId="14" xfId="0" applyFont="1" applyFill="1" applyBorder="1" applyAlignment="1">
      <alignment horizontal="center" vertical="center" wrapText="1"/>
    </xf>
    <xf numFmtId="166" fontId="9" fillId="37" borderId="14" xfId="1" applyFont="1" applyFill="1" applyBorder="1" applyAlignment="1">
      <alignment horizontal="center" vertical="center" wrapText="1"/>
    </xf>
    <xf numFmtId="0" fontId="9" fillId="12" borderId="16" xfId="0" applyFont="1" applyFill="1" applyBorder="1" applyAlignment="1">
      <alignment horizontal="center" vertical="center" wrapText="1"/>
    </xf>
    <xf numFmtId="0" fontId="9" fillId="12" borderId="17" xfId="0" applyFont="1" applyFill="1" applyBorder="1" applyAlignment="1">
      <alignment horizontal="center" vertical="center" wrapText="1"/>
    </xf>
    <xf numFmtId="0" fontId="9" fillId="12" borderId="18" xfId="0" applyFont="1" applyFill="1" applyBorder="1" applyAlignment="1">
      <alignment horizontal="center" vertical="center" wrapText="1"/>
    </xf>
    <xf numFmtId="166" fontId="9" fillId="12" borderId="16" xfId="1" applyFont="1" applyFill="1" applyBorder="1" applyAlignment="1">
      <alignment horizontal="center" vertical="center" wrapText="1"/>
    </xf>
    <xf numFmtId="166" fontId="9" fillId="12" borderId="17" xfId="1" applyFont="1" applyFill="1" applyBorder="1" applyAlignment="1">
      <alignment horizontal="center" vertical="center" wrapText="1"/>
    </xf>
    <xf numFmtId="166" fontId="9" fillId="12" borderId="18" xfId="1" applyFont="1" applyFill="1" applyBorder="1" applyAlignment="1">
      <alignment horizontal="center" vertical="center" wrapText="1"/>
    </xf>
    <xf numFmtId="0" fontId="9" fillId="12" borderId="14" xfId="0" applyFont="1" applyFill="1" applyBorder="1" applyAlignment="1">
      <alignment horizontal="center" vertical="center" wrapText="1"/>
    </xf>
    <xf numFmtId="166" fontId="9" fillId="12" borderId="14" xfId="1" applyFont="1" applyFill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166" fontId="9" fillId="0" borderId="14" xfId="1" applyFont="1" applyFill="1" applyBorder="1" applyAlignment="1">
      <alignment horizontal="center" vertical="center" wrapText="1"/>
    </xf>
    <xf numFmtId="0" fontId="9" fillId="4" borderId="14" xfId="0" applyFont="1" applyFill="1" applyBorder="1" applyAlignment="1">
      <alignment horizontal="center" vertical="center" wrapText="1"/>
    </xf>
    <xf numFmtId="0" fontId="9" fillId="39" borderId="14" xfId="0" applyFont="1" applyFill="1" applyBorder="1" applyAlignment="1">
      <alignment horizontal="center" vertical="center" wrapText="1"/>
    </xf>
    <xf numFmtId="166" fontId="9" fillId="39" borderId="14" xfId="1" applyFont="1" applyFill="1" applyBorder="1" applyAlignment="1">
      <alignment horizontal="center" vertical="center" wrapText="1"/>
    </xf>
    <xf numFmtId="0" fontId="9" fillId="13" borderId="14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166" fontId="9" fillId="0" borderId="16" xfId="1" applyFont="1" applyFill="1" applyBorder="1" applyAlignment="1">
      <alignment horizontal="center" vertical="center" wrapText="1"/>
    </xf>
    <xf numFmtId="166" fontId="9" fillId="0" borderId="17" xfId="1" applyFont="1" applyFill="1" applyBorder="1" applyAlignment="1">
      <alignment horizontal="center" vertical="center" wrapText="1"/>
    </xf>
    <xf numFmtId="166" fontId="9" fillId="0" borderId="18" xfId="1" applyFont="1" applyFill="1" applyBorder="1" applyAlignment="1">
      <alignment horizontal="center" vertical="center" wrapText="1"/>
    </xf>
    <xf numFmtId="0" fontId="9" fillId="39" borderId="16" xfId="0" applyFont="1" applyFill="1" applyBorder="1" applyAlignment="1">
      <alignment horizontal="center" vertical="center" wrapText="1"/>
    </xf>
    <xf numFmtId="0" fontId="9" fillId="39" borderId="17" xfId="0" applyFont="1" applyFill="1" applyBorder="1" applyAlignment="1">
      <alignment horizontal="center" vertical="center" wrapText="1"/>
    </xf>
    <xf numFmtId="0" fontId="9" fillId="39" borderId="18" xfId="0" applyFont="1" applyFill="1" applyBorder="1" applyAlignment="1">
      <alignment horizontal="center" vertical="center" wrapText="1"/>
    </xf>
    <xf numFmtId="166" fontId="9" fillId="39" borderId="16" xfId="1" applyFont="1" applyFill="1" applyBorder="1" applyAlignment="1">
      <alignment horizontal="center" vertical="center" wrapText="1"/>
    </xf>
    <xf numFmtId="166" fontId="9" fillId="39" borderId="17" xfId="1" applyFont="1" applyFill="1" applyBorder="1" applyAlignment="1">
      <alignment horizontal="center" vertical="center" wrapText="1"/>
    </xf>
    <xf numFmtId="166" fontId="9" fillId="39" borderId="18" xfId="1" applyFont="1" applyFill="1" applyBorder="1" applyAlignment="1">
      <alignment horizontal="center" vertical="center" wrapText="1"/>
    </xf>
    <xf numFmtId="0" fontId="8" fillId="12" borderId="14" xfId="0" applyFont="1" applyFill="1" applyBorder="1" applyAlignment="1">
      <alignment horizontal="center"/>
    </xf>
    <xf numFmtId="0" fontId="33" fillId="45" borderId="14" xfId="0" applyFont="1" applyFill="1" applyBorder="1" applyAlignment="1">
      <alignment horizontal="center"/>
    </xf>
    <xf numFmtId="0" fontId="34" fillId="12" borderId="14" xfId="0" applyFont="1" applyFill="1" applyBorder="1"/>
    <xf numFmtId="0" fontId="60" fillId="17" borderId="100" xfId="2" applyFont="1" applyFill="1" applyBorder="1" applyAlignment="1">
      <alignment horizontal="center" vertical="center"/>
    </xf>
    <xf numFmtId="8" fontId="0" fillId="0" borderId="16" xfId="0" applyNumberFormat="1" applyBorder="1" applyAlignment="1">
      <alignment horizontal="center" vertical="center"/>
    </xf>
    <xf numFmtId="0" fontId="14" fillId="8" borderId="91" xfId="0" applyFont="1" applyFill="1" applyBorder="1" applyAlignment="1">
      <alignment horizontal="center" vertical="center" wrapText="1"/>
    </xf>
    <xf numFmtId="0" fontId="14" fillId="8" borderId="92" xfId="0" applyFont="1" applyFill="1" applyBorder="1" applyAlignment="1">
      <alignment horizontal="center" vertical="center" wrapText="1"/>
    </xf>
    <xf numFmtId="165" fontId="0" fillId="10" borderId="98" xfId="0" applyNumberFormat="1" applyFill="1" applyBorder="1" applyAlignment="1">
      <alignment horizontal="center" vertical="center"/>
    </xf>
    <xf numFmtId="0" fontId="0" fillId="10" borderId="99" xfId="0" applyFill="1" applyBorder="1" applyAlignment="1">
      <alignment horizontal="center" vertical="center"/>
    </xf>
    <xf numFmtId="165" fontId="0" fillId="9" borderId="20" xfId="0" applyNumberForma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165" fontId="0" fillId="12" borderId="16" xfId="0" applyNumberFormat="1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26" fillId="17" borderId="74" xfId="2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166" fontId="3" fillId="0" borderId="14" xfId="1" applyFont="1" applyBorder="1" applyAlignment="1">
      <alignment horizontal="center" vertical="center"/>
    </xf>
    <xf numFmtId="166" fontId="3" fillId="2" borderId="14" xfId="1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0" fontId="49" fillId="11" borderId="0" xfId="0" applyFont="1" applyFill="1" applyAlignment="1">
      <alignment horizontal="center" vertical="center"/>
    </xf>
    <xf numFmtId="0" fontId="0" fillId="0" borderId="16" xfId="0" applyBorder="1" applyAlignment="1">
      <alignment horizontal="center"/>
    </xf>
    <xf numFmtId="0" fontId="16" fillId="0" borderId="61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63" xfId="0" applyFont="1" applyBorder="1" applyAlignment="1">
      <alignment horizontal="center" vertical="center"/>
    </xf>
    <xf numFmtId="0" fontId="47" fillId="11" borderId="82" xfId="0" applyFont="1" applyFill="1" applyBorder="1" applyAlignment="1">
      <alignment horizontal="center"/>
    </xf>
    <xf numFmtId="0" fontId="24" fillId="17" borderId="0" xfId="2" applyFont="1" applyFill="1" applyBorder="1" applyAlignment="1">
      <alignment horizontal="center" vertical="center"/>
    </xf>
    <xf numFmtId="0" fontId="23" fillId="17" borderId="0" xfId="2" applyFont="1" applyFill="1" applyBorder="1" applyAlignment="1">
      <alignment horizontal="center" vertical="center"/>
    </xf>
    <xf numFmtId="0" fontId="48" fillId="15" borderId="14" xfId="0" applyFont="1" applyFill="1" applyBorder="1" applyAlignment="1">
      <alignment horizontal="center"/>
    </xf>
    <xf numFmtId="0" fontId="18" fillId="15" borderId="0" xfId="0" applyFont="1" applyFill="1" applyAlignment="1">
      <alignment horizontal="center" vertical="center"/>
    </xf>
  </cellXfs>
  <cellStyles count="4">
    <cellStyle name="Hiperlink" xfId="2" builtinId="8"/>
    <cellStyle name="Moeda" xfId="1" builtinId="4"/>
    <cellStyle name="Normal" xfId="0" builtinId="0"/>
    <cellStyle name="Porcentagem" xfId="3" builtinId="5"/>
  </cellStyles>
  <dxfs count="230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2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 val="0"/>
        <strike val="0"/>
        <outline val="0"/>
        <shadow val="0"/>
        <vertAlign val="baseline"/>
        <color theme="1"/>
      </font>
      <numFmt numFmtId="30" formatCode="@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numFmt numFmtId="167" formatCode="&quot;R$&quot;\ #,##0.00"/>
      <alignment horizontal="center" vertical="bottom" textRotation="0" wrapText="0" indent="0" justifyLastLine="0" shrinkToFit="0" readingOrder="0"/>
    </dxf>
    <dxf>
      <numFmt numFmtId="167" formatCode="&quot;R$&quot;\ #,##0.00"/>
    </dxf>
    <dxf>
      <alignment horizontal="center" vertical="bottom" textRotation="0" wrapText="0" indent="0" justifyLastLine="0" shrinkToFit="0" readingOrder="0"/>
    </dxf>
    <dxf>
      <numFmt numFmtId="167" formatCode="&quot;R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9" formatCode="[$-F800]dddd\,\ mmmm\ dd\,\ 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296"/>
      <color rgb="FF002C54"/>
      <color rgb="FFA7EFBC"/>
      <color rgb="FF01FF9E"/>
      <color rgb="FF76FEAD"/>
      <color rgb="FFC8F5D5"/>
      <color rgb="FF0C013D"/>
      <color rgb="FF0E0147"/>
      <color rgb="FF99FF99"/>
      <color rgb="FFFBF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2021'!A1"/><Relationship Id="rId13" Type="http://schemas.openxmlformats.org/officeDocument/2006/relationships/hyperlink" Target="#CLIPP!A1"/><Relationship Id="rId18" Type="http://schemas.openxmlformats.org/officeDocument/2006/relationships/hyperlink" Target="IMPOSTO%20DE%20RENDA%202025/IMPOSTO%20DE%20RENDA%202025.xlsx" TargetMode="External"/><Relationship Id="rId3" Type="http://schemas.openxmlformats.org/officeDocument/2006/relationships/hyperlink" Target="#'CONTROLE MEI'!A1"/><Relationship Id="rId7" Type="http://schemas.openxmlformats.org/officeDocument/2006/relationships/hyperlink" Target="#'2023'!A1"/><Relationship Id="rId12" Type="http://schemas.openxmlformats.org/officeDocument/2006/relationships/hyperlink" Target="#NFSE!A1"/><Relationship Id="rId17" Type="http://schemas.openxmlformats.org/officeDocument/2006/relationships/hyperlink" Target="#'2025'!A1"/><Relationship Id="rId2" Type="http://schemas.openxmlformats.org/officeDocument/2006/relationships/image" Target="../media/image2.jpeg"/><Relationship Id="rId16" Type="http://schemas.openxmlformats.org/officeDocument/2006/relationships/hyperlink" Target="IRPF%202024/IMPOSTO%20DE%20RENDA%2024(Recuperado%20Automaticamente).xlsx" TargetMode="External"/><Relationship Id="rId1" Type="http://schemas.openxmlformats.org/officeDocument/2006/relationships/image" Target="../media/image1.jpeg"/><Relationship Id="rId6" Type="http://schemas.openxmlformats.org/officeDocument/2006/relationships/hyperlink" Target="#'2022'!A1"/><Relationship Id="rId11" Type="http://schemas.openxmlformats.org/officeDocument/2006/relationships/hyperlink" Target="../../../SAMUEL/CONTROLE%20DE%20SA&#205;DA%20GERAL%20DO%20ESCRITORIO.xlsm" TargetMode="External"/><Relationship Id="rId5" Type="http://schemas.openxmlformats.org/officeDocument/2006/relationships/hyperlink" Target="#Plan1!A1"/><Relationship Id="rId15" Type="http://schemas.openxmlformats.org/officeDocument/2006/relationships/hyperlink" Target="#'SENHA DO GOV'!A1"/><Relationship Id="rId10" Type="http://schemas.openxmlformats.org/officeDocument/2006/relationships/hyperlink" Target="#'CONTROLE DE ALTERA&#199;&#195;O'!A1"/><Relationship Id="rId4" Type="http://schemas.openxmlformats.org/officeDocument/2006/relationships/hyperlink" Target="#PAGAMENTO!A1"/><Relationship Id="rId9" Type="http://schemas.openxmlformats.org/officeDocument/2006/relationships/hyperlink" Target="#CHEQUES!A1"/><Relationship Id="rId14" Type="http://schemas.openxmlformats.org/officeDocument/2006/relationships/hyperlink" Target="#'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1695450</xdr:colOff>
      <xdr:row>2</xdr:row>
      <xdr:rowOff>133350</xdr:rowOff>
    </xdr:from>
    <xdr:to>
      <xdr:col>8</xdr:col>
      <xdr:colOff>485775</xdr:colOff>
      <xdr:row>5</xdr:row>
      <xdr:rowOff>28576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323850"/>
          <a:ext cx="4752975" cy="466726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CONECTI AGORA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76</xdr:col>
      <xdr:colOff>406400</xdr:colOff>
      <xdr:row>3</xdr:row>
      <xdr:rowOff>619124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0"/>
          <a:ext cx="47840900" cy="1209674"/>
        </a:xfrm>
        <a:prstGeom prst="rect">
          <a:avLst/>
        </a:prstGeom>
      </xdr:spPr>
    </xdr:pic>
    <xdr:clientData/>
  </xdr:twoCellAnchor>
  <xdr:twoCellAnchor editAs="oneCell">
    <xdr:from>
      <xdr:col>4</xdr:col>
      <xdr:colOff>492125</xdr:colOff>
      <xdr:row>0</xdr:row>
      <xdr:rowOff>0</xdr:rowOff>
    </xdr:from>
    <xdr:to>
      <xdr:col>21</xdr:col>
      <xdr:colOff>63500</xdr:colOff>
      <xdr:row>3</xdr:row>
      <xdr:rowOff>572293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625" y="0"/>
          <a:ext cx="9969500" cy="1162843"/>
        </a:xfrm>
        <a:prstGeom prst="rect">
          <a:avLst/>
        </a:prstGeom>
      </xdr:spPr>
    </xdr:pic>
    <xdr:clientData/>
  </xdr:twoCellAnchor>
  <xdr:oneCellAnchor>
    <xdr:from>
      <xdr:col>5</xdr:col>
      <xdr:colOff>598371</xdr:colOff>
      <xdr:row>5</xdr:row>
      <xdr:rowOff>123323</xdr:rowOff>
    </xdr:from>
    <xdr:ext cx="9111837" cy="44023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539691" y="1373003"/>
          <a:ext cx="9111837" cy="4402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bertus MT" panose="020E0602030304020304" pitchFamily="34" charset="0"/>
            </a:rPr>
            <a:t>RECEBIMENTOS</a:t>
          </a:r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bertus MT" panose="020E0602030304020304" pitchFamily="34" charset="0"/>
            </a:rPr>
            <a:t> GERAIS/</a:t>
          </a:r>
          <a:r>
            <a:rPr lang="pt-BR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bertus MT" panose="020E0602030304020304" pitchFamily="34" charset="0"/>
            </a:rPr>
            <a:t>HONORARIOS E DEVEDORES</a:t>
          </a:r>
        </a:p>
        <a:p>
          <a:pPr algn="ctr"/>
          <a:endParaRPr lang="pt-BR" sz="25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bertus MT" panose="020E0602030304020304" pitchFamily="34" charset="0"/>
          </a:endParaRPr>
        </a:p>
      </xdr:txBody>
    </xdr:sp>
    <xdr:clientData/>
  </xdr:oneCellAnchor>
  <xdr:twoCellAnchor>
    <xdr:from>
      <xdr:col>14</xdr:col>
      <xdr:colOff>298450</xdr:colOff>
      <xdr:row>10</xdr:row>
      <xdr:rowOff>44450</xdr:rowOff>
    </xdr:from>
    <xdr:to>
      <xdr:col>17</xdr:col>
      <xdr:colOff>12700</xdr:colOff>
      <xdr:row>16</xdr:row>
      <xdr:rowOff>234950</xdr:rowOff>
    </xdr:to>
    <xdr:sp macro="[0]!Retângulodecantosarredondados30_Clique" textlink="">
      <xdr:nvSpPr>
        <xdr:cNvPr id="31" name="Retângulo de cantos arredondados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8794750" y="2654300"/>
          <a:ext cx="1543050" cy="1409700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/>
            <a:t>CONTROLE</a:t>
          </a:r>
          <a:r>
            <a:rPr lang="pt-BR" sz="1400" b="1" i="0" baseline="0"/>
            <a:t> MEI </a:t>
          </a:r>
        </a:p>
      </xdr:txBody>
    </xdr:sp>
    <xdr:clientData/>
  </xdr:twoCellAnchor>
  <xdr:twoCellAnchor>
    <xdr:from>
      <xdr:col>22</xdr:col>
      <xdr:colOff>539750</xdr:colOff>
      <xdr:row>10</xdr:row>
      <xdr:rowOff>28575</xdr:rowOff>
    </xdr:from>
    <xdr:to>
      <xdr:col>25</xdr:col>
      <xdr:colOff>254000</xdr:colOff>
      <xdr:row>16</xdr:row>
      <xdr:rowOff>228600</xdr:rowOff>
    </xdr:to>
    <xdr:sp macro="" textlink="">
      <xdr:nvSpPr>
        <xdr:cNvPr id="33" name="Retângulo de cantos arredondados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912850" y="2638425"/>
          <a:ext cx="1543050" cy="141922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/>
            <a:t>CERTIFICADOS</a:t>
          </a:r>
        </a:p>
      </xdr:txBody>
    </xdr:sp>
    <xdr:clientData/>
  </xdr:twoCellAnchor>
  <xdr:twoCellAnchor>
    <xdr:from>
      <xdr:col>18</xdr:col>
      <xdr:colOff>73025</xdr:colOff>
      <xdr:row>10</xdr:row>
      <xdr:rowOff>0</xdr:rowOff>
    </xdr:from>
    <xdr:to>
      <xdr:col>20</xdr:col>
      <xdr:colOff>396875</xdr:colOff>
      <xdr:row>17</xdr:row>
      <xdr:rowOff>0</xdr:rowOff>
    </xdr:to>
    <xdr:sp macro="[0]!Retângulodecantosarredondados33_Clique" textlink="">
      <xdr:nvSpPr>
        <xdr:cNvPr id="34" name="Retângulo de cantos arredondados 3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1007725" y="2609850"/>
          <a:ext cx="1543050" cy="1466850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 baseline="0"/>
            <a:t>IRPF 2023</a:t>
          </a:r>
          <a:endParaRPr lang="pt-BR" sz="1400" b="1" i="0"/>
        </a:p>
      </xdr:txBody>
    </xdr:sp>
    <xdr:clientData/>
  </xdr:twoCellAnchor>
  <xdr:twoCellAnchor>
    <xdr:from>
      <xdr:col>5</xdr:col>
      <xdr:colOff>457200</xdr:colOff>
      <xdr:row>9</xdr:row>
      <xdr:rowOff>142875</xdr:rowOff>
    </xdr:from>
    <xdr:to>
      <xdr:col>7</xdr:col>
      <xdr:colOff>536575</xdr:colOff>
      <xdr:row>16</xdr:row>
      <xdr:rowOff>142875</xdr:rowOff>
    </xdr:to>
    <xdr:sp macro="" textlink="">
      <xdr:nvSpPr>
        <xdr:cNvPr id="35" name="Retângulo de cantos arredondados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314700" y="2562225"/>
          <a:ext cx="1546225" cy="1409700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/>
            <a:t>2022</a:t>
          </a:r>
        </a:p>
      </xdr:txBody>
    </xdr:sp>
    <xdr:clientData/>
  </xdr:twoCellAnchor>
  <xdr:twoCellAnchor>
    <xdr:from>
      <xdr:col>9</xdr:col>
      <xdr:colOff>247650</xdr:colOff>
      <xdr:row>9</xdr:row>
      <xdr:rowOff>180975</xdr:rowOff>
    </xdr:from>
    <xdr:to>
      <xdr:col>12</xdr:col>
      <xdr:colOff>120650</xdr:colOff>
      <xdr:row>16</xdr:row>
      <xdr:rowOff>171450</xdr:rowOff>
    </xdr:to>
    <xdr:sp macro="" textlink="">
      <xdr:nvSpPr>
        <xdr:cNvPr id="37" name="Retângulo de cantos arredondados 3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91200" y="2600325"/>
          <a:ext cx="1606550" cy="14001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/>
            <a:t>2023</a:t>
          </a:r>
        </a:p>
      </xdr:txBody>
    </xdr:sp>
    <xdr:clientData/>
  </xdr:twoCellAnchor>
  <xdr:twoCellAnchor>
    <xdr:from>
      <xdr:col>0</xdr:col>
      <xdr:colOff>396875</xdr:colOff>
      <xdr:row>9</xdr:row>
      <xdr:rowOff>127000</xdr:rowOff>
    </xdr:from>
    <xdr:to>
      <xdr:col>3</xdr:col>
      <xdr:colOff>301625</xdr:colOff>
      <xdr:row>16</xdr:row>
      <xdr:rowOff>127000</xdr:rowOff>
    </xdr:to>
    <xdr:sp macro="" textlink="">
      <xdr:nvSpPr>
        <xdr:cNvPr id="38" name="Retângulo de cantos arredondados 3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96875" y="2508250"/>
          <a:ext cx="1571625" cy="138112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/>
            <a:t>2021</a:t>
          </a:r>
          <a:endParaRPr lang="pt-BR" sz="1600" b="1" i="0"/>
        </a:p>
      </xdr:txBody>
    </xdr:sp>
    <xdr:clientData/>
  </xdr:twoCellAnchor>
  <xdr:twoCellAnchor>
    <xdr:from>
      <xdr:col>0</xdr:col>
      <xdr:colOff>396875</xdr:colOff>
      <xdr:row>27</xdr:row>
      <xdr:rowOff>95250</xdr:rowOff>
    </xdr:from>
    <xdr:to>
      <xdr:col>8</xdr:col>
      <xdr:colOff>31750</xdr:colOff>
      <xdr:row>32</xdr:row>
      <xdr:rowOff>111125</xdr:rowOff>
    </xdr:to>
    <xdr:sp macro="" textlink="">
      <xdr:nvSpPr>
        <xdr:cNvPr id="14" name="Retângulo de cantos arredondados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96875" y="5937250"/>
          <a:ext cx="450850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i="0"/>
            <a:t>CONTROLE</a:t>
          </a:r>
          <a:r>
            <a:rPr lang="pt-BR" sz="2800" b="1" i="0" baseline="0"/>
            <a:t> DE CHEQUES</a:t>
          </a:r>
          <a:endParaRPr lang="pt-BR" sz="2800" b="1" i="0"/>
        </a:p>
      </xdr:txBody>
    </xdr:sp>
    <xdr:clientData/>
  </xdr:twoCellAnchor>
  <xdr:twoCellAnchor>
    <xdr:from>
      <xdr:col>9</xdr:col>
      <xdr:colOff>152400</xdr:colOff>
      <xdr:row>27</xdr:row>
      <xdr:rowOff>79375</xdr:rowOff>
    </xdr:from>
    <xdr:to>
      <xdr:col>17</xdr:col>
      <xdr:colOff>158750</xdr:colOff>
      <xdr:row>32</xdr:row>
      <xdr:rowOff>95250</xdr:rowOff>
    </xdr:to>
    <xdr:sp macro="" textlink="">
      <xdr:nvSpPr>
        <xdr:cNvPr id="20" name="Retângulo de cantos arredondados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695950" y="6461125"/>
          <a:ext cx="478790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/>
            <a:t>CONTROLE</a:t>
          </a:r>
          <a:r>
            <a:rPr lang="pt-BR" sz="2800" b="1" i="0" baseline="0"/>
            <a:t> DE ALTERAÇÕES</a:t>
          </a:r>
          <a:endParaRPr lang="pt-BR" sz="2800" b="1" i="0"/>
        </a:p>
      </xdr:txBody>
    </xdr:sp>
    <xdr:clientData/>
  </xdr:twoCellAnchor>
  <xdr:twoCellAnchor>
    <xdr:from>
      <xdr:col>18</xdr:col>
      <xdr:colOff>63500</xdr:colOff>
      <xdr:row>19</xdr:row>
      <xdr:rowOff>15875</xdr:rowOff>
    </xdr:from>
    <xdr:to>
      <xdr:col>25</xdr:col>
      <xdr:colOff>349250</xdr:colOff>
      <xdr:row>24</xdr:row>
      <xdr:rowOff>31750</xdr:rowOff>
    </xdr:to>
    <xdr:sp macro="" textlink="">
      <xdr:nvSpPr>
        <xdr:cNvPr id="19" name="Retângulo de cantos arredondados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493375" y="4333875"/>
          <a:ext cx="450850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400" b="1" i="0"/>
            <a:t>CONTROLE</a:t>
          </a:r>
          <a:r>
            <a:rPr lang="pt-BR" sz="2400" b="1" i="0" baseline="0"/>
            <a:t> DE GASTOS MENSAIS DO ESCRITORIO</a:t>
          </a:r>
          <a:endParaRPr lang="pt-BR" sz="2400" b="1" i="0"/>
        </a:p>
      </xdr:txBody>
    </xdr:sp>
    <xdr:clientData/>
  </xdr:twoCellAnchor>
  <xdr:twoCellAnchor>
    <xdr:from>
      <xdr:col>18</xdr:col>
      <xdr:colOff>95250</xdr:colOff>
      <xdr:row>27</xdr:row>
      <xdr:rowOff>111125</xdr:rowOff>
    </xdr:from>
    <xdr:to>
      <xdr:col>25</xdr:col>
      <xdr:colOff>533400</xdr:colOff>
      <xdr:row>33</xdr:row>
      <xdr:rowOff>57150</xdr:rowOff>
    </xdr:to>
    <xdr:sp macro="" textlink="">
      <xdr:nvSpPr>
        <xdr:cNvPr id="16" name="Retângulo de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1029950" y="6511925"/>
          <a:ext cx="4705350" cy="108902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/>
            <a:t>ACESSO</a:t>
          </a:r>
          <a:r>
            <a:rPr lang="pt-BR" sz="2800" b="1" i="0" baseline="0"/>
            <a:t> AO PORTAL NFS-E MEI</a:t>
          </a:r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8</xdr:col>
      <xdr:colOff>38100</xdr:colOff>
      <xdr:row>40</xdr:row>
      <xdr:rowOff>15875</xdr:rowOff>
    </xdr:to>
    <xdr:sp macro="" textlink="">
      <xdr:nvSpPr>
        <xdr:cNvPr id="17" name="Retângulo de cantos arredondados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419100" y="7886700"/>
          <a:ext cx="455295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 baseline="0"/>
            <a:t>CLIPP PAGAMENTO</a:t>
          </a:r>
        </a:p>
      </xdr:txBody>
    </xdr:sp>
    <xdr:clientData/>
  </xdr:twoCellAnchor>
  <xdr:twoCellAnchor>
    <xdr:from>
      <xdr:col>27</xdr:col>
      <xdr:colOff>76200</xdr:colOff>
      <xdr:row>10</xdr:row>
      <xdr:rowOff>152400</xdr:rowOff>
    </xdr:from>
    <xdr:to>
      <xdr:col>32</xdr:col>
      <xdr:colOff>374650</xdr:colOff>
      <xdr:row>16</xdr:row>
      <xdr:rowOff>187325</xdr:rowOff>
    </xdr:to>
    <xdr:sp macro="" textlink="">
      <xdr:nvSpPr>
        <xdr:cNvPr id="18" name="Retângulo de cantos arredondados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5811500" y="2743200"/>
          <a:ext cx="4565650" cy="125412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i="0"/>
            <a:t>2024</a:t>
          </a:r>
        </a:p>
      </xdr:txBody>
    </xdr:sp>
    <xdr:clientData/>
  </xdr:twoCellAnchor>
  <xdr:twoCellAnchor>
    <xdr:from>
      <xdr:col>9</xdr:col>
      <xdr:colOff>152400</xdr:colOff>
      <xdr:row>20</xdr:row>
      <xdr:rowOff>0</xdr:rowOff>
    </xdr:from>
    <xdr:to>
      <xdr:col>17</xdr:col>
      <xdr:colOff>152400</xdr:colOff>
      <xdr:row>23</xdr:row>
      <xdr:rowOff>225425</xdr:rowOff>
    </xdr:to>
    <xdr:sp macro="" textlink="">
      <xdr:nvSpPr>
        <xdr:cNvPr id="21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695950" y="4838700"/>
          <a:ext cx="478155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 baseline="0"/>
            <a:t>SENHA DO GOV</a:t>
          </a:r>
        </a:p>
        <a:p>
          <a:pPr lvl="0" algn="ctr"/>
          <a:endParaRPr lang="pt-BR" sz="2800" b="1" i="0" baseline="0"/>
        </a:p>
      </xdr:txBody>
    </xdr:sp>
    <xdr:clientData/>
  </xdr:twoCellAnchor>
  <xdr:twoCellAnchor>
    <xdr:from>
      <xdr:col>0</xdr:col>
      <xdr:colOff>342900</xdr:colOff>
      <xdr:row>20</xdr:row>
      <xdr:rowOff>19050</xdr:rowOff>
    </xdr:from>
    <xdr:to>
      <xdr:col>7</xdr:col>
      <xdr:colOff>571500</xdr:colOff>
      <xdr:row>23</xdr:row>
      <xdr:rowOff>244475</xdr:rowOff>
    </xdr:to>
    <xdr:sp macro="" textlink="">
      <xdr:nvSpPr>
        <xdr:cNvPr id="22" name="Retângulo de cantos arredondados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42900" y="4857750"/>
          <a:ext cx="4552950" cy="968375"/>
        </a:xfrm>
        <a:prstGeom prst="roundRect">
          <a:avLst/>
        </a:prstGeom>
        <a:solidFill>
          <a:schemeClr val="tx2">
            <a:lumMod val="75000"/>
          </a:schemeClr>
        </a:solidFill>
        <a:ln w="952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 baseline="0">
              <a:solidFill>
                <a:schemeClr val="bg1"/>
              </a:solidFill>
            </a:rPr>
            <a:t>IMPOSTO DE RENDA 2024</a:t>
          </a:r>
        </a:p>
        <a:p>
          <a:pPr lvl="0" algn="ctr"/>
          <a:r>
            <a:rPr lang="pt-BR" sz="2800" b="1" i="0" baseline="0">
              <a:solidFill>
                <a:schemeClr val="bg1"/>
              </a:solidFill>
            </a:rPr>
            <a:t>PAGAMENTOS IRPF 24</a:t>
          </a:r>
        </a:p>
        <a:p>
          <a:pPr lvl="0" algn="ctr"/>
          <a:endParaRPr lang="pt-BR" sz="2800" b="1" i="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114300</xdr:colOff>
      <xdr:row>19</xdr:row>
      <xdr:rowOff>57150</xdr:rowOff>
    </xdr:from>
    <xdr:to>
      <xdr:col>32</xdr:col>
      <xdr:colOff>412750</xdr:colOff>
      <xdr:row>24</xdr:row>
      <xdr:rowOff>73025</xdr:rowOff>
    </xdr:to>
    <xdr:sp macro="" textlink="">
      <xdr:nvSpPr>
        <xdr:cNvPr id="3" name="Retângulo de cantos arredondados 2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1D229A4-2FCA-4938-8BE6-DC4154128524}"/>
            </a:ext>
          </a:extLst>
        </xdr:cNvPr>
        <xdr:cNvSpPr/>
      </xdr:nvSpPr>
      <xdr:spPr>
        <a:xfrm>
          <a:off x="16230600" y="4648200"/>
          <a:ext cx="4565650" cy="125412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i="0"/>
            <a:t>2025</a:t>
          </a:r>
        </a:p>
      </xdr:txBody>
    </xdr:sp>
    <xdr:clientData/>
  </xdr:twoCellAnchor>
  <xdr:twoCellAnchor>
    <xdr:from>
      <xdr:col>27</xdr:col>
      <xdr:colOff>76200</xdr:colOff>
      <xdr:row>27</xdr:row>
      <xdr:rowOff>95250</xdr:rowOff>
    </xdr:from>
    <xdr:to>
      <xdr:col>32</xdr:col>
      <xdr:colOff>596900</xdr:colOff>
      <xdr:row>32</xdr:row>
      <xdr:rowOff>111125</xdr:rowOff>
    </xdr:to>
    <xdr:sp macro="" textlink="">
      <xdr:nvSpPr>
        <xdr:cNvPr id="23" name="Retângulo de cantos arredondados 1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94AB59A-42C7-4EBA-B0C9-8A8BA1445720}"/>
            </a:ext>
          </a:extLst>
        </xdr:cNvPr>
        <xdr:cNvSpPr/>
      </xdr:nvSpPr>
      <xdr:spPr>
        <a:xfrm>
          <a:off x="16192500" y="6496050"/>
          <a:ext cx="4787900" cy="968375"/>
        </a:xfrm>
        <a:prstGeom prst="roundRect">
          <a:avLst/>
        </a:prstGeom>
        <a:solidFill>
          <a:schemeClr val="tx2">
            <a:lumMod val="75000"/>
          </a:schemeClr>
        </a:solidFill>
        <a:ln w="19050">
          <a:solidFill>
            <a:srgbClr val="00F2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800" b="1" i="0">
              <a:solidFill>
                <a:srgbClr val="00F296"/>
              </a:solidFill>
            </a:rPr>
            <a:t>IMPOSTO DE RENDA 2025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19051</xdr:colOff>
      <xdr:row>12</xdr:row>
      <xdr:rowOff>57147</xdr:rowOff>
    </xdr:from>
    <xdr:to>
      <xdr:col>4</xdr:col>
      <xdr:colOff>609601</xdr:colOff>
      <xdr:row>14</xdr:row>
      <xdr:rowOff>95248</xdr:rowOff>
    </xdr:to>
    <xdr:sp macro="" textlink="">
      <xdr:nvSpPr>
        <xdr:cNvPr id="2" name="Seta dobrada para cim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0800000" flipH="1">
          <a:off x="3705226" y="2409822"/>
          <a:ext cx="590550" cy="419101"/>
        </a:xfrm>
        <a:prstGeom prst="bent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00000000}" name="Tabela74" displayName="Tabela74" ref="D8:G272" totalsRowShown="0" headerRowDxfId="883" dataDxfId="882">
  <autoFilter ref="D8:G272" xr:uid="{00000000-0009-0000-0100-00004A000000}"/>
  <tableColumns count="4">
    <tableColumn id="1" xr3:uid="{00000000-0010-0000-0000-000001000000}" name="NOME" dataDxfId="881"/>
    <tableColumn id="3" xr3:uid="{00000000-0010-0000-0000-000003000000}" name="VALOR" dataDxfId="880" dataCellStyle="Moeda"/>
    <tableColumn id="5" xr3:uid="{00000000-0010-0000-0000-000005000000}" name="CONTA" dataDxfId="879" dataCellStyle="Moeda"/>
    <tableColumn id="4" xr3:uid="{00000000-0010-0000-0000-000004000000}" name="DATA DE DEPÓSITO" dataDxfId="87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C5:D23" totalsRowShown="0" headerRowDxfId="877" headerRowBorderDxfId="876" tableBorderDxfId="875" totalsRowBorderDxfId="874">
  <autoFilter ref="C5:D23" xr:uid="{00000000-0009-0000-0100-000003000000}"/>
  <tableColumns count="2">
    <tableColumn id="1" xr3:uid="{00000000-0010-0000-0100-000001000000}" name="DATA" dataDxfId="873"/>
    <tableColumn id="2" xr3:uid="{00000000-0010-0000-0100-000002000000}" name="VALOR" dataDxfId="87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G6:G7" totalsRowShown="0" headerRowDxfId="871" dataDxfId="870">
  <autoFilter ref="G6:G7" xr:uid="{00000000-0009-0000-0100-000004000000}"/>
  <tableColumns count="1">
    <tableColumn id="1" xr3:uid="{00000000-0010-0000-0200-000001000000}" name="DIVIDA ATUAL" dataDxfId="869">
      <calculatedColumnFormula>D6-K12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3000000}" name="Tabela55" displayName="Tabela55" ref="B5:F106" totalsRowShown="0" headerRowDxfId="868" dataDxfId="867">
  <autoFilter ref="B5:F106" xr:uid="{00000000-0009-0000-0100-000037000000}"/>
  <sortState xmlns:xlrd2="http://schemas.microsoft.com/office/spreadsheetml/2017/richdata2" ref="B6:F104">
    <sortCondition ref="D5:D104"/>
  </sortState>
  <tableColumns count="5">
    <tableColumn id="5" xr3:uid="{00000000-0010-0000-0300-000005000000}" name="CPF" dataDxfId="866"/>
    <tableColumn id="1" xr3:uid="{00000000-0010-0000-0300-000001000000}" name="CNPJ" dataDxfId="865"/>
    <tableColumn id="2" xr3:uid="{00000000-0010-0000-0300-000002000000}" name="NOME" dataDxfId="864"/>
    <tableColumn id="3" xr3:uid="{00000000-0010-0000-0300-000003000000}" name="TELEFONE" dataDxfId="863"/>
    <tableColumn id="6" xr3:uid="{00000000-0010-0000-0300-000006000000}" name="COD SIMEI" dataDxfId="862" dataCellStyle="Moeda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ela1" displayName="Tabela1" ref="B5:E49" totalsRowShown="0" headerRowDxfId="4">
  <autoFilter ref="B5:E49" xr:uid="{00000000-0009-0000-0100-000001000000}"/>
  <sortState xmlns:xlrd2="http://schemas.microsoft.com/office/spreadsheetml/2017/richdata2" ref="B6:E49">
    <sortCondition ref="E7"/>
  </sortState>
  <tableColumns count="4">
    <tableColumn id="1" xr3:uid="{00000000-0010-0000-0400-000001000000}" name="Dia" dataDxfId="3"/>
    <tableColumn id="2" xr3:uid="{00000000-0010-0000-0400-000002000000}" name="Nome" dataDxfId="2"/>
    <tableColumn id="3" xr3:uid="{00000000-0010-0000-0400-000003000000}" name="Valor" dataDxfId="1"/>
    <tableColumn id="4" xr3:uid="{00000000-0010-0000-0400-000004000000}" name="referente 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ombra Superior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@c101316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psm@102030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mailto:Er15032007@" TargetMode="External"/><Relationship Id="rId7" Type="http://schemas.openxmlformats.org/officeDocument/2006/relationships/table" Target="../tables/table4.xml"/><Relationship Id="rId2" Type="http://schemas.openxmlformats.org/officeDocument/2006/relationships/hyperlink" Target="mailto:Mab@1020" TargetMode="External"/><Relationship Id="rId1" Type="http://schemas.openxmlformats.org/officeDocument/2006/relationships/hyperlink" Target="mailto:Mpsm@102030" TargetMode="External"/><Relationship Id="rId6" Type="http://schemas.openxmlformats.org/officeDocument/2006/relationships/printerSettings" Target="../printerSettings/printerSettings14.bin"/><Relationship Id="rId5" Type="http://schemas.openxmlformats.org/officeDocument/2006/relationships/hyperlink" Target="mailto:Gabi2025@#" TargetMode="External"/><Relationship Id="rId4" Type="http://schemas.openxmlformats.org/officeDocument/2006/relationships/hyperlink" Target="mailto:QAz9182@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5"/>
  <dimension ref="A1:AR383"/>
  <sheetViews>
    <sheetView zoomScale="80" zoomScaleNormal="80" workbookViewId="0">
      <pane ySplit="1" topLeftCell="A28" activePane="bottomLeft" state="frozen"/>
      <selection pane="bottomLeft" activeCell="C1" sqref="C1"/>
    </sheetView>
  </sheetViews>
  <sheetFormatPr defaultColWidth="9.140625" defaultRowHeight="15"/>
  <cols>
    <col min="1" max="1" width="43.5703125" style="150" customWidth="1"/>
    <col min="2" max="2" width="18" style="149" customWidth="1"/>
    <col min="3" max="3" width="39.5703125" style="149" customWidth="1"/>
    <col min="4" max="4" width="9.140625" style="148"/>
    <col min="5" max="5" width="11.7109375" style="148" customWidth="1"/>
    <col min="6" max="6" width="9.140625" style="148"/>
    <col min="7" max="7" width="18.42578125" style="148" customWidth="1"/>
    <col min="8" max="16384" width="9.140625" style="148"/>
  </cols>
  <sheetData>
    <row r="1" spans="1:9" s="131" customFormat="1" ht="32.25" customHeight="1" thickBot="1">
      <c r="B1" s="135"/>
      <c r="C1" s="176" t="s">
        <v>406</v>
      </c>
    </row>
    <row r="2" spans="1:9" s="315" customFormat="1" ht="39" customHeight="1">
      <c r="A2" s="313" t="s">
        <v>776</v>
      </c>
      <c r="B2" s="314" t="s">
        <v>301</v>
      </c>
      <c r="C2" s="314" t="s">
        <v>775</v>
      </c>
      <c r="D2" s="439"/>
      <c r="E2" s="440"/>
      <c r="F2" s="440"/>
      <c r="G2" s="440"/>
      <c r="H2" s="440"/>
      <c r="I2" s="441"/>
    </row>
    <row r="3" spans="1:9" s="163" customFormat="1">
      <c r="A3" s="165" t="s">
        <v>774</v>
      </c>
      <c r="B3" s="164"/>
      <c r="C3" s="164"/>
    </row>
    <row r="4" spans="1:9" s="151" customFormat="1">
      <c r="A4" s="153" t="s">
        <v>773</v>
      </c>
      <c r="B4" s="152"/>
      <c r="C4" s="152" t="s">
        <v>410</v>
      </c>
    </row>
    <row r="5" spans="1:9" s="151" customFormat="1">
      <c r="A5" s="153" t="s">
        <v>772</v>
      </c>
      <c r="B5" s="152"/>
      <c r="C5" s="152" t="s">
        <v>410</v>
      </c>
    </row>
    <row r="6" spans="1:9" s="163" customFormat="1">
      <c r="A6" s="165" t="s">
        <v>771</v>
      </c>
      <c r="B6" s="164" t="s">
        <v>770</v>
      </c>
      <c r="C6" s="164"/>
    </row>
    <row r="7" spans="1:9" s="151" customFormat="1">
      <c r="A7" s="153" t="s">
        <v>769</v>
      </c>
      <c r="B7" s="152"/>
      <c r="C7" s="152" t="s">
        <v>410</v>
      </c>
    </row>
    <row r="8" spans="1:9" s="163" customFormat="1">
      <c r="A8" s="165" t="s">
        <v>768</v>
      </c>
      <c r="B8" s="164"/>
      <c r="C8" s="164"/>
    </row>
    <row r="9" spans="1:9" s="290" customFormat="1">
      <c r="A9" s="288" t="s">
        <v>767</v>
      </c>
      <c r="B9" s="289"/>
      <c r="C9" s="289" t="s">
        <v>384</v>
      </c>
    </row>
    <row r="10" spans="1:9" s="151" customFormat="1">
      <c r="A10" s="153" t="s">
        <v>766</v>
      </c>
      <c r="B10" s="152"/>
      <c r="C10" s="152" t="s">
        <v>415</v>
      </c>
    </row>
    <row r="11" spans="1:9" s="163" customFormat="1">
      <c r="A11" s="165" t="s">
        <v>765</v>
      </c>
      <c r="B11" s="164"/>
      <c r="C11" s="164"/>
    </row>
    <row r="12" spans="1:9" s="151" customFormat="1">
      <c r="A12" s="153" t="s">
        <v>764</v>
      </c>
      <c r="B12" s="166">
        <v>45065</v>
      </c>
      <c r="C12" s="152" t="s">
        <v>386</v>
      </c>
    </row>
    <row r="13" spans="1:9" s="151" customFormat="1">
      <c r="A13" s="153" t="s">
        <v>763</v>
      </c>
      <c r="B13" s="152"/>
      <c r="C13" s="152" t="s">
        <v>386</v>
      </c>
    </row>
    <row r="14" spans="1:9" s="290" customFormat="1">
      <c r="A14" s="288" t="s">
        <v>762</v>
      </c>
      <c r="B14" s="289"/>
      <c r="C14" s="289" t="s">
        <v>384</v>
      </c>
    </row>
    <row r="15" spans="1:9" s="290" customFormat="1">
      <c r="A15" s="288" t="s">
        <v>761</v>
      </c>
      <c r="B15" s="289"/>
      <c r="C15" s="289" t="s">
        <v>384</v>
      </c>
    </row>
    <row r="16" spans="1:9" s="290" customFormat="1">
      <c r="A16" s="288" t="s">
        <v>760</v>
      </c>
      <c r="B16" s="289"/>
      <c r="C16" s="289" t="s">
        <v>386</v>
      </c>
    </row>
    <row r="17" spans="1:3" s="151" customFormat="1">
      <c r="A17" s="153" t="s">
        <v>759</v>
      </c>
      <c r="B17" s="166">
        <v>45069</v>
      </c>
      <c r="C17" s="152" t="s">
        <v>384</v>
      </c>
    </row>
    <row r="18" spans="1:3" s="290" customFormat="1">
      <c r="A18" s="292" t="s">
        <v>758</v>
      </c>
      <c r="B18" s="289"/>
      <c r="C18" s="289" t="s">
        <v>384</v>
      </c>
    </row>
    <row r="19" spans="1:3" s="290" customFormat="1">
      <c r="A19" s="288" t="s">
        <v>757</v>
      </c>
      <c r="B19" s="289"/>
      <c r="C19" s="289"/>
    </row>
    <row r="20" spans="1:3" s="290" customFormat="1">
      <c r="A20" s="288" t="s">
        <v>7</v>
      </c>
      <c r="B20" s="289"/>
      <c r="C20" s="289" t="s">
        <v>386</v>
      </c>
    </row>
    <row r="21" spans="1:3" s="290" customFormat="1">
      <c r="A21" s="288" t="s">
        <v>756</v>
      </c>
      <c r="B21" s="289"/>
      <c r="C21" s="289"/>
    </row>
    <row r="22" spans="1:3" s="151" customFormat="1">
      <c r="A22" s="153" t="s">
        <v>755</v>
      </c>
      <c r="B22" s="152"/>
      <c r="C22" s="152"/>
    </row>
    <row r="23" spans="1:3" s="290" customFormat="1" ht="14.25" customHeight="1">
      <c r="A23" s="288" t="s">
        <v>754</v>
      </c>
      <c r="B23" s="289"/>
      <c r="C23" s="289"/>
    </row>
    <row r="24" spans="1:3" s="163" customFormat="1" ht="14.25" customHeight="1">
      <c r="A24" s="165" t="s">
        <v>753</v>
      </c>
      <c r="B24" s="164"/>
      <c r="C24" s="164"/>
    </row>
    <row r="25" spans="1:3" s="154" customFormat="1">
      <c r="A25" s="156" t="s">
        <v>752</v>
      </c>
      <c r="B25" s="155"/>
      <c r="C25" s="155"/>
    </row>
    <row r="26" spans="1:3" s="154" customFormat="1">
      <c r="A26" s="156" t="s">
        <v>751</v>
      </c>
      <c r="B26" s="155" t="s">
        <v>1109</v>
      </c>
      <c r="C26" s="155" t="s">
        <v>1054</v>
      </c>
    </row>
    <row r="27" spans="1:3" s="290" customFormat="1">
      <c r="A27" s="293" t="s">
        <v>750</v>
      </c>
      <c r="B27" s="291">
        <v>45072</v>
      </c>
      <c r="C27" s="289" t="s">
        <v>384</v>
      </c>
    </row>
    <row r="28" spans="1:3" s="151" customFormat="1">
      <c r="A28" s="174" t="s">
        <v>749</v>
      </c>
      <c r="B28" s="152"/>
      <c r="C28" s="152" t="s">
        <v>384</v>
      </c>
    </row>
    <row r="29" spans="1:3" s="151" customFormat="1">
      <c r="A29" s="151" t="s">
        <v>748</v>
      </c>
      <c r="B29" s="152"/>
      <c r="C29" s="152" t="s">
        <v>410</v>
      </c>
    </row>
    <row r="30" spans="1:3" s="154" customFormat="1">
      <c r="A30" s="154" t="s">
        <v>747</v>
      </c>
      <c r="B30" s="155"/>
      <c r="C30" s="155"/>
    </row>
    <row r="31" spans="1:3" s="151" customFormat="1">
      <c r="A31" s="151" t="s">
        <v>746</v>
      </c>
      <c r="B31" s="152"/>
      <c r="C31" s="152" t="s">
        <v>410</v>
      </c>
    </row>
    <row r="32" spans="1:3" s="154" customFormat="1">
      <c r="A32" s="154" t="s">
        <v>745</v>
      </c>
      <c r="B32" s="155"/>
      <c r="C32" s="155"/>
    </row>
    <row r="33" spans="1:3" s="154" customFormat="1">
      <c r="A33" s="154" t="s">
        <v>744</v>
      </c>
      <c r="B33" s="155"/>
      <c r="C33" s="155"/>
    </row>
    <row r="34" spans="1:3" s="154" customFormat="1">
      <c r="A34" s="154" t="s">
        <v>743</v>
      </c>
      <c r="B34" s="155"/>
      <c r="C34" s="155"/>
    </row>
    <row r="35" spans="1:3" s="151" customFormat="1">
      <c r="A35" s="151" t="s">
        <v>742</v>
      </c>
      <c r="B35" s="152"/>
      <c r="C35" s="152" t="s">
        <v>410</v>
      </c>
    </row>
    <row r="36" spans="1:3" s="154" customFormat="1">
      <c r="A36" s="154" t="s">
        <v>741</v>
      </c>
      <c r="B36" s="155"/>
      <c r="C36" s="155"/>
    </row>
    <row r="37" spans="1:3" s="290" customFormat="1">
      <c r="A37" s="290" t="s">
        <v>740</v>
      </c>
      <c r="B37" s="289"/>
      <c r="C37" s="289" t="s">
        <v>386</v>
      </c>
    </row>
    <row r="38" spans="1:3" s="151" customFormat="1">
      <c r="A38" s="174" t="s">
        <v>739</v>
      </c>
      <c r="B38" s="166">
        <v>45057</v>
      </c>
      <c r="C38" s="152" t="s">
        <v>384</v>
      </c>
    </row>
    <row r="39" spans="1:3" s="154" customFormat="1">
      <c r="A39" s="175" t="s">
        <v>738</v>
      </c>
      <c r="B39" s="155"/>
      <c r="C39" s="155"/>
    </row>
    <row r="40" spans="1:3" s="151" customFormat="1">
      <c r="A40" s="174" t="s">
        <v>737</v>
      </c>
      <c r="B40" s="152"/>
      <c r="C40" s="152" t="s">
        <v>410</v>
      </c>
    </row>
    <row r="41" spans="1:3" s="290" customFormat="1">
      <c r="A41" s="293" t="s">
        <v>736</v>
      </c>
      <c r="B41" s="289"/>
      <c r="C41" s="289"/>
    </row>
    <row r="42" spans="1:3" s="151" customFormat="1">
      <c r="A42" s="174" t="s">
        <v>735</v>
      </c>
      <c r="B42" s="152"/>
      <c r="C42" s="152" t="s">
        <v>386</v>
      </c>
    </row>
    <row r="43" spans="1:3" s="151" customFormat="1">
      <c r="A43" s="174" t="s">
        <v>734</v>
      </c>
      <c r="B43" s="152"/>
      <c r="C43" s="152" t="s">
        <v>415</v>
      </c>
    </row>
    <row r="44" spans="1:3" s="151" customFormat="1">
      <c r="A44" s="174" t="s">
        <v>733</v>
      </c>
      <c r="B44" s="152"/>
      <c r="C44" s="152" t="s">
        <v>415</v>
      </c>
    </row>
    <row r="45" spans="1:3" s="290" customFormat="1">
      <c r="A45" s="293" t="s">
        <v>732</v>
      </c>
      <c r="B45" s="289"/>
      <c r="C45" s="289"/>
    </row>
    <row r="46" spans="1:3" s="151" customFormat="1">
      <c r="A46" s="151" t="s">
        <v>731</v>
      </c>
      <c r="B46" s="166">
        <v>45061</v>
      </c>
      <c r="C46" s="152" t="s">
        <v>386</v>
      </c>
    </row>
    <row r="47" spans="1:3" s="154" customFormat="1">
      <c r="A47" s="154" t="s">
        <v>730</v>
      </c>
      <c r="B47" s="155"/>
      <c r="C47" s="155"/>
    </row>
    <row r="48" spans="1:3" s="290" customFormat="1">
      <c r="A48" s="290" t="s">
        <v>274</v>
      </c>
      <c r="B48" s="289"/>
      <c r="C48" s="289" t="s">
        <v>386</v>
      </c>
    </row>
    <row r="49" spans="1:3" s="290" customFormat="1">
      <c r="A49" s="290" t="s">
        <v>729</v>
      </c>
      <c r="B49" s="289"/>
      <c r="C49" s="289"/>
    </row>
    <row r="50" spans="1:3" s="290" customFormat="1">
      <c r="A50" s="290" t="s">
        <v>728</v>
      </c>
      <c r="B50" s="289"/>
      <c r="C50" s="289"/>
    </row>
    <row r="51" spans="1:3" s="151" customFormat="1">
      <c r="A51" s="151" t="s">
        <v>727</v>
      </c>
      <c r="B51" s="152"/>
      <c r="C51" s="152" t="s">
        <v>412</v>
      </c>
    </row>
    <row r="52" spans="1:3" s="162" customFormat="1">
      <c r="A52" s="162" t="s">
        <v>726</v>
      </c>
      <c r="B52" s="168">
        <v>45070</v>
      </c>
      <c r="C52" s="160" t="s">
        <v>384</v>
      </c>
    </row>
    <row r="53" spans="1:3" s="151" customFormat="1">
      <c r="A53" s="151" t="s">
        <v>725</v>
      </c>
      <c r="B53" s="152"/>
      <c r="C53" s="152" t="s">
        <v>415</v>
      </c>
    </row>
    <row r="54" spans="1:3" s="151" customFormat="1">
      <c r="A54" s="174" t="s">
        <v>724</v>
      </c>
      <c r="B54" s="152"/>
      <c r="C54" s="152" t="s">
        <v>415</v>
      </c>
    </row>
    <row r="55" spans="1:3" s="151" customFormat="1">
      <c r="A55" s="174" t="s">
        <v>723</v>
      </c>
      <c r="B55" s="166">
        <v>45057</v>
      </c>
      <c r="C55" s="152" t="s">
        <v>384</v>
      </c>
    </row>
    <row r="56" spans="1:3" s="290" customFormat="1">
      <c r="A56" s="290" t="s">
        <v>722</v>
      </c>
      <c r="B56" s="289"/>
      <c r="C56" s="289" t="s">
        <v>386</v>
      </c>
    </row>
    <row r="57" spans="1:3" s="151" customFormat="1">
      <c r="A57" s="151" t="s">
        <v>721</v>
      </c>
      <c r="B57" s="152"/>
      <c r="C57" s="152" t="s">
        <v>410</v>
      </c>
    </row>
    <row r="58" spans="1:3" s="151" customFormat="1">
      <c r="A58" s="174" t="s">
        <v>720</v>
      </c>
      <c r="B58" s="166"/>
      <c r="C58" s="152" t="s">
        <v>386</v>
      </c>
    </row>
    <row r="59" spans="1:3" s="290" customFormat="1">
      <c r="A59" s="290" t="s">
        <v>219</v>
      </c>
      <c r="B59" s="289"/>
      <c r="C59" s="289"/>
    </row>
    <row r="60" spans="1:3" s="290" customFormat="1">
      <c r="A60" s="290" t="s">
        <v>719</v>
      </c>
      <c r="B60" s="289"/>
      <c r="C60" s="289" t="s">
        <v>386</v>
      </c>
    </row>
    <row r="61" spans="1:3" s="290" customFormat="1">
      <c r="A61" s="293" t="s">
        <v>718</v>
      </c>
      <c r="B61" s="289"/>
      <c r="C61" s="289"/>
    </row>
    <row r="62" spans="1:3" s="151" customFormat="1">
      <c r="A62" s="174" t="s">
        <v>717</v>
      </c>
      <c r="B62" s="152"/>
      <c r="C62" s="152" t="s">
        <v>386</v>
      </c>
    </row>
    <row r="63" spans="1:3" s="151" customFormat="1">
      <c r="A63" s="151" t="s">
        <v>716</v>
      </c>
      <c r="B63" s="166">
        <v>45061</v>
      </c>
      <c r="C63" s="152" t="s">
        <v>384</v>
      </c>
    </row>
    <row r="64" spans="1:3" s="151" customFormat="1">
      <c r="A64" s="174" t="s">
        <v>715</v>
      </c>
      <c r="B64" s="166">
        <v>45061</v>
      </c>
      <c r="C64" s="152" t="s">
        <v>386</v>
      </c>
    </row>
    <row r="65" spans="1:3" s="154" customFormat="1" ht="15.75">
      <c r="A65" s="156" t="s">
        <v>714</v>
      </c>
      <c r="B65" s="155"/>
      <c r="C65" s="311" t="s">
        <v>1109</v>
      </c>
    </row>
    <row r="66" spans="1:3" s="162" customFormat="1">
      <c r="A66" s="161" t="s">
        <v>713</v>
      </c>
      <c r="B66" s="168">
        <v>45072</v>
      </c>
      <c r="C66" s="160" t="s">
        <v>384</v>
      </c>
    </row>
    <row r="67" spans="1:3" s="290" customFormat="1">
      <c r="A67" s="288" t="s">
        <v>712</v>
      </c>
      <c r="B67" s="289"/>
      <c r="C67" s="289" t="s">
        <v>384</v>
      </c>
    </row>
    <row r="68" spans="1:3" s="163" customFormat="1">
      <c r="A68" s="165" t="s">
        <v>711</v>
      </c>
      <c r="B68" s="164"/>
      <c r="C68" s="164"/>
    </row>
    <row r="69" spans="1:3" s="151" customFormat="1">
      <c r="A69" s="153" t="s">
        <v>710</v>
      </c>
      <c r="B69" s="152"/>
      <c r="C69" s="152" t="s">
        <v>415</v>
      </c>
    </row>
    <row r="70" spans="1:3" s="290" customFormat="1">
      <c r="A70" s="288" t="s">
        <v>709</v>
      </c>
      <c r="B70" s="289"/>
      <c r="C70" s="289" t="s">
        <v>1054</v>
      </c>
    </row>
    <row r="71" spans="1:3" s="151" customFormat="1">
      <c r="A71" s="153" t="s">
        <v>708</v>
      </c>
      <c r="B71" s="152"/>
      <c r="C71" s="152" t="s">
        <v>410</v>
      </c>
    </row>
    <row r="72" spans="1:3" s="290" customFormat="1">
      <c r="A72" s="288" t="s">
        <v>707</v>
      </c>
      <c r="B72" s="289"/>
      <c r="C72" s="289"/>
    </row>
    <row r="73" spans="1:3" s="151" customFormat="1">
      <c r="A73" s="153" t="s">
        <v>706</v>
      </c>
      <c r="B73" s="152"/>
      <c r="C73" s="152" t="s">
        <v>410</v>
      </c>
    </row>
    <row r="74" spans="1:3" s="154" customFormat="1">
      <c r="A74" s="156" t="s">
        <v>705</v>
      </c>
      <c r="B74" s="155"/>
      <c r="C74" s="155" t="s">
        <v>1110</v>
      </c>
    </row>
    <row r="75" spans="1:3" s="290" customFormat="1">
      <c r="A75" s="288" t="s">
        <v>704</v>
      </c>
      <c r="B75" s="289"/>
      <c r="C75" s="289" t="s">
        <v>384</v>
      </c>
    </row>
    <row r="76" spans="1:3" s="163" customFormat="1">
      <c r="A76" s="165" t="s">
        <v>703</v>
      </c>
      <c r="B76" s="164"/>
      <c r="C76" s="164"/>
    </row>
    <row r="77" spans="1:3" s="151" customFormat="1">
      <c r="A77" s="153" t="s">
        <v>702</v>
      </c>
      <c r="B77" s="152"/>
      <c r="C77" s="152"/>
    </row>
    <row r="78" spans="1:3" s="151" customFormat="1">
      <c r="A78" s="153" t="s">
        <v>701</v>
      </c>
      <c r="B78" s="152"/>
      <c r="C78" s="152" t="s">
        <v>386</v>
      </c>
    </row>
    <row r="79" spans="1:3" s="154" customFormat="1" ht="18" customHeight="1">
      <c r="A79" s="175" t="s">
        <v>277</v>
      </c>
      <c r="B79" s="155"/>
      <c r="C79" s="155"/>
    </row>
    <row r="80" spans="1:3" s="290" customFormat="1">
      <c r="A80" s="288" t="s">
        <v>700</v>
      </c>
      <c r="B80" s="289"/>
      <c r="C80" s="289" t="s">
        <v>385</v>
      </c>
    </row>
    <row r="81" spans="1:3" s="151" customFormat="1">
      <c r="A81" s="153" t="s">
        <v>699</v>
      </c>
      <c r="B81" s="152"/>
      <c r="C81" s="152" t="s">
        <v>410</v>
      </c>
    </row>
    <row r="82" spans="1:3" s="151" customFormat="1">
      <c r="A82" s="153" t="s">
        <v>698</v>
      </c>
      <c r="B82" s="166">
        <v>45084</v>
      </c>
      <c r="C82" s="152" t="s">
        <v>386</v>
      </c>
    </row>
    <row r="83" spans="1:3" s="163" customFormat="1">
      <c r="A83" s="165" t="s">
        <v>258</v>
      </c>
      <c r="B83" s="164"/>
      <c r="C83" s="164"/>
    </row>
    <row r="84" spans="1:3" s="151" customFormat="1">
      <c r="A84" s="153" t="s">
        <v>697</v>
      </c>
      <c r="B84" s="152"/>
      <c r="C84" s="152" t="s">
        <v>465</v>
      </c>
    </row>
    <row r="85" spans="1:3" s="290" customFormat="1">
      <c r="A85" s="288" t="s">
        <v>696</v>
      </c>
      <c r="B85" s="289"/>
      <c r="C85" s="289"/>
    </row>
    <row r="86" spans="1:3" s="290" customFormat="1">
      <c r="A86" s="288" t="s">
        <v>695</v>
      </c>
      <c r="B86" s="289"/>
      <c r="C86" s="289"/>
    </row>
    <row r="87" spans="1:3" s="290" customFormat="1">
      <c r="A87" s="288" t="s">
        <v>694</v>
      </c>
      <c r="B87" s="289"/>
      <c r="C87" s="289"/>
    </row>
    <row r="88" spans="1:3" s="151" customFormat="1">
      <c r="A88" s="153" t="s">
        <v>693</v>
      </c>
      <c r="B88" s="166">
        <v>45054</v>
      </c>
      <c r="C88" s="152" t="s">
        <v>384</v>
      </c>
    </row>
    <row r="89" spans="1:3" s="151" customFormat="1">
      <c r="A89" s="153" t="s">
        <v>692</v>
      </c>
      <c r="B89" s="152"/>
      <c r="C89" s="152" t="s">
        <v>410</v>
      </c>
    </row>
    <row r="90" spans="1:3" s="154" customFormat="1">
      <c r="A90" s="156" t="s">
        <v>691</v>
      </c>
      <c r="B90" s="155"/>
      <c r="C90" s="155" t="s">
        <v>1054</v>
      </c>
    </row>
    <row r="91" spans="1:3" s="151" customFormat="1">
      <c r="A91" s="153" t="s">
        <v>690</v>
      </c>
      <c r="B91" s="166">
        <v>45068</v>
      </c>
      <c r="C91" s="152" t="s">
        <v>384</v>
      </c>
    </row>
    <row r="92" spans="1:3" s="290" customFormat="1">
      <c r="A92" s="288" t="s">
        <v>689</v>
      </c>
      <c r="B92" s="289"/>
      <c r="C92" s="289" t="s">
        <v>412</v>
      </c>
    </row>
    <row r="93" spans="1:3" s="163" customFormat="1">
      <c r="A93" s="165" t="s">
        <v>688</v>
      </c>
      <c r="B93" s="164"/>
      <c r="C93" s="164" t="s">
        <v>1111</v>
      </c>
    </row>
    <row r="94" spans="1:3" s="162" customFormat="1">
      <c r="A94" s="161" t="s">
        <v>687</v>
      </c>
      <c r="B94" s="168">
        <v>45077</v>
      </c>
      <c r="C94" s="160" t="s">
        <v>384</v>
      </c>
    </row>
    <row r="95" spans="1:3" s="162" customFormat="1">
      <c r="A95" s="161" t="s">
        <v>686</v>
      </c>
      <c r="B95" s="168"/>
      <c r="C95" s="160"/>
    </row>
    <row r="96" spans="1:3" s="151" customFormat="1">
      <c r="A96" s="153" t="s">
        <v>685</v>
      </c>
      <c r="B96" s="152"/>
      <c r="C96" s="152" t="s">
        <v>415</v>
      </c>
    </row>
    <row r="97" spans="1:3" s="151" customFormat="1">
      <c r="A97" s="153" t="s">
        <v>684</v>
      </c>
      <c r="B97" s="152"/>
      <c r="C97" s="152"/>
    </row>
    <row r="98" spans="1:3" s="151" customFormat="1">
      <c r="A98" s="153" t="s">
        <v>683</v>
      </c>
      <c r="B98" s="166">
        <v>45054</v>
      </c>
      <c r="C98" s="152" t="s">
        <v>682</v>
      </c>
    </row>
    <row r="99" spans="1:3" s="151" customFormat="1">
      <c r="A99" s="153" t="s">
        <v>681</v>
      </c>
      <c r="B99" s="152"/>
      <c r="C99" s="152" t="s">
        <v>415</v>
      </c>
    </row>
    <row r="100" spans="1:3" s="154" customFormat="1">
      <c r="A100" s="156" t="s">
        <v>1055</v>
      </c>
      <c r="B100" s="155"/>
      <c r="C100" s="155"/>
    </row>
    <row r="101" spans="1:3" s="171" customFormat="1">
      <c r="A101" s="173" t="s">
        <v>680</v>
      </c>
      <c r="B101" s="172"/>
      <c r="C101" s="172" t="s">
        <v>415</v>
      </c>
    </row>
    <row r="102" spans="1:3" s="290" customFormat="1">
      <c r="A102" s="288" t="s">
        <v>679</v>
      </c>
      <c r="B102" s="289"/>
      <c r="C102" s="289"/>
    </row>
    <row r="103" spans="1:3" s="290" customFormat="1">
      <c r="A103" s="288" t="s">
        <v>678</v>
      </c>
      <c r="B103" s="289"/>
      <c r="C103" s="289" t="s">
        <v>386</v>
      </c>
    </row>
    <row r="104" spans="1:3" s="151" customFormat="1">
      <c r="A104" s="153" t="s">
        <v>677</v>
      </c>
      <c r="B104" s="166">
        <v>45063</v>
      </c>
      <c r="C104" s="152" t="s">
        <v>386</v>
      </c>
    </row>
    <row r="105" spans="1:3" s="154" customFormat="1">
      <c r="A105" s="156" t="s">
        <v>676</v>
      </c>
      <c r="B105" s="155"/>
      <c r="C105" s="155"/>
    </row>
    <row r="106" spans="1:3" s="151" customFormat="1">
      <c r="A106" s="153" t="s">
        <v>675</v>
      </c>
      <c r="B106" s="152"/>
      <c r="C106" s="152" t="s">
        <v>410</v>
      </c>
    </row>
    <row r="107" spans="1:3" s="154" customFormat="1">
      <c r="A107" s="156" t="s">
        <v>674</v>
      </c>
      <c r="B107" s="155"/>
      <c r="C107" s="155"/>
    </row>
    <row r="108" spans="1:3" s="290" customFormat="1">
      <c r="A108" s="288" t="s">
        <v>673</v>
      </c>
      <c r="B108" s="289"/>
      <c r="C108" s="289"/>
    </row>
    <row r="109" spans="1:3" s="154" customFormat="1">
      <c r="A109" s="156" t="s">
        <v>672</v>
      </c>
      <c r="B109" s="155"/>
      <c r="C109" s="155"/>
    </row>
    <row r="110" spans="1:3" s="290" customFormat="1">
      <c r="A110" s="288" t="s">
        <v>671</v>
      </c>
      <c r="B110" s="289"/>
      <c r="C110" s="289"/>
    </row>
    <row r="111" spans="1:3" s="290" customFormat="1" ht="30">
      <c r="A111" s="288" t="s">
        <v>670</v>
      </c>
      <c r="B111" s="289"/>
      <c r="C111" s="289" t="s">
        <v>410</v>
      </c>
    </row>
    <row r="112" spans="1:3" s="151" customFormat="1">
      <c r="A112" s="153" t="s">
        <v>669</v>
      </c>
      <c r="B112" s="152"/>
      <c r="C112" s="152" t="s">
        <v>384</v>
      </c>
    </row>
    <row r="113" spans="1:44" s="151" customFormat="1">
      <c r="A113" s="153" t="s">
        <v>668</v>
      </c>
      <c r="B113" s="152"/>
      <c r="C113" s="152" t="s">
        <v>410</v>
      </c>
    </row>
    <row r="114" spans="1:44" s="290" customFormat="1">
      <c r="A114" s="288" t="s">
        <v>667</v>
      </c>
      <c r="B114" s="289"/>
      <c r="C114" s="289"/>
    </row>
    <row r="115" spans="1:44" s="290" customFormat="1">
      <c r="A115" s="288" t="s">
        <v>666</v>
      </c>
      <c r="B115" s="289"/>
      <c r="C115" s="289"/>
    </row>
    <row r="116" spans="1:44" s="290" customFormat="1">
      <c r="A116" s="288" t="s">
        <v>665</v>
      </c>
      <c r="B116" s="289"/>
      <c r="C116" s="289" t="s">
        <v>385</v>
      </c>
    </row>
    <row r="117" spans="1:44" s="290" customFormat="1">
      <c r="A117" s="288" t="s">
        <v>664</v>
      </c>
      <c r="B117" s="289"/>
      <c r="C117" s="289" t="s">
        <v>386</v>
      </c>
    </row>
    <row r="118" spans="1:44" s="151" customFormat="1">
      <c r="A118" s="153" t="s">
        <v>663</v>
      </c>
      <c r="B118" s="152"/>
      <c r="C118" s="152" t="s">
        <v>410</v>
      </c>
    </row>
    <row r="119" spans="1:44" s="151" customFormat="1">
      <c r="A119" s="153" t="s">
        <v>662</v>
      </c>
      <c r="B119" s="152"/>
      <c r="C119" s="152" t="s">
        <v>368</v>
      </c>
    </row>
    <row r="120" spans="1:44" s="151" customFormat="1">
      <c r="A120" s="153" t="s">
        <v>976</v>
      </c>
      <c r="B120" s="152"/>
      <c r="C120" s="152" t="s">
        <v>386</v>
      </c>
    </row>
    <row r="121" spans="1:44" s="154" customFormat="1">
      <c r="A121" s="153" t="s">
        <v>661</v>
      </c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</row>
    <row r="122" spans="1:44" s="290" customFormat="1">
      <c r="A122" s="288" t="s">
        <v>660</v>
      </c>
      <c r="B122" s="289"/>
      <c r="C122" s="289" t="s">
        <v>385</v>
      </c>
    </row>
    <row r="123" spans="1:44" s="290" customFormat="1">
      <c r="A123" s="288" t="s">
        <v>659</v>
      </c>
      <c r="B123" s="289"/>
      <c r="C123" s="289" t="s">
        <v>384</v>
      </c>
    </row>
    <row r="124" spans="1:44" s="290" customFormat="1">
      <c r="A124" s="288" t="s">
        <v>658</v>
      </c>
      <c r="B124" s="289"/>
      <c r="C124" s="289"/>
    </row>
    <row r="125" spans="1:44" s="151" customFormat="1">
      <c r="A125" s="153" t="s">
        <v>657</v>
      </c>
      <c r="B125" s="152"/>
      <c r="C125" s="152"/>
    </row>
    <row r="126" spans="1:44" s="163" customFormat="1">
      <c r="A126" s="165" t="s">
        <v>656</v>
      </c>
      <c r="B126" s="164"/>
      <c r="C126" s="164" t="s">
        <v>1112</v>
      </c>
    </row>
    <row r="127" spans="1:44" s="290" customFormat="1">
      <c r="A127" s="288" t="s">
        <v>655</v>
      </c>
      <c r="B127" s="289"/>
      <c r="C127" s="289" t="s">
        <v>385</v>
      </c>
    </row>
    <row r="128" spans="1:44" s="290" customFormat="1">
      <c r="A128" s="288" t="s">
        <v>654</v>
      </c>
      <c r="B128" s="289"/>
      <c r="C128" s="289" t="s">
        <v>386</v>
      </c>
    </row>
    <row r="129" spans="1:3" s="290" customFormat="1">
      <c r="A129" s="288" t="s">
        <v>653</v>
      </c>
      <c r="B129" s="289"/>
      <c r="C129" s="289" t="s">
        <v>384</v>
      </c>
    </row>
    <row r="130" spans="1:3" s="290" customFormat="1">
      <c r="A130" s="288" t="s">
        <v>652</v>
      </c>
      <c r="B130" s="289"/>
      <c r="C130" s="289" t="s">
        <v>386</v>
      </c>
    </row>
    <row r="131" spans="1:3" s="151" customFormat="1">
      <c r="A131" s="153" t="s">
        <v>651</v>
      </c>
      <c r="B131" s="152"/>
      <c r="C131" s="152"/>
    </row>
    <row r="132" spans="1:3" s="290" customFormat="1">
      <c r="A132" s="288" t="s">
        <v>650</v>
      </c>
      <c r="B132" s="289"/>
      <c r="C132" s="289" t="s">
        <v>386</v>
      </c>
    </row>
    <row r="133" spans="1:3" s="152" customFormat="1">
      <c r="A133" s="170" t="s">
        <v>649</v>
      </c>
      <c r="C133" s="152" t="s">
        <v>415</v>
      </c>
    </row>
    <row r="134" spans="1:3" s="162" customFormat="1">
      <c r="A134" s="161" t="s">
        <v>648</v>
      </c>
      <c r="B134" s="160"/>
      <c r="C134" s="160" t="s">
        <v>384</v>
      </c>
    </row>
    <row r="135" spans="1:3" s="151" customFormat="1">
      <c r="A135" s="153" t="s">
        <v>647</v>
      </c>
      <c r="B135" s="152"/>
      <c r="C135" s="152" t="s">
        <v>415</v>
      </c>
    </row>
    <row r="136" spans="1:3" s="151" customFormat="1">
      <c r="A136" s="153" t="s">
        <v>646</v>
      </c>
      <c r="B136" s="152"/>
      <c r="C136" s="152" t="s">
        <v>415</v>
      </c>
    </row>
    <row r="137" spans="1:3" s="151" customFormat="1">
      <c r="A137" s="153" t="s">
        <v>645</v>
      </c>
      <c r="B137" s="152"/>
      <c r="C137" s="152" t="s">
        <v>415</v>
      </c>
    </row>
    <row r="138" spans="1:3" s="151" customFormat="1">
      <c r="A138" s="153" t="s">
        <v>644</v>
      </c>
      <c r="B138" s="152"/>
      <c r="C138" s="152" t="s">
        <v>415</v>
      </c>
    </row>
    <row r="139" spans="1:3" s="151" customFormat="1">
      <c r="A139" s="153" t="s">
        <v>643</v>
      </c>
      <c r="B139" s="152"/>
      <c r="C139" s="152" t="s">
        <v>415</v>
      </c>
    </row>
    <row r="140" spans="1:3" s="290" customFormat="1">
      <c r="A140" s="288" t="s">
        <v>642</v>
      </c>
      <c r="B140" s="289"/>
      <c r="C140" s="289" t="s">
        <v>386</v>
      </c>
    </row>
    <row r="141" spans="1:3" s="151" customFormat="1">
      <c r="A141" s="153" t="s">
        <v>641</v>
      </c>
      <c r="B141" s="152"/>
      <c r="C141" s="152"/>
    </row>
    <row r="142" spans="1:3" s="154" customFormat="1">
      <c r="A142" s="156" t="s">
        <v>1113</v>
      </c>
      <c r="B142" s="155"/>
      <c r="C142" s="155"/>
    </row>
    <row r="143" spans="1:3" s="151" customFormat="1">
      <c r="A143" s="153" t="s">
        <v>640</v>
      </c>
      <c r="B143" s="152"/>
      <c r="C143" s="152" t="s">
        <v>415</v>
      </c>
    </row>
    <row r="144" spans="1:3" s="151" customFormat="1">
      <c r="A144" s="153" t="s">
        <v>639</v>
      </c>
      <c r="B144" s="152"/>
      <c r="C144" s="152" t="s">
        <v>410</v>
      </c>
    </row>
    <row r="145" spans="1:3" s="154" customFormat="1">
      <c r="A145" s="156" t="s">
        <v>638</v>
      </c>
      <c r="B145" s="155"/>
      <c r="C145" s="155"/>
    </row>
    <row r="146" spans="1:3" s="151" customFormat="1">
      <c r="A146" s="153" t="s">
        <v>637</v>
      </c>
      <c r="B146" s="152"/>
      <c r="C146" s="152" t="s">
        <v>410</v>
      </c>
    </row>
    <row r="147" spans="1:3" s="151" customFormat="1">
      <c r="A147" s="153" t="s">
        <v>636</v>
      </c>
      <c r="B147" s="152"/>
      <c r="C147" s="152"/>
    </row>
    <row r="148" spans="1:3" s="163" customFormat="1">
      <c r="A148" s="165" t="s">
        <v>179</v>
      </c>
      <c r="B148" s="164"/>
      <c r="C148" s="164"/>
    </row>
    <row r="149" spans="1:3" s="290" customFormat="1">
      <c r="A149" s="288" t="s">
        <v>635</v>
      </c>
      <c r="B149" s="289"/>
      <c r="C149" s="289"/>
    </row>
    <row r="150" spans="1:3" s="290" customFormat="1">
      <c r="A150" s="288" t="s">
        <v>634</v>
      </c>
      <c r="B150" s="289"/>
      <c r="C150" s="289"/>
    </row>
    <row r="151" spans="1:3" s="290" customFormat="1">
      <c r="A151" s="288" t="s">
        <v>633</v>
      </c>
      <c r="B151" s="289"/>
      <c r="C151" s="289"/>
    </row>
    <row r="152" spans="1:3" s="290" customFormat="1">
      <c r="A152" s="288" t="s">
        <v>632</v>
      </c>
      <c r="B152" s="289"/>
      <c r="C152" s="289"/>
    </row>
    <row r="153" spans="1:3" s="151" customFormat="1">
      <c r="A153" s="153" t="s">
        <v>631</v>
      </c>
      <c r="B153" s="152"/>
      <c r="C153" s="152" t="s">
        <v>410</v>
      </c>
    </row>
    <row r="154" spans="1:3" s="162" customFormat="1">
      <c r="A154" s="161" t="s">
        <v>630</v>
      </c>
      <c r="B154" s="168">
        <v>45072</v>
      </c>
      <c r="C154" s="160" t="s">
        <v>384</v>
      </c>
    </row>
    <row r="155" spans="1:3" s="162" customFormat="1">
      <c r="A155" s="161" t="s">
        <v>629</v>
      </c>
      <c r="B155" s="168"/>
      <c r="C155" s="160"/>
    </row>
    <row r="156" spans="1:3" s="151" customFormat="1">
      <c r="A156" s="153" t="s">
        <v>628</v>
      </c>
      <c r="B156" s="166">
        <v>45062</v>
      </c>
      <c r="C156" s="152" t="s">
        <v>386</v>
      </c>
    </row>
    <row r="157" spans="1:3" s="151" customFormat="1">
      <c r="A157" s="153" t="s">
        <v>627</v>
      </c>
      <c r="B157" s="152"/>
      <c r="C157" s="152"/>
    </row>
    <row r="158" spans="1:3" s="163" customFormat="1">
      <c r="A158" s="165" t="s">
        <v>626</v>
      </c>
      <c r="B158" s="164"/>
      <c r="C158" s="164"/>
    </row>
    <row r="159" spans="1:3" s="151" customFormat="1" ht="16.5" customHeight="1">
      <c r="A159" s="153" t="s">
        <v>625</v>
      </c>
      <c r="B159" s="152"/>
      <c r="C159" s="152" t="s">
        <v>415</v>
      </c>
    </row>
    <row r="160" spans="1:3" s="151" customFormat="1" ht="16.5" customHeight="1">
      <c r="A160" s="153" t="s">
        <v>624</v>
      </c>
      <c r="B160" s="152"/>
      <c r="C160" s="152" t="s">
        <v>384</v>
      </c>
    </row>
    <row r="161" spans="1:3" s="154" customFormat="1" ht="17.25" customHeight="1">
      <c r="A161" s="156" t="s">
        <v>623</v>
      </c>
      <c r="B161" s="155"/>
      <c r="C161" s="155"/>
    </row>
    <row r="162" spans="1:3" s="151" customFormat="1" ht="17.25" customHeight="1">
      <c r="A162" s="153" t="s">
        <v>622</v>
      </c>
      <c r="B162" s="166">
        <v>45070</v>
      </c>
      <c r="C162" s="152" t="s">
        <v>384</v>
      </c>
    </row>
    <row r="163" spans="1:3" s="163" customFormat="1">
      <c r="A163" s="165" t="s">
        <v>621</v>
      </c>
      <c r="B163" s="164"/>
      <c r="C163" s="164"/>
    </row>
    <row r="164" spans="1:3" s="151" customFormat="1">
      <c r="A164" s="153" t="s">
        <v>620</v>
      </c>
      <c r="B164" s="152"/>
      <c r="C164" s="152" t="s">
        <v>415</v>
      </c>
    </row>
    <row r="165" spans="1:3" s="151" customFormat="1">
      <c r="A165" s="153" t="s">
        <v>619</v>
      </c>
      <c r="B165" s="152"/>
      <c r="C165" s="152" t="s">
        <v>415</v>
      </c>
    </row>
    <row r="166" spans="1:3" s="154" customFormat="1">
      <c r="A166" s="156" t="s">
        <v>618</v>
      </c>
      <c r="B166" s="155"/>
      <c r="C166" s="155"/>
    </row>
    <row r="167" spans="1:3" s="162" customFormat="1">
      <c r="A167" s="161" t="s">
        <v>617</v>
      </c>
      <c r="B167" s="160"/>
      <c r="C167" s="160" t="s">
        <v>384</v>
      </c>
    </row>
    <row r="168" spans="1:3" s="290" customFormat="1">
      <c r="A168" s="288" t="s">
        <v>616</v>
      </c>
      <c r="B168" s="289"/>
      <c r="C168" s="289"/>
    </row>
    <row r="169" spans="1:3" s="151" customFormat="1">
      <c r="A169" s="153" t="s">
        <v>615</v>
      </c>
      <c r="B169" s="152"/>
      <c r="C169" s="152" t="s">
        <v>386</v>
      </c>
    </row>
    <row r="170" spans="1:3" s="290" customFormat="1">
      <c r="A170" s="288" t="s">
        <v>614</v>
      </c>
      <c r="B170" s="289"/>
      <c r="C170" s="289"/>
    </row>
    <row r="171" spans="1:3" s="151" customFormat="1">
      <c r="A171" s="153" t="s">
        <v>613</v>
      </c>
      <c r="B171" s="152"/>
      <c r="C171" s="152" t="s">
        <v>415</v>
      </c>
    </row>
    <row r="172" spans="1:3" s="290" customFormat="1">
      <c r="A172" s="288" t="s">
        <v>612</v>
      </c>
      <c r="B172" s="289"/>
      <c r="C172" s="289" t="s">
        <v>384</v>
      </c>
    </row>
    <row r="173" spans="1:3" s="151" customFormat="1">
      <c r="A173" s="153" t="s">
        <v>611</v>
      </c>
      <c r="B173" s="152"/>
      <c r="C173" s="152" t="s">
        <v>386</v>
      </c>
    </row>
    <row r="174" spans="1:3" s="151" customFormat="1">
      <c r="A174" s="153" t="s">
        <v>610</v>
      </c>
      <c r="B174" s="166">
        <v>45063</v>
      </c>
      <c r="C174" s="152" t="s">
        <v>386</v>
      </c>
    </row>
    <row r="175" spans="1:3" s="300" customFormat="1">
      <c r="A175" s="298" t="s">
        <v>238</v>
      </c>
      <c r="B175" s="299"/>
      <c r="C175" s="299" t="s">
        <v>386</v>
      </c>
    </row>
    <row r="176" spans="1:3" s="151" customFormat="1">
      <c r="A176" s="153" t="s">
        <v>609</v>
      </c>
      <c r="B176" s="166">
        <v>45068</v>
      </c>
      <c r="C176" s="152" t="s">
        <v>386</v>
      </c>
    </row>
    <row r="177" spans="1:3" s="151" customFormat="1">
      <c r="A177" s="153" t="s">
        <v>608</v>
      </c>
      <c r="B177" s="166">
        <v>45064</v>
      </c>
      <c r="C177" s="152" t="s">
        <v>386</v>
      </c>
    </row>
    <row r="178" spans="1:3" s="151" customFormat="1">
      <c r="A178" s="153" t="s">
        <v>607</v>
      </c>
      <c r="B178" s="152"/>
      <c r="C178" s="152" t="s">
        <v>412</v>
      </c>
    </row>
    <row r="179" spans="1:3" s="151" customFormat="1">
      <c r="A179" s="153" t="s">
        <v>606</v>
      </c>
      <c r="B179" s="152"/>
      <c r="C179" s="152"/>
    </row>
    <row r="180" spans="1:3" s="151" customFormat="1">
      <c r="A180" s="153" t="s">
        <v>1100</v>
      </c>
      <c r="B180" s="152"/>
      <c r="C180" s="152" t="s">
        <v>386</v>
      </c>
    </row>
    <row r="181" spans="1:3" s="290" customFormat="1">
      <c r="A181" s="288" t="s">
        <v>605</v>
      </c>
      <c r="B181" s="289"/>
      <c r="C181" s="289" t="s">
        <v>386</v>
      </c>
    </row>
    <row r="182" spans="1:3" s="151" customFormat="1">
      <c r="A182" s="153" t="s">
        <v>604</v>
      </c>
      <c r="B182" s="152"/>
      <c r="C182" s="152" t="s">
        <v>415</v>
      </c>
    </row>
    <row r="183" spans="1:3" s="151" customFormat="1">
      <c r="A183" s="153" t="s">
        <v>603</v>
      </c>
      <c r="B183" s="152"/>
      <c r="C183" s="152" t="s">
        <v>415</v>
      </c>
    </row>
    <row r="184" spans="1:3" s="151" customFormat="1">
      <c r="A184" s="153" t="s">
        <v>602</v>
      </c>
      <c r="B184" s="152"/>
      <c r="C184" s="152" t="s">
        <v>410</v>
      </c>
    </row>
    <row r="185" spans="1:3" s="290" customFormat="1">
      <c r="A185" s="288" t="s">
        <v>601</v>
      </c>
      <c r="B185" s="289"/>
      <c r="C185" s="289" t="s">
        <v>386</v>
      </c>
    </row>
    <row r="186" spans="1:3" s="151" customFormat="1">
      <c r="A186" s="153" t="s">
        <v>600</v>
      </c>
      <c r="B186" s="152"/>
      <c r="C186" s="152" t="s">
        <v>415</v>
      </c>
    </row>
    <row r="187" spans="1:3" s="151" customFormat="1">
      <c r="A187" s="153" t="s">
        <v>1052</v>
      </c>
      <c r="B187" s="152"/>
      <c r="C187" s="152" t="s">
        <v>386</v>
      </c>
    </row>
    <row r="188" spans="1:3" s="290" customFormat="1">
      <c r="A188" s="288" t="s">
        <v>1051</v>
      </c>
      <c r="B188" s="289"/>
      <c r="C188" s="289" t="s">
        <v>1114</v>
      </c>
    </row>
    <row r="189" spans="1:3" s="154" customFormat="1">
      <c r="A189" s="156" t="s">
        <v>599</v>
      </c>
      <c r="B189" s="155"/>
      <c r="C189" s="155"/>
    </row>
    <row r="190" spans="1:3" s="163" customFormat="1">
      <c r="A190" s="165" t="s">
        <v>598</v>
      </c>
      <c r="B190" s="164"/>
      <c r="C190" s="164"/>
    </row>
    <row r="191" spans="1:3" s="290" customFormat="1">
      <c r="A191" s="288" t="s">
        <v>597</v>
      </c>
      <c r="B191" s="289"/>
      <c r="C191" s="289" t="s">
        <v>385</v>
      </c>
    </row>
    <row r="192" spans="1:3" s="151" customFormat="1">
      <c r="A192" s="161" t="s">
        <v>596</v>
      </c>
      <c r="B192" s="160"/>
      <c r="C192" s="160" t="s">
        <v>384</v>
      </c>
    </row>
    <row r="193" spans="1:3" s="290" customFormat="1">
      <c r="A193" s="288" t="s">
        <v>595</v>
      </c>
      <c r="B193" s="289"/>
      <c r="C193" s="289"/>
    </row>
    <row r="194" spans="1:3" s="162" customFormat="1">
      <c r="A194" s="161" t="s">
        <v>594</v>
      </c>
      <c r="B194" s="160"/>
      <c r="C194" s="160" t="s">
        <v>384</v>
      </c>
    </row>
    <row r="195" spans="1:3" s="151" customFormat="1">
      <c r="A195" s="153" t="s">
        <v>593</v>
      </c>
      <c r="B195" s="166">
        <v>45072</v>
      </c>
      <c r="C195" s="152" t="s">
        <v>384</v>
      </c>
    </row>
    <row r="196" spans="1:3" s="151" customFormat="1">
      <c r="A196" s="153" t="s">
        <v>592</v>
      </c>
      <c r="B196" s="152"/>
      <c r="C196" s="152" t="s">
        <v>415</v>
      </c>
    </row>
    <row r="197" spans="1:3" s="290" customFormat="1">
      <c r="A197" s="288" t="s">
        <v>591</v>
      </c>
      <c r="B197" s="291"/>
      <c r="C197" s="289" t="s">
        <v>386</v>
      </c>
    </row>
    <row r="198" spans="1:3" s="151" customFormat="1">
      <c r="A198" s="153" t="s">
        <v>589</v>
      </c>
      <c r="B198" s="152"/>
      <c r="C198" s="152" t="s">
        <v>415</v>
      </c>
    </row>
    <row r="199" spans="1:3" s="163" customFormat="1">
      <c r="A199" s="165" t="s">
        <v>588</v>
      </c>
      <c r="B199" s="164"/>
      <c r="C199" s="164"/>
    </row>
    <row r="200" spans="1:3" s="290" customFormat="1">
      <c r="A200" s="288" t="s">
        <v>587</v>
      </c>
      <c r="B200" s="289"/>
      <c r="C200" s="289"/>
    </row>
    <row r="201" spans="1:3" s="290" customFormat="1">
      <c r="A201" s="288" t="s">
        <v>586</v>
      </c>
      <c r="B201" s="289"/>
      <c r="C201" s="289" t="s">
        <v>384</v>
      </c>
    </row>
    <row r="202" spans="1:3" s="162" customFormat="1">
      <c r="A202" s="161" t="s">
        <v>585</v>
      </c>
      <c r="B202" s="160"/>
      <c r="C202" s="160" t="s">
        <v>384</v>
      </c>
    </row>
    <row r="203" spans="1:3" s="290" customFormat="1">
      <c r="A203" s="288" t="s">
        <v>584</v>
      </c>
      <c r="B203" s="289"/>
      <c r="C203" s="289"/>
    </row>
    <row r="204" spans="1:3" s="290" customFormat="1">
      <c r="A204" s="288" t="s">
        <v>583</v>
      </c>
      <c r="B204" s="289"/>
      <c r="C204" s="289" t="s">
        <v>368</v>
      </c>
    </row>
    <row r="205" spans="1:3" s="290" customFormat="1">
      <c r="A205" s="288" t="s">
        <v>582</v>
      </c>
      <c r="B205" s="289"/>
      <c r="C205" s="289"/>
    </row>
    <row r="206" spans="1:3" s="290" customFormat="1">
      <c r="A206" s="288" t="s">
        <v>581</v>
      </c>
      <c r="B206" s="289"/>
      <c r="C206" s="289" t="s">
        <v>384</v>
      </c>
    </row>
    <row r="207" spans="1:3" s="151" customFormat="1">
      <c r="A207" s="153" t="s">
        <v>580</v>
      </c>
      <c r="B207" s="152"/>
      <c r="C207" s="152" t="s">
        <v>415</v>
      </c>
    </row>
    <row r="208" spans="1:3" s="151" customFormat="1">
      <c r="A208" s="153" t="s">
        <v>579</v>
      </c>
      <c r="B208" s="166">
        <v>45065</v>
      </c>
      <c r="C208" s="152" t="s">
        <v>415</v>
      </c>
    </row>
    <row r="209" spans="1:3" s="151" customFormat="1">
      <c r="A209" s="153" t="s">
        <v>578</v>
      </c>
      <c r="B209" s="152"/>
      <c r="C209" s="152" t="s">
        <v>465</v>
      </c>
    </row>
    <row r="210" spans="1:3" s="154" customFormat="1">
      <c r="A210" s="156" t="s">
        <v>577</v>
      </c>
      <c r="B210" s="155"/>
      <c r="C210" s="155"/>
    </row>
    <row r="211" spans="1:3" s="290" customFormat="1">
      <c r="A211" s="288" t="s">
        <v>1137</v>
      </c>
      <c r="B211" s="289"/>
      <c r="C211" s="289"/>
    </row>
    <row r="212" spans="1:3" s="151" customFormat="1">
      <c r="A212" s="153" t="s">
        <v>576</v>
      </c>
      <c r="B212" s="152"/>
      <c r="C212" s="152" t="s">
        <v>415</v>
      </c>
    </row>
    <row r="213" spans="1:3" s="290" customFormat="1">
      <c r="A213" s="288" t="s">
        <v>575</v>
      </c>
      <c r="B213" s="289"/>
      <c r="C213" s="289"/>
    </row>
    <row r="214" spans="1:3" s="151" customFormat="1">
      <c r="A214" s="153" t="s">
        <v>574</v>
      </c>
      <c r="B214" s="152"/>
      <c r="C214" s="152" t="s">
        <v>386</v>
      </c>
    </row>
    <row r="215" spans="1:3" s="151" customFormat="1">
      <c r="A215" s="153" t="s">
        <v>573</v>
      </c>
      <c r="B215" s="152"/>
      <c r="C215" s="152" t="s">
        <v>386</v>
      </c>
    </row>
    <row r="216" spans="1:3" s="151" customFormat="1">
      <c r="A216" s="153" t="s">
        <v>572</v>
      </c>
      <c r="B216" s="152"/>
      <c r="C216" s="152" t="s">
        <v>410</v>
      </c>
    </row>
    <row r="217" spans="1:3" s="151" customFormat="1">
      <c r="A217" s="153" t="s">
        <v>571</v>
      </c>
      <c r="B217" s="152"/>
      <c r="C217" s="152" t="s">
        <v>410</v>
      </c>
    </row>
    <row r="218" spans="1:3" s="154" customFormat="1">
      <c r="A218" s="156" t="s">
        <v>570</v>
      </c>
      <c r="B218" s="155"/>
      <c r="C218" s="155"/>
    </row>
    <row r="219" spans="1:3" s="151" customFormat="1">
      <c r="A219" s="153" t="s">
        <v>569</v>
      </c>
      <c r="B219" s="152"/>
      <c r="C219" s="152" t="s">
        <v>415</v>
      </c>
    </row>
    <row r="220" spans="1:3" s="151" customFormat="1">
      <c r="A220" s="153" t="s">
        <v>568</v>
      </c>
      <c r="B220" s="152"/>
      <c r="C220" s="152" t="s">
        <v>567</v>
      </c>
    </row>
    <row r="221" spans="1:3" s="290" customFormat="1">
      <c r="A221" s="288" t="s">
        <v>566</v>
      </c>
      <c r="B221" s="289"/>
      <c r="C221" s="289"/>
    </row>
    <row r="222" spans="1:3" s="162" customFormat="1">
      <c r="A222" s="161" t="s">
        <v>565</v>
      </c>
      <c r="B222" s="168">
        <v>45070</v>
      </c>
      <c r="C222" s="160" t="s">
        <v>386</v>
      </c>
    </row>
    <row r="223" spans="1:3" s="162" customFormat="1">
      <c r="A223" s="161" t="s">
        <v>564</v>
      </c>
      <c r="B223" s="168"/>
      <c r="C223" s="160"/>
    </row>
    <row r="224" spans="1:3" s="290" customFormat="1">
      <c r="A224" s="288" t="s">
        <v>563</v>
      </c>
      <c r="B224" s="289"/>
      <c r="C224" s="289" t="s">
        <v>384</v>
      </c>
    </row>
    <row r="225" spans="1:3" s="290" customFormat="1">
      <c r="A225" s="288" t="s">
        <v>1050</v>
      </c>
      <c r="B225" s="289"/>
      <c r="C225" s="289" t="s">
        <v>386</v>
      </c>
    </row>
    <row r="226" spans="1:3" s="290" customFormat="1">
      <c r="A226" s="288" t="s">
        <v>562</v>
      </c>
      <c r="B226" s="289"/>
      <c r="C226" s="289" t="s">
        <v>386</v>
      </c>
    </row>
    <row r="227" spans="1:3" s="290" customFormat="1">
      <c r="A227" s="288" t="s">
        <v>561</v>
      </c>
      <c r="B227" s="289"/>
      <c r="C227" s="289" t="s">
        <v>384</v>
      </c>
    </row>
    <row r="228" spans="1:3" s="151" customFormat="1">
      <c r="A228" s="153" t="s">
        <v>560</v>
      </c>
      <c r="B228" s="152"/>
      <c r="C228" s="152" t="s">
        <v>415</v>
      </c>
    </row>
    <row r="229" spans="1:3" s="151" customFormat="1">
      <c r="A229" s="153" t="s">
        <v>559</v>
      </c>
      <c r="B229" s="152"/>
      <c r="C229" s="152" t="s">
        <v>415</v>
      </c>
    </row>
    <row r="230" spans="1:3" s="163" customFormat="1" ht="17.25" customHeight="1">
      <c r="A230" s="165" t="s">
        <v>558</v>
      </c>
      <c r="B230" s="164"/>
      <c r="C230" s="164"/>
    </row>
    <row r="231" spans="1:3" s="151" customFormat="1">
      <c r="A231" s="153" t="s">
        <v>557</v>
      </c>
      <c r="B231" s="152"/>
      <c r="C231" s="152" t="s">
        <v>415</v>
      </c>
    </row>
    <row r="232" spans="1:3" s="163" customFormat="1">
      <c r="A232" s="165" t="s">
        <v>556</v>
      </c>
      <c r="B232" s="164"/>
      <c r="C232" s="164"/>
    </row>
    <row r="233" spans="1:3" s="151" customFormat="1">
      <c r="A233" s="153" t="s">
        <v>555</v>
      </c>
      <c r="B233" s="152"/>
      <c r="C233" s="152" t="s">
        <v>410</v>
      </c>
    </row>
    <row r="234" spans="1:3" s="162" customFormat="1">
      <c r="A234" s="161" t="s">
        <v>554</v>
      </c>
      <c r="B234" s="168">
        <v>45077</v>
      </c>
      <c r="C234" s="160" t="s">
        <v>384</v>
      </c>
    </row>
    <row r="235" spans="1:3" s="163" customFormat="1">
      <c r="A235" s="165" t="s">
        <v>553</v>
      </c>
      <c r="B235" s="164"/>
      <c r="C235" s="164"/>
    </row>
    <row r="236" spans="1:3" s="163" customFormat="1">
      <c r="A236" s="165" t="s">
        <v>552</v>
      </c>
      <c r="B236" s="164"/>
      <c r="C236" s="164"/>
    </row>
    <row r="237" spans="1:3" s="151" customFormat="1">
      <c r="A237" s="153" t="s">
        <v>551</v>
      </c>
      <c r="B237" s="152"/>
      <c r="C237" s="152" t="s">
        <v>386</v>
      </c>
    </row>
    <row r="238" spans="1:3" s="154" customFormat="1">
      <c r="A238" s="156" t="s">
        <v>550</v>
      </c>
      <c r="B238" s="155"/>
      <c r="C238" s="155"/>
    </row>
    <row r="239" spans="1:3" s="162" customFormat="1">
      <c r="A239" s="161" t="s">
        <v>549</v>
      </c>
      <c r="B239" s="160"/>
      <c r="C239" s="160" t="s">
        <v>386</v>
      </c>
    </row>
    <row r="240" spans="1:3" s="151" customFormat="1">
      <c r="A240" s="153" t="s">
        <v>548</v>
      </c>
      <c r="B240" s="152"/>
      <c r="C240" s="152" t="s">
        <v>410</v>
      </c>
    </row>
    <row r="241" spans="1:3" s="151" customFormat="1">
      <c r="A241" s="153" t="s">
        <v>547</v>
      </c>
      <c r="B241" s="152"/>
      <c r="C241" s="152" t="s">
        <v>386</v>
      </c>
    </row>
    <row r="242" spans="1:3" s="162" customFormat="1">
      <c r="A242" s="161" t="s">
        <v>546</v>
      </c>
      <c r="B242" s="168">
        <v>45070</v>
      </c>
      <c r="C242" s="160" t="s">
        <v>384</v>
      </c>
    </row>
    <row r="243" spans="1:3" s="151" customFormat="1">
      <c r="A243" s="153" t="s">
        <v>545</v>
      </c>
      <c r="B243" s="166">
        <v>45068</v>
      </c>
      <c r="C243" s="152" t="s">
        <v>386</v>
      </c>
    </row>
    <row r="244" spans="1:3" s="151" customFormat="1" ht="30">
      <c r="A244" s="153" t="s">
        <v>544</v>
      </c>
      <c r="B244" s="152"/>
      <c r="C244" s="152" t="s">
        <v>410</v>
      </c>
    </row>
    <row r="245" spans="1:3" s="151" customFormat="1">
      <c r="A245" s="153" t="s">
        <v>543</v>
      </c>
      <c r="B245" s="166">
        <v>45051</v>
      </c>
      <c r="C245" s="152" t="s">
        <v>384</v>
      </c>
    </row>
    <row r="246" spans="1:3" s="151" customFormat="1">
      <c r="A246" s="153" t="s">
        <v>542</v>
      </c>
      <c r="B246" s="152"/>
      <c r="C246" s="152" t="s">
        <v>384</v>
      </c>
    </row>
    <row r="247" spans="1:3" s="151" customFormat="1">
      <c r="A247" s="153" t="s">
        <v>541</v>
      </c>
      <c r="B247" s="152"/>
      <c r="C247" s="152" t="s">
        <v>384</v>
      </c>
    </row>
    <row r="248" spans="1:3" s="290" customFormat="1">
      <c r="A248" s="288" t="s">
        <v>540</v>
      </c>
      <c r="B248" s="289"/>
      <c r="C248" s="289"/>
    </row>
    <row r="249" spans="1:3" s="151" customFormat="1">
      <c r="A249" s="153" t="s">
        <v>539</v>
      </c>
      <c r="B249" s="152"/>
      <c r="C249" s="152" t="s">
        <v>415</v>
      </c>
    </row>
    <row r="250" spans="1:3" s="151" customFormat="1">
      <c r="A250" s="153" t="s">
        <v>538</v>
      </c>
      <c r="B250" s="152"/>
      <c r="C250" s="152" t="s">
        <v>415</v>
      </c>
    </row>
    <row r="251" spans="1:3" s="151" customFormat="1">
      <c r="A251" s="153" t="s">
        <v>537</v>
      </c>
      <c r="B251" s="152"/>
      <c r="C251" s="152"/>
    </row>
    <row r="252" spans="1:3" s="151" customFormat="1">
      <c r="A252" s="153" t="s">
        <v>536</v>
      </c>
      <c r="B252" s="152"/>
      <c r="C252" s="152" t="s">
        <v>415</v>
      </c>
    </row>
    <row r="253" spans="1:3" s="290" customFormat="1">
      <c r="A253" s="288" t="s">
        <v>41</v>
      </c>
      <c r="B253" s="289"/>
      <c r="C253" s="289" t="s">
        <v>384</v>
      </c>
    </row>
    <row r="254" spans="1:3" s="154" customFormat="1">
      <c r="A254" s="156" t="s">
        <v>535</v>
      </c>
      <c r="B254" s="155"/>
      <c r="C254" s="155"/>
    </row>
    <row r="255" spans="1:3" s="162" customFormat="1">
      <c r="A255" s="161" t="s">
        <v>534</v>
      </c>
      <c r="B255" s="160"/>
      <c r="C255" s="160" t="s">
        <v>384</v>
      </c>
    </row>
    <row r="256" spans="1:3" s="290" customFormat="1">
      <c r="A256" s="288" t="s">
        <v>533</v>
      </c>
      <c r="B256" s="289"/>
      <c r="C256" s="289"/>
    </row>
    <row r="257" spans="1:3" s="162" customFormat="1">
      <c r="A257" s="161" t="s">
        <v>532</v>
      </c>
      <c r="B257" s="160"/>
      <c r="C257" s="160" t="s">
        <v>531</v>
      </c>
    </row>
    <row r="258" spans="1:3" s="154" customFormat="1" ht="15.75" customHeight="1">
      <c r="A258" s="156" t="s">
        <v>530</v>
      </c>
      <c r="B258" s="155"/>
      <c r="C258" s="155"/>
    </row>
    <row r="259" spans="1:3" s="151" customFormat="1">
      <c r="A259" s="153" t="s">
        <v>529</v>
      </c>
      <c r="B259" s="152"/>
      <c r="C259" s="152" t="s">
        <v>410</v>
      </c>
    </row>
    <row r="260" spans="1:3" s="154" customFormat="1">
      <c r="A260" s="156" t="s">
        <v>528</v>
      </c>
      <c r="B260" s="155"/>
      <c r="C260" s="155"/>
    </row>
    <row r="261" spans="1:3" s="151" customFormat="1" ht="15.75" customHeight="1">
      <c r="A261" s="153" t="s">
        <v>527</v>
      </c>
      <c r="B261" s="152"/>
      <c r="C261" s="152" t="s">
        <v>410</v>
      </c>
    </row>
    <row r="262" spans="1:3" s="163" customFormat="1">
      <c r="A262" s="165" t="s">
        <v>239</v>
      </c>
      <c r="B262" s="164"/>
      <c r="C262" s="164"/>
    </row>
    <row r="263" spans="1:3" s="151" customFormat="1">
      <c r="A263" s="153" t="s">
        <v>526</v>
      </c>
      <c r="B263" s="152"/>
      <c r="C263" s="152" t="s">
        <v>465</v>
      </c>
    </row>
    <row r="264" spans="1:3" s="151" customFormat="1">
      <c r="A264" s="153" t="s">
        <v>525</v>
      </c>
      <c r="B264" s="152"/>
      <c r="C264" s="152" t="s">
        <v>386</v>
      </c>
    </row>
    <row r="265" spans="1:3" s="154" customFormat="1">
      <c r="A265" s="156" t="s">
        <v>524</v>
      </c>
      <c r="B265" s="155"/>
      <c r="C265" s="155"/>
    </row>
    <row r="266" spans="1:3" s="151" customFormat="1" ht="16.5" customHeight="1">
      <c r="A266" s="153" t="s">
        <v>523</v>
      </c>
      <c r="B266" s="152"/>
      <c r="C266" s="152" t="s">
        <v>410</v>
      </c>
    </row>
    <row r="267" spans="1:3" s="154" customFormat="1">
      <c r="A267" s="156" t="s">
        <v>522</v>
      </c>
      <c r="B267" s="155"/>
      <c r="C267" s="155"/>
    </row>
    <row r="268" spans="1:3" s="151" customFormat="1">
      <c r="A268" s="153" t="s">
        <v>521</v>
      </c>
      <c r="B268" s="152"/>
      <c r="C268" s="152"/>
    </row>
    <row r="269" spans="1:3" s="151" customFormat="1">
      <c r="A269" s="153" t="s">
        <v>520</v>
      </c>
      <c r="B269" s="152"/>
      <c r="C269" s="152" t="s">
        <v>415</v>
      </c>
    </row>
    <row r="270" spans="1:3" s="290" customFormat="1">
      <c r="A270" s="288" t="s">
        <v>519</v>
      </c>
      <c r="B270" s="289"/>
      <c r="C270" s="289"/>
    </row>
    <row r="271" spans="1:3" s="151" customFormat="1">
      <c r="A271" s="153" t="s">
        <v>518</v>
      </c>
      <c r="B271" s="152"/>
      <c r="C271" s="152" t="s">
        <v>410</v>
      </c>
    </row>
    <row r="272" spans="1:3" s="151" customFormat="1">
      <c r="A272" s="153" t="s">
        <v>517</v>
      </c>
      <c r="B272" s="166">
        <v>45070</v>
      </c>
      <c r="C272" s="152" t="s">
        <v>384</v>
      </c>
    </row>
    <row r="273" spans="1:3" s="290" customFormat="1" ht="30">
      <c r="A273" s="288" t="s">
        <v>516</v>
      </c>
      <c r="B273" s="289"/>
      <c r="C273" s="289" t="s">
        <v>384</v>
      </c>
    </row>
    <row r="274" spans="1:3" s="290" customFormat="1">
      <c r="A274" s="288" t="s">
        <v>1115</v>
      </c>
      <c r="B274" s="289"/>
      <c r="C274" s="289"/>
    </row>
    <row r="275" spans="1:3" s="151" customFormat="1">
      <c r="A275" s="153" t="s">
        <v>515</v>
      </c>
      <c r="B275" s="152"/>
      <c r="C275" s="152" t="s">
        <v>415</v>
      </c>
    </row>
    <row r="276" spans="1:3" s="151" customFormat="1">
      <c r="A276" s="153" t="s">
        <v>514</v>
      </c>
      <c r="B276" s="166">
        <v>45054</v>
      </c>
      <c r="C276" s="152" t="s">
        <v>384</v>
      </c>
    </row>
    <row r="277" spans="1:3" s="290" customFormat="1">
      <c r="A277" s="288" t="s">
        <v>513</v>
      </c>
      <c r="B277" s="289"/>
      <c r="C277" s="289" t="s">
        <v>386</v>
      </c>
    </row>
    <row r="278" spans="1:3" s="290" customFormat="1">
      <c r="A278" s="288" t="s">
        <v>512</v>
      </c>
      <c r="B278" s="289"/>
      <c r="C278" s="289" t="s">
        <v>386</v>
      </c>
    </row>
    <row r="279" spans="1:3" s="154" customFormat="1">
      <c r="A279" s="156" t="s">
        <v>511</v>
      </c>
      <c r="B279" s="155"/>
      <c r="C279" s="155"/>
    </row>
    <row r="280" spans="1:3" s="290" customFormat="1">
      <c r="A280" s="288" t="s">
        <v>510</v>
      </c>
      <c r="B280" s="289"/>
      <c r="C280" s="289"/>
    </row>
    <row r="281" spans="1:3" s="290" customFormat="1">
      <c r="A281" s="288" t="s">
        <v>509</v>
      </c>
      <c r="B281" s="289"/>
      <c r="C281" s="289" t="s">
        <v>386</v>
      </c>
    </row>
    <row r="282" spans="1:3" s="151" customFormat="1">
      <c r="A282" s="153" t="s">
        <v>508</v>
      </c>
      <c r="B282" s="166">
        <v>45057</v>
      </c>
      <c r="C282" s="152" t="s">
        <v>384</v>
      </c>
    </row>
    <row r="283" spans="1:3" s="290" customFormat="1">
      <c r="A283" s="288" t="s">
        <v>507</v>
      </c>
      <c r="B283" s="289"/>
      <c r="C283" s="289" t="s">
        <v>384</v>
      </c>
    </row>
    <row r="284" spans="1:3" s="290" customFormat="1">
      <c r="A284" s="288" t="s">
        <v>230</v>
      </c>
      <c r="B284" s="289"/>
      <c r="C284" s="289" t="s">
        <v>384</v>
      </c>
    </row>
    <row r="285" spans="1:3" s="151" customFormat="1">
      <c r="A285" s="153" t="s">
        <v>506</v>
      </c>
      <c r="B285" s="152"/>
      <c r="C285" s="152" t="s">
        <v>410</v>
      </c>
    </row>
    <row r="286" spans="1:3" s="290" customFormat="1">
      <c r="A286" s="288" t="s">
        <v>1053</v>
      </c>
      <c r="B286" s="289"/>
      <c r="C286" s="289" t="s">
        <v>386</v>
      </c>
    </row>
    <row r="287" spans="1:3" s="151" customFormat="1">
      <c r="A287" s="153" t="s">
        <v>505</v>
      </c>
      <c r="B287" s="152"/>
      <c r="C287" s="152" t="s">
        <v>386</v>
      </c>
    </row>
    <row r="288" spans="1:3" s="154" customFormat="1" ht="17.25" customHeight="1">
      <c r="A288" s="156" t="s">
        <v>504</v>
      </c>
      <c r="B288" s="155"/>
      <c r="C288" s="155"/>
    </row>
    <row r="289" spans="1:3" s="154" customFormat="1">
      <c r="A289" s="156" t="s">
        <v>503</v>
      </c>
      <c r="B289" s="169"/>
      <c r="C289" s="155"/>
    </row>
    <row r="290" spans="1:3" s="163" customFormat="1">
      <c r="A290" s="165" t="s">
        <v>502</v>
      </c>
      <c r="B290" s="164"/>
      <c r="C290" s="164" t="s">
        <v>1117</v>
      </c>
    </row>
    <row r="291" spans="1:3" s="151" customFormat="1">
      <c r="A291" s="153" t="s">
        <v>501</v>
      </c>
      <c r="B291" s="152"/>
      <c r="C291" s="152" t="s">
        <v>410</v>
      </c>
    </row>
    <row r="292" spans="1:3" s="290" customFormat="1">
      <c r="A292" s="288" t="s">
        <v>500</v>
      </c>
      <c r="B292" s="289"/>
      <c r="C292" s="289"/>
    </row>
    <row r="293" spans="1:3" s="151" customFormat="1">
      <c r="A293" s="153" t="s">
        <v>499</v>
      </c>
      <c r="B293" s="152"/>
      <c r="C293" s="152" t="s">
        <v>415</v>
      </c>
    </row>
    <row r="294" spans="1:3" s="151" customFormat="1">
      <c r="A294" s="153" t="s">
        <v>498</v>
      </c>
      <c r="B294" s="152"/>
      <c r="C294" s="152" t="s">
        <v>415</v>
      </c>
    </row>
    <row r="295" spans="1:3" s="163" customFormat="1">
      <c r="A295" s="165" t="s">
        <v>232</v>
      </c>
      <c r="B295" s="164"/>
      <c r="C295" s="164"/>
    </row>
    <row r="296" spans="1:3" s="151" customFormat="1">
      <c r="A296" s="153" t="s">
        <v>497</v>
      </c>
      <c r="B296" s="152"/>
      <c r="C296" s="152" t="s">
        <v>410</v>
      </c>
    </row>
    <row r="297" spans="1:3" s="290" customFormat="1">
      <c r="A297" s="288" t="s">
        <v>496</v>
      </c>
      <c r="B297" s="289"/>
      <c r="C297" s="289" t="s">
        <v>386</v>
      </c>
    </row>
    <row r="298" spans="1:3" s="151" customFormat="1">
      <c r="A298" s="153" t="s">
        <v>495</v>
      </c>
      <c r="B298" s="152"/>
      <c r="C298" s="152" t="s">
        <v>465</v>
      </c>
    </row>
    <row r="299" spans="1:3" s="290" customFormat="1">
      <c r="A299" s="288" t="s">
        <v>494</v>
      </c>
      <c r="B299" s="289"/>
      <c r="C299" s="289" t="s">
        <v>386</v>
      </c>
    </row>
    <row r="300" spans="1:3" s="163" customFormat="1">
      <c r="A300" s="165" t="s">
        <v>493</v>
      </c>
      <c r="B300" s="164"/>
      <c r="C300" s="164"/>
    </row>
    <row r="301" spans="1:3" s="290" customFormat="1">
      <c r="A301" s="288" t="s">
        <v>492</v>
      </c>
      <c r="B301" s="289"/>
      <c r="C301" s="289" t="s">
        <v>371</v>
      </c>
    </row>
    <row r="302" spans="1:3" s="151" customFormat="1">
      <c r="A302" s="153" t="s">
        <v>491</v>
      </c>
      <c r="B302" s="152"/>
      <c r="C302" s="152" t="s">
        <v>410</v>
      </c>
    </row>
    <row r="303" spans="1:3" s="290" customFormat="1">
      <c r="A303" s="288" t="s">
        <v>490</v>
      </c>
      <c r="B303" s="289"/>
      <c r="C303" s="289"/>
    </row>
    <row r="304" spans="1:3" s="151" customFormat="1">
      <c r="A304" s="153" t="s">
        <v>489</v>
      </c>
      <c r="B304" s="152"/>
      <c r="C304" s="152" t="s">
        <v>410</v>
      </c>
    </row>
    <row r="305" spans="1:7" s="290" customFormat="1">
      <c r="A305" s="288" t="s">
        <v>488</v>
      </c>
      <c r="B305" s="291">
        <v>45070</v>
      </c>
      <c r="C305" s="289" t="s">
        <v>384</v>
      </c>
    </row>
    <row r="306" spans="1:7" s="290" customFormat="1">
      <c r="A306" s="288" t="s">
        <v>487</v>
      </c>
      <c r="B306" s="289"/>
      <c r="C306" s="289"/>
    </row>
    <row r="307" spans="1:7" s="151" customFormat="1">
      <c r="A307" s="153" t="s">
        <v>486</v>
      </c>
      <c r="B307" s="152"/>
      <c r="C307" s="152" t="s">
        <v>410</v>
      </c>
      <c r="G307" s="167"/>
    </row>
    <row r="308" spans="1:7" s="163" customFormat="1">
      <c r="A308" s="165" t="s">
        <v>485</v>
      </c>
      <c r="B308" s="164"/>
      <c r="C308" s="164"/>
    </row>
    <row r="309" spans="1:7" s="151" customFormat="1">
      <c r="A309" s="153" t="s">
        <v>484</v>
      </c>
      <c r="B309" s="152"/>
      <c r="C309" s="152" t="s">
        <v>415</v>
      </c>
    </row>
    <row r="310" spans="1:7" s="151" customFormat="1">
      <c r="A310" s="153" t="s">
        <v>483</v>
      </c>
      <c r="B310" s="152"/>
      <c r="C310" s="152" t="s">
        <v>386</v>
      </c>
    </row>
    <row r="311" spans="1:7" s="151" customFormat="1">
      <c r="A311" s="153" t="s">
        <v>482</v>
      </c>
      <c r="B311" s="152"/>
      <c r="C311" s="152" t="s">
        <v>412</v>
      </c>
    </row>
    <row r="312" spans="1:7" s="151" customFormat="1">
      <c r="A312" s="153" t="s">
        <v>481</v>
      </c>
      <c r="B312" s="152"/>
      <c r="C312" s="152" t="s">
        <v>410</v>
      </c>
    </row>
    <row r="313" spans="1:7" s="163" customFormat="1">
      <c r="A313" s="165" t="s">
        <v>480</v>
      </c>
      <c r="B313" s="164"/>
      <c r="C313" s="164"/>
    </row>
    <row r="314" spans="1:7" s="151" customFormat="1">
      <c r="A314" s="153" t="s">
        <v>479</v>
      </c>
      <c r="B314" s="166">
        <v>45062</v>
      </c>
      <c r="C314" s="152" t="s">
        <v>386</v>
      </c>
    </row>
    <row r="315" spans="1:7" s="151" customFormat="1">
      <c r="A315" s="153" t="s">
        <v>478</v>
      </c>
      <c r="B315" s="152"/>
      <c r="C315" s="152" t="s">
        <v>410</v>
      </c>
    </row>
    <row r="316" spans="1:7" s="151" customFormat="1">
      <c r="A316" s="153" t="s">
        <v>477</v>
      </c>
      <c r="B316" s="152"/>
      <c r="C316" s="152" t="s">
        <v>410</v>
      </c>
    </row>
    <row r="317" spans="1:7" s="290" customFormat="1">
      <c r="A317" s="288" t="s">
        <v>476</v>
      </c>
      <c r="B317" s="289"/>
      <c r="C317" s="289"/>
    </row>
    <row r="318" spans="1:7" s="151" customFormat="1">
      <c r="A318" s="153" t="s">
        <v>475</v>
      </c>
      <c r="B318" s="152"/>
      <c r="C318" s="152" t="s">
        <v>386</v>
      </c>
    </row>
    <row r="319" spans="1:7" s="163" customFormat="1">
      <c r="A319" s="165" t="s">
        <v>474</v>
      </c>
      <c r="B319" s="164"/>
      <c r="C319" s="164" t="s">
        <v>1116</v>
      </c>
    </row>
    <row r="320" spans="1:7" s="154" customFormat="1">
      <c r="A320" s="156" t="s">
        <v>473</v>
      </c>
      <c r="B320" s="155"/>
      <c r="C320" s="155"/>
    </row>
    <row r="321" spans="1:3" s="151" customFormat="1">
      <c r="A321" s="153" t="s">
        <v>472</v>
      </c>
      <c r="B321" s="152"/>
      <c r="C321" s="152"/>
    </row>
    <row r="322" spans="1:3" s="151" customFormat="1">
      <c r="A322" s="153" t="s">
        <v>471</v>
      </c>
      <c r="B322" s="152"/>
      <c r="C322" s="152" t="s">
        <v>386</v>
      </c>
    </row>
    <row r="323" spans="1:3" s="151" customFormat="1">
      <c r="A323" s="153" t="s">
        <v>470</v>
      </c>
      <c r="B323" s="166">
        <v>45062</v>
      </c>
      <c r="C323" s="152" t="s">
        <v>386</v>
      </c>
    </row>
    <row r="324" spans="1:3" s="290" customFormat="1">
      <c r="A324" s="288" t="s">
        <v>469</v>
      </c>
      <c r="B324" s="289"/>
      <c r="C324" s="289" t="s">
        <v>386</v>
      </c>
    </row>
    <row r="325" spans="1:3" s="290" customFormat="1">
      <c r="A325" s="288" t="s">
        <v>468</v>
      </c>
      <c r="B325" s="289"/>
      <c r="C325" s="289"/>
    </row>
    <row r="326" spans="1:3" s="290" customFormat="1" ht="15" customHeight="1">
      <c r="A326" s="288" t="s">
        <v>467</v>
      </c>
      <c r="B326" s="289"/>
      <c r="C326" s="289" t="s">
        <v>384</v>
      </c>
    </row>
    <row r="327" spans="1:3" s="151" customFormat="1" ht="15" customHeight="1">
      <c r="A327" s="153" t="s">
        <v>466</v>
      </c>
      <c r="B327" s="152"/>
      <c r="C327" s="152" t="s">
        <v>386</v>
      </c>
    </row>
    <row r="328" spans="1:3" s="151" customFormat="1" ht="15" customHeight="1">
      <c r="A328" s="153" t="s">
        <v>464</v>
      </c>
      <c r="B328" s="152"/>
      <c r="C328" s="152" t="s">
        <v>412</v>
      </c>
    </row>
    <row r="329" spans="1:3" s="163" customFormat="1">
      <c r="A329" s="165" t="s">
        <v>463</v>
      </c>
      <c r="B329" s="164"/>
      <c r="C329" s="164"/>
    </row>
    <row r="330" spans="1:3" s="290" customFormat="1">
      <c r="A330" s="288" t="s">
        <v>462</v>
      </c>
      <c r="B330" s="289"/>
      <c r="C330" s="289"/>
    </row>
    <row r="331" spans="1:3" s="154" customFormat="1">
      <c r="A331" s="156" t="s">
        <v>461</v>
      </c>
      <c r="B331" s="155"/>
      <c r="C331" s="155"/>
    </row>
    <row r="332" spans="1:3" s="151" customFormat="1">
      <c r="A332" s="153" t="s">
        <v>460</v>
      </c>
      <c r="B332" s="152"/>
      <c r="C332" s="152"/>
    </row>
    <row r="333" spans="1:3" s="290" customFormat="1">
      <c r="A333" s="288" t="s">
        <v>459</v>
      </c>
      <c r="B333" s="289"/>
      <c r="C333" s="289" t="s">
        <v>368</v>
      </c>
    </row>
    <row r="334" spans="1:3" s="290" customFormat="1">
      <c r="A334" s="288" t="s">
        <v>458</v>
      </c>
      <c r="B334" s="289"/>
      <c r="C334" s="289" t="s">
        <v>368</v>
      </c>
    </row>
    <row r="335" spans="1:3" s="151" customFormat="1">
      <c r="A335" s="153" t="s">
        <v>457</v>
      </c>
      <c r="B335" s="152"/>
      <c r="C335" s="152" t="s">
        <v>368</v>
      </c>
    </row>
    <row r="336" spans="1:3" s="154" customFormat="1">
      <c r="A336" s="156" t="s">
        <v>456</v>
      </c>
      <c r="B336" s="155"/>
      <c r="C336" s="155"/>
    </row>
    <row r="337" spans="1:3" s="290" customFormat="1">
      <c r="A337" s="288" t="s">
        <v>455</v>
      </c>
      <c r="B337" s="289"/>
      <c r="C337" s="289" t="s">
        <v>386</v>
      </c>
    </row>
    <row r="338" spans="1:3" s="290" customFormat="1">
      <c r="A338" s="288" t="s">
        <v>454</v>
      </c>
      <c r="B338" s="289"/>
      <c r="C338" s="289" t="s">
        <v>386</v>
      </c>
    </row>
    <row r="339" spans="1:3" s="290" customFormat="1">
      <c r="A339" s="288" t="s">
        <v>453</v>
      </c>
      <c r="B339" s="289"/>
      <c r="C339" s="289"/>
    </row>
    <row r="340" spans="1:3" s="154" customFormat="1">
      <c r="A340" s="156" t="s">
        <v>106</v>
      </c>
      <c r="B340" s="155"/>
      <c r="C340" s="155"/>
    </row>
    <row r="341" spans="1:3" s="151" customFormat="1">
      <c r="A341" s="153" t="s">
        <v>452</v>
      </c>
      <c r="B341" s="152"/>
      <c r="C341" s="152" t="s">
        <v>410</v>
      </c>
    </row>
    <row r="342" spans="1:3" s="151" customFormat="1">
      <c r="A342" s="153" t="s">
        <v>451</v>
      </c>
      <c r="B342" s="152"/>
      <c r="C342" s="152"/>
    </row>
    <row r="343" spans="1:3" s="151" customFormat="1">
      <c r="A343" s="153" t="s">
        <v>450</v>
      </c>
      <c r="B343" s="152"/>
      <c r="C343" s="152" t="s">
        <v>415</v>
      </c>
    </row>
    <row r="344" spans="1:3" s="151" customFormat="1">
      <c r="A344" s="153" t="s">
        <v>449</v>
      </c>
      <c r="B344" s="152"/>
      <c r="C344" s="152" t="s">
        <v>415</v>
      </c>
    </row>
    <row r="345" spans="1:3" s="151" customFormat="1">
      <c r="A345" s="153" t="s">
        <v>448</v>
      </c>
      <c r="B345" s="152"/>
      <c r="C345" s="152" t="s">
        <v>410</v>
      </c>
    </row>
    <row r="346" spans="1:3" s="290" customFormat="1">
      <c r="A346" s="288" t="s">
        <v>447</v>
      </c>
      <c r="B346" s="289"/>
      <c r="C346" s="289" t="s">
        <v>415</v>
      </c>
    </row>
    <row r="347" spans="1:3" s="290" customFormat="1">
      <c r="A347" s="288" t="s">
        <v>446</v>
      </c>
      <c r="B347" s="289"/>
      <c r="C347" s="289"/>
    </row>
    <row r="348" spans="1:3" s="151" customFormat="1">
      <c r="A348" s="153" t="s">
        <v>445</v>
      </c>
      <c r="B348" s="166">
        <v>45048</v>
      </c>
      <c r="C348" s="152" t="s">
        <v>384</v>
      </c>
    </row>
    <row r="349" spans="1:3" s="151" customFormat="1" ht="30">
      <c r="A349" s="153" t="s">
        <v>444</v>
      </c>
      <c r="B349" s="152"/>
      <c r="C349" s="152" t="s">
        <v>415</v>
      </c>
    </row>
    <row r="350" spans="1:3" s="151" customFormat="1">
      <c r="A350" s="153" t="s">
        <v>443</v>
      </c>
      <c r="B350" s="152"/>
      <c r="C350" s="152" t="s">
        <v>384</v>
      </c>
    </row>
    <row r="351" spans="1:3" s="151" customFormat="1">
      <c r="A351" s="153" t="s">
        <v>442</v>
      </c>
      <c r="B351" s="152"/>
      <c r="C351" s="152" t="s">
        <v>412</v>
      </c>
    </row>
    <row r="352" spans="1:3" s="151" customFormat="1">
      <c r="A352" s="153" t="s">
        <v>441</v>
      </c>
      <c r="B352" s="166">
        <v>45061</v>
      </c>
      <c r="C352" s="152" t="s">
        <v>386</v>
      </c>
    </row>
    <row r="353" spans="1:3" s="154" customFormat="1">
      <c r="A353" s="156" t="s">
        <v>440</v>
      </c>
      <c r="B353" s="155"/>
      <c r="C353" s="155"/>
    </row>
    <row r="354" spans="1:3" s="290" customFormat="1">
      <c r="A354" s="288" t="s">
        <v>439</v>
      </c>
      <c r="B354" s="289"/>
      <c r="C354" s="289" t="s">
        <v>386</v>
      </c>
    </row>
    <row r="355" spans="1:3" s="151" customFormat="1">
      <c r="A355" s="153" t="s">
        <v>438</v>
      </c>
      <c r="B355" s="152"/>
      <c r="C355" s="152" t="s">
        <v>386</v>
      </c>
    </row>
    <row r="356" spans="1:3" s="151" customFormat="1">
      <c r="A356" s="153" t="s">
        <v>437</v>
      </c>
      <c r="B356" s="152"/>
      <c r="C356" s="152" t="s">
        <v>386</v>
      </c>
    </row>
    <row r="357" spans="1:3" s="151" customFormat="1">
      <c r="A357" s="153" t="s">
        <v>436</v>
      </c>
      <c r="B357" s="152"/>
      <c r="C357" s="152" t="s">
        <v>415</v>
      </c>
    </row>
    <row r="358" spans="1:3" s="151" customFormat="1">
      <c r="A358" s="153" t="s">
        <v>435</v>
      </c>
      <c r="B358" s="152"/>
      <c r="C358" s="152" t="s">
        <v>415</v>
      </c>
    </row>
    <row r="359" spans="1:3" s="290" customFormat="1">
      <c r="A359" s="288" t="s">
        <v>434</v>
      </c>
      <c r="B359" s="289"/>
      <c r="C359" s="289" t="s">
        <v>384</v>
      </c>
    </row>
    <row r="360" spans="1:3" s="290" customFormat="1">
      <c r="A360" s="288" t="s">
        <v>433</v>
      </c>
      <c r="B360" s="289"/>
      <c r="C360" s="289"/>
    </row>
    <row r="361" spans="1:3" s="151" customFormat="1">
      <c r="A361" s="153" t="s">
        <v>432</v>
      </c>
      <c r="B361" s="152"/>
      <c r="C361" s="152" t="s">
        <v>386</v>
      </c>
    </row>
    <row r="362" spans="1:3" s="151" customFormat="1">
      <c r="A362" s="153" t="s">
        <v>431</v>
      </c>
      <c r="B362" s="152"/>
      <c r="C362" s="152" t="s">
        <v>410</v>
      </c>
    </row>
    <row r="363" spans="1:3" s="151" customFormat="1">
      <c r="A363" s="153" t="s">
        <v>430</v>
      </c>
      <c r="B363" s="152"/>
      <c r="C363" s="152" t="s">
        <v>415</v>
      </c>
    </row>
    <row r="364" spans="1:3" s="290" customFormat="1">
      <c r="A364" s="288" t="s">
        <v>429</v>
      </c>
      <c r="B364" s="289"/>
      <c r="C364" s="289" t="s">
        <v>410</v>
      </c>
    </row>
    <row r="365" spans="1:3" s="290" customFormat="1">
      <c r="A365" s="288" t="s">
        <v>428</v>
      </c>
      <c r="B365" s="289"/>
      <c r="C365" s="289" t="s">
        <v>410</v>
      </c>
    </row>
    <row r="366" spans="1:3" s="290" customFormat="1">
      <c r="A366" s="288" t="s">
        <v>427</v>
      </c>
      <c r="B366" s="289"/>
      <c r="C366" s="289" t="s">
        <v>386</v>
      </c>
    </row>
    <row r="367" spans="1:3" s="290" customFormat="1">
      <c r="A367" s="288" t="s">
        <v>426</v>
      </c>
      <c r="B367" s="289"/>
      <c r="C367" s="289" t="s">
        <v>386</v>
      </c>
    </row>
    <row r="368" spans="1:3" s="151" customFormat="1">
      <c r="A368" s="153" t="s">
        <v>425</v>
      </c>
      <c r="B368" s="152"/>
      <c r="C368" s="152" t="s">
        <v>424</v>
      </c>
    </row>
    <row r="369" spans="1:3" s="162" customFormat="1">
      <c r="A369" s="153" t="s">
        <v>423</v>
      </c>
      <c r="B369" s="152"/>
      <c r="C369" s="152" t="s">
        <v>415</v>
      </c>
    </row>
    <row r="370" spans="1:3" s="290" customFormat="1">
      <c r="A370" s="288" t="s">
        <v>422</v>
      </c>
      <c r="B370" s="289"/>
      <c r="C370" s="289" t="s">
        <v>384</v>
      </c>
    </row>
    <row r="371" spans="1:3" s="154" customFormat="1">
      <c r="A371" s="156" t="s">
        <v>421</v>
      </c>
      <c r="B371" s="155"/>
      <c r="C371" s="155"/>
    </row>
    <row r="372" spans="1:3" s="151" customFormat="1">
      <c r="A372" s="153" t="s">
        <v>420</v>
      </c>
      <c r="B372" s="152"/>
      <c r="C372" s="152" t="s">
        <v>410</v>
      </c>
    </row>
    <row r="373" spans="1:3" s="290" customFormat="1">
      <c r="A373" s="288" t="s">
        <v>419</v>
      </c>
      <c r="B373" s="289"/>
      <c r="C373" s="289" t="s">
        <v>410</v>
      </c>
    </row>
    <row r="374" spans="1:3" s="157" customFormat="1" ht="23.25" customHeight="1">
      <c r="A374" s="159" t="s">
        <v>418</v>
      </c>
      <c r="B374" s="158"/>
      <c r="C374" s="158"/>
    </row>
    <row r="375" spans="1:3" s="151" customFormat="1">
      <c r="A375" s="153" t="s">
        <v>417</v>
      </c>
      <c r="B375" s="152"/>
      <c r="C375" s="152" t="s">
        <v>415</v>
      </c>
    </row>
    <row r="376" spans="1:3" s="151" customFormat="1">
      <c r="A376" s="153" t="s">
        <v>416</v>
      </c>
      <c r="B376" s="152"/>
      <c r="C376" s="152" t="s">
        <v>415</v>
      </c>
    </row>
    <row r="377" spans="1:3" s="151" customFormat="1">
      <c r="A377" s="153" t="s">
        <v>414</v>
      </c>
      <c r="B377" s="152"/>
      <c r="C377" s="152"/>
    </row>
    <row r="378" spans="1:3" s="151" customFormat="1">
      <c r="A378" s="153" t="s">
        <v>413</v>
      </c>
      <c r="B378" s="152"/>
      <c r="C378" s="152" t="s">
        <v>412</v>
      </c>
    </row>
    <row r="379" spans="1:3" s="157" customFormat="1" ht="22.5" customHeight="1">
      <c r="A379" s="159" t="s">
        <v>236</v>
      </c>
      <c r="B379" s="158"/>
      <c r="C379" s="158"/>
    </row>
    <row r="380" spans="1:3" s="151" customFormat="1">
      <c r="A380" s="153" t="s">
        <v>411</v>
      </c>
      <c r="B380" s="152"/>
      <c r="C380" s="152" t="s">
        <v>410</v>
      </c>
    </row>
    <row r="381" spans="1:3" s="290" customFormat="1">
      <c r="A381" s="288" t="s">
        <v>409</v>
      </c>
      <c r="B381" s="289"/>
      <c r="C381" s="289"/>
    </row>
    <row r="382" spans="1:3" s="154" customFormat="1">
      <c r="A382" s="156" t="s">
        <v>408</v>
      </c>
      <c r="B382" s="155"/>
      <c r="C382" s="155"/>
    </row>
    <row r="383" spans="1:3" s="151" customFormat="1">
      <c r="A383" s="153" t="s">
        <v>407</v>
      </c>
      <c r="B383" s="152"/>
      <c r="C383" s="152" t="s">
        <v>386</v>
      </c>
    </row>
  </sheetData>
  <mergeCells count="1">
    <mergeCell ref="D2:I2"/>
  </mergeCells>
  <conditionalFormatting sqref="A289 D2 A122:B123 D122:F123 D125:F146 A125:B146 A148:B154 D148:F154 A156:B288 A290:B1048576 D156:F1048576 D3:F120 A2:B120">
    <cfRule type="containsText" dxfId="2300" priority="10" operator="containsText" text="PIX">
      <formula>NOT(ISERROR(SEARCH("PIX",A2)))</formula>
    </cfRule>
  </conditionalFormatting>
  <conditionalFormatting sqref="A289 A122:B123 D122:D123 D125:D146 A125:B146 A148:B154 D148:D154 A156:B288 A290:B1048576 D156:D1048576 D2:D120 A2:B120">
    <cfRule type="containsText" dxfId="2299" priority="9" operator="containsText" text="DINHEIRO">
      <formula>NOT(ISERROR(SEARCH("DINHEIRO",A2)))</formula>
    </cfRule>
  </conditionalFormatting>
  <conditionalFormatting sqref="A121:AR121">
    <cfRule type="containsText" dxfId="2298" priority="8" operator="containsText" text="PIX">
      <formula>NOT(ISERROR(SEARCH("PIX",A121)))</formula>
    </cfRule>
  </conditionalFormatting>
  <conditionalFormatting sqref="A121:AR121">
    <cfRule type="containsText" dxfId="2297" priority="7" operator="containsText" text="DINHEIRO">
      <formula>NOT(ISERROR(SEARCH("DINHEIRO",A121)))</formula>
    </cfRule>
  </conditionalFormatting>
  <conditionalFormatting sqref="A124:B124 D124:F124">
    <cfRule type="containsText" dxfId="2296" priority="6" operator="containsText" text="PIX">
      <formula>NOT(ISERROR(SEARCH("PIX",A124)))</formula>
    </cfRule>
  </conditionalFormatting>
  <conditionalFormatting sqref="A124:B124 D124">
    <cfRule type="containsText" dxfId="2295" priority="5" operator="containsText" text="DINHEIRO">
      <formula>NOT(ISERROR(SEARCH("DINHEIRO",A124)))</formula>
    </cfRule>
  </conditionalFormatting>
  <conditionalFormatting sqref="D155:F155 A155:B155">
    <cfRule type="containsText" dxfId="2294" priority="4" operator="containsText" text="PIX">
      <formula>NOT(ISERROR(SEARCH("PIX",A155)))</formula>
    </cfRule>
  </conditionalFormatting>
  <conditionalFormatting sqref="D155 A155:B155">
    <cfRule type="containsText" dxfId="2293" priority="3" operator="containsText" text="DINHEIRO">
      <formula>NOT(ISERROR(SEARCH("DINHEIRO",A155)))</formula>
    </cfRule>
  </conditionalFormatting>
  <conditionalFormatting sqref="D147:F147 A147:B147">
    <cfRule type="containsText" dxfId="2292" priority="2" operator="containsText" text="PIX">
      <formula>NOT(ISERROR(SEARCH("PIX",A147)))</formula>
    </cfRule>
  </conditionalFormatting>
  <conditionalFormatting sqref="D147 A147:B147">
    <cfRule type="containsText" dxfId="2291" priority="1" operator="containsText" text="DINHEIRO">
      <formula>NOT(ISERROR(SEARCH("DINHEIRO",A147)))</formula>
    </cfRule>
  </conditionalFormatting>
  <hyperlinks>
    <hyperlink ref="C1" location="dashboard!A1" display="RETONAR AO DASHBOARD" xr:uid="{00000000-0004-0000-0000-000000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C1:I19"/>
  <sheetViews>
    <sheetView workbookViewId="0">
      <selection activeCell="D1" sqref="D1:G1"/>
    </sheetView>
  </sheetViews>
  <sheetFormatPr defaultRowHeight="15"/>
  <cols>
    <col min="5" max="5" width="44.140625" customWidth="1"/>
    <col min="8" max="9" width="9.140625" style="50"/>
  </cols>
  <sheetData>
    <row r="1" spans="3:9" s="131" customFormat="1" ht="32.25" customHeight="1">
      <c r="D1" s="447" t="s">
        <v>406</v>
      </c>
      <c r="E1" s="447"/>
      <c r="F1" s="447"/>
      <c r="G1" s="447"/>
      <c r="H1" s="332"/>
      <c r="I1" s="333"/>
    </row>
    <row r="3" spans="3:9">
      <c r="C3" s="448" t="s">
        <v>1177</v>
      </c>
      <c r="D3" s="448"/>
      <c r="E3" s="448"/>
      <c r="F3" s="448"/>
      <c r="G3" s="448"/>
      <c r="H3" s="448"/>
      <c r="I3" s="448"/>
    </row>
    <row r="4" spans="3:9">
      <c r="C4" s="448"/>
      <c r="D4" s="448"/>
      <c r="E4" s="448"/>
      <c r="F4" s="448"/>
      <c r="G4" s="448"/>
      <c r="H4" s="448"/>
      <c r="I4" s="448"/>
    </row>
    <row r="6" spans="3:9">
      <c r="C6" s="445" t="s">
        <v>301</v>
      </c>
      <c r="D6" s="445"/>
      <c r="E6" s="47" t="s">
        <v>1178</v>
      </c>
      <c r="F6" s="442" t="s">
        <v>1179</v>
      </c>
      <c r="G6" s="443"/>
      <c r="H6" s="446" t="s">
        <v>302</v>
      </c>
      <c r="I6" s="446"/>
    </row>
    <row r="7" spans="3:9">
      <c r="C7" s="444">
        <v>45294</v>
      </c>
      <c r="D7" s="445"/>
      <c r="E7" s="101" t="s">
        <v>1658</v>
      </c>
      <c r="F7" s="442" t="s">
        <v>1659</v>
      </c>
      <c r="G7" s="443"/>
      <c r="H7" s="446"/>
      <c r="I7" s="446"/>
    </row>
    <row r="8" spans="3:9">
      <c r="C8" s="445"/>
      <c r="D8" s="445"/>
      <c r="E8" s="101" t="s">
        <v>1660</v>
      </c>
      <c r="F8" s="442"/>
      <c r="G8" s="443"/>
      <c r="H8" s="446"/>
      <c r="I8" s="446"/>
    </row>
    <row r="9" spans="3:9">
      <c r="C9" s="445"/>
      <c r="D9" s="445"/>
      <c r="E9" s="101" t="s">
        <v>1661</v>
      </c>
      <c r="F9" s="442"/>
      <c r="G9" s="443"/>
      <c r="H9" s="446"/>
      <c r="I9" s="446"/>
    </row>
    <row r="10" spans="3:9">
      <c r="C10" s="445"/>
      <c r="D10" s="445"/>
      <c r="E10" s="101"/>
      <c r="F10" s="442"/>
      <c r="G10" s="443"/>
      <c r="H10" s="446"/>
      <c r="I10" s="446"/>
    </row>
    <row r="11" spans="3:9">
      <c r="C11" s="445"/>
      <c r="D11" s="445"/>
      <c r="E11" s="101"/>
      <c r="F11" s="442"/>
      <c r="G11" s="443"/>
      <c r="H11" s="446"/>
      <c r="I11" s="446"/>
    </row>
    <row r="12" spans="3:9">
      <c r="C12" s="445"/>
      <c r="D12" s="445"/>
      <c r="E12" s="101"/>
      <c r="F12" s="442"/>
      <c r="G12" s="443"/>
      <c r="H12" s="446"/>
      <c r="I12" s="446"/>
    </row>
    <row r="13" spans="3:9">
      <c r="C13" s="445"/>
      <c r="D13" s="445"/>
      <c r="E13" s="101"/>
      <c r="F13" s="442"/>
      <c r="G13" s="443"/>
      <c r="H13" s="446"/>
      <c r="I13" s="446"/>
    </row>
    <row r="14" spans="3:9">
      <c r="C14" s="445"/>
      <c r="D14" s="445"/>
      <c r="E14" s="101"/>
      <c r="F14" s="442"/>
      <c r="G14" s="443"/>
      <c r="H14" s="446"/>
      <c r="I14" s="446"/>
    </row>
    <row r="15" spans="3:9">
      <c r="C15" s="445"/>
      <c r="D15" s="445"/>
      <c r="E15" s="101"/>
      <c r="F15" s="442"/>
      <c r="G15" s="443"/>
      <c r="H15" s="446"/>
      <c r="I15" s="446"/>
    </row>
    <row r="16" spans="3:9">
      <c r="C16" s="445"/>
      <c r="D16" s="445"/>
      <c r="E16" s="101"/>
      <c r="F16" s="442"/>
      <c r="G16" s="443"/>
      <c r="H16" s="446"/>
      <c r="I16" s="446"/>
    </row>
    <row r="17" spans="3:9">
      <c r="C17" s="445"/>
      <c r="D17" s="445"/>
      <c r="E17" s="101"/>
      <c r="F17" s="442"/>
      <c r="G17" s="443"/>
      <c r="H17" s="446"/>
      <c r="I17" s="446"/>
    </row>
    <row r="18" spans="3:9">
      <c r="C18" s="445"/>
      <c r="D18" s="445"/>
      <c r="E18" s="101"/>
      <c r="F18" s="442"/>
      <c r="G18" s="443"/>
      <c r="H18" s="446"/>
      <c r="I18" s="446"/>
    </row>
    <row r="19" spans="3:9">
      <c r="C19" s="445"/>
      <c r="D19" s="445"/>
      <c r="E19" s="101"/>
      <c r="F19" s="442"/>
      <c r="G19" s="443"/>
      <c r="H19" s="446"/>
      <c r="I19" s="446"/>
    </row>
  </sheetData>
  <mergeCells count="44">
    <mergeCell ref="C19:D19"/>
    <mergeCell ref="H19:I19"/>
    <mergeCell ref="F6:G6"/>
    <mergeCell ref="C17:D17"/>
    <mergeCell ref="H17:I17"/>
    <mergeCell ref="C18:D18"/>
    <mergeCell ref="H18:I18"/>
    <mergeCell ref="C15:D15"/>
    <mergeCell ref="H15:I15"/>
    <mergeCell ref="C16:D16"/>
    <mergeCell ref="H16:I16"/>
    <mergeCell ref="C13:D13"/>
    <mergeCell ref="H13:I13"/>
    <mergeCell ref="C14:D14"/>
    <mergeCell ref="H14:I14"/>
    <mergeCell ref="C11:D11"/>
    <mergeCell ref="H11:I11"/>
    <mergeCell ref="C12:D12"/>
    <mergeCell ref="H12:I12"/>
    <mergeCell ref="C9:D9"/>
    <mergeCell ref="H9:I9"/>
    <mergeCell ref="C10:D10"/>
    <mergeCell ref="H10:I10"/>
    <mergeCell ref="F9:G9"/>
    <mergeCell ref="F10:G10"/>
    <mergeCell ref="F11:G11"/>
    <mergeCell ref="F12:G12"/>
    <mergeCell ref="C7:D7"/>
    <mergeCell ref="H7:I7"/>
    <mergeCell ref="C8:D8"/>
    <mergeCell ref="H8:I8"/>
    <mergeCell ref="D1:G1"/>
    <mergeCell ref="C3:I4"/>
    <mergeCell ref="C6:D6"/>
    <mergeCell ref="H6:I6"/>
    <mergeCell ref="F7:G7"/>
    <mergeCell ref="F8:G8"/>
    <mergeCell ref="F18:G18"/>
    <mergeCell ref="F19:G19"/>
    <mergeCell ref="F13:G13"/>
    <mergeCell ref="F14:G14"/>
    <mergeCell ref="F15:G15"/>
    <mergeCell ref="F16:G16"/>
    <mergeCell ref="F17:G17"/>
  </mergeCells>
  <hyperlinks>
    <hyperlink ref="D1" location="dashboard!A1" display="RETONAR AO DASHBOARD" xr:uid="{00000000-0004-0000-0100-00000000000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6"/>
  <dimension ref="A1:P1264"/>
  <sheetViews>
    <sheetView showGridLines="0" zoomScale="85" zoomScaleNormal="85" workbookViewId="0">
      <pane ySplit="1" topLeftCell="A2" activePane="bottomLeft" state="frozen"/>
      <selection pane="bottomLeft" activeCell="B1" sqref="B1"/>
    </sheetView>
  </sheetViews>
  <sheetFormatPr defaultColWidth="9.140625" defaultRowHeight="18.75" customHeight="1"/>
  <cols>
    <col min="1" max="1" width="38.42578125" style="178" customWidth="1"/>
    <col min="2" max="2" width="37.28515625" style="178" bestFit="1" customWidth="1"/>
    <col min="3" max="3" width="14.5703125" style="178" customWidth="1"/>
    <col min="4" max="4" width="4.28515625" style="178" customWidth="1"/>
    <col min="5" max="5" width="13.5703125" style="178" customWidth="1"/>
    <col min="6" max="6" width="14" style="178" customWidth="1"/>
    <col min="7" max="7" width="4.42578125" style="178" customWidth="1"/>
    <col min="8" max="8" width="9.85546875" style="178" customWidth="1"/>
    <col min="9" max="9" width="11.140625" style="178" customWidth="1"/>
    <col min="10" max="10" width="11.42578125" style="178" customWidth="1"/>
    <col min="11" max="11" width="10.85546875" style="178" customWidth="1"/>
    <col min="12" max="12" width="8" style="179" customWidth="1"/>
    <col min="13" max="13" width="13.140625" style="178" bestFit="1" customWidth="1"/>
    <col min="14" max="14" width="11.85546875" style="177" customWidth="1"/>
    <col min="15" max="15" width="12.140625" style="177" bestFit="1" customWidth="1"/>
    <col min="16" max="16384" width="9.140625" style="177"/>
  </cols>
  <sheetData>
    <row r="1" spans="1:16" s="131" customFormat="1" ht="32.25" customHeight="1" thickBot="1">
      <c r="B1" s="320" t="s">
        <v>406</v>
      </c>
    </row>
    <row r="2" spans="1:16" ht="15" customHeight="1">
      <c r="A2" s="218">
        <f ca="1">TODAY()</f>
        <v>46028</v>
      </c>
      <c r="M2" s="178" t="s">
        <v>2176</v>
      </c>
    </row>
    <row r="3" spans="1:16" ht="18.75" customHeight="1">
      <c r="A3" s="218"/>
      <c r="M3" s="178" t="s">
        <v>802</v>
      </c>
      <c r="N3" s="177">
        <v>100</v>
      </c>
      <c r="O3" s="177">
        <v>250</v>
      </c>
      <c r="P3" s="220" t="s">
        <v>959</v>
      </c>
    </row>
    <row r="4" spans="1:16" ht="18.75" customHeight="1">
      <c r="A4" s="218"/>
      <c r="B4" s="455"/>
      <c r="C4" s="455"/>
      <c r="D4" s="455"/>
      <c r="E4" s="455"/>
      <c r="F4" s="455"/>
      <c r="G4" s="455"/>
      <c r="H4" s="455"/>
      <c r="I4" s="455"/>
      <c r="J4" s="455"/>
      <c r="M4" s="178" t="s">
        <v>778</v>
      </c>
      <c r="N4" s="177">
        <v>65</v>
      </c>
      <c r="O4" s="177">
        <v>100</v>
      </c>
      <c r="P4" s="219" t="s">
        <v>958</v>
      </c>
    </row>
    <row r="5" spans="1:16" ht="18.75" customHeight="1">
      <c r="A5" s="218"/>
      <c r="B5" s="455"/>
      <c r="C5" s="455"/>
      <c r="D5" s="455"/>
      <c r="E5" s="455"/>
      <c r="F5" s="455"/>
      <c r="G5" s="455"/>
      <c r="H5" s="455"/>
      <c r="I5" s="455"/>
      <c r="J5" s="455"/>
      <c r="M5" s="178" t="s">
        <v>785</v>
      </c>
      <c r="N5" s="177">
        <v>145</v>
      </c>
      <c r="O5" s="177">
        <v>285</v>
      </c>
      <c r="P5" s="217" t="s">
        <v>957</v>
      </c>
    </row>
    <row r="6" spans="1:16" ht="18.75" customHeight="1">
      <c r="A6" s="215">
        <f ca="1">TODAY()</f>
        <v>46028</v>
      </c>
      <c r="M6" s="178" t="s">
        <v>781</v>
      </c>
      <c r="N6" s="177">
        <v>95</v>
      </c>
      <c r="O6" s="177">
        <v>180</v>
      </c>
      <c r="P6" s="216" t="s">
        <v>956</v>
      </c>
    </row>
    <row r="7" spans="1:16" ht="18.75" customHeight="1">
      <c r="A7" s="215"/>
      <c r="P7" s="214" t="s">
        <v>955</v>
      </c>
    </row>
    <row r="8" spans="1:16" ht="30">
      <c r="A8" s="212" t="s">
        <v>0</v>
      </c>
      <c r="B8" s="212" t="s">
        <v>954</v>
      </c>
      <c r="C8" s="212" t="s">
        <v>953</v>
      </c>
      <c r="D8" s="212"/>
      <c r="E8" s="212" t="s">
        <v>301</v>
      </c>
      <c r="F8" s="212" t="s">
        <v>952</v>
      </c>
      <c r="G8" s="212"/>
      <c r="H8" s="212" t="s">
        <v>951</v>
      </c>
      <c r="I8" s="212" t="s">
        <v>950</v>
      </c>
      <c r="J8" s="212" t="s">
        <v>949</v>
      </c>
      <c r="K8" s="212" t="s">
        <v>948</v>
      </c>
      <c r="L8" s="213" t="s">
        <v>947</v>
      </c>
      <c r="M8" s="212" t="s">
        <v>946</v>
      </c>
    </row>
    <row r="9" spans="1:16" ht="18.75" customHeight="1">
      <c r="A9" s="180" t="s">
        <v>945</v>
      </c>
      <c r="B9" s="180" t="s">
        <v>914</v>
      </c>
      <c r="C9" s="180" t="s">
        <v>781</v>
      </c>
      <c r="D9" s="180">
        <f t="shared" ref="D9:D27" si="0">IF(C9="A1 - 1 ano PJ",365,IF(C9="A1 - 1 ano PF",365,(365*3)))</f>
        <v>365</v>
      </c>
      <c r="E9" s="184">
        <v>44399</v>
      </c>
      <c r="F9" s="184">
        <f t="shared" ref="F9:F27" si="1">E9+D9</f>
        <v>44764</v>
      </c>
      <c r="G9" s="184">
        <f t="shared" ref="G9:G27" si="2">F9-30</f>
        <v>44734</v>
      </c>
      <c r="H9" s="184" t="str">
        <f t="shared" ref="H9:H27" ca="1" si="3">IF($A$6&lt;G9,"VÁLIDO",IF($A$6&gt;F9,"VENCIDO","A VENCER"))</f>
        <v>VENCIDO</v>
      </c>
      <c r="I9" s="211">
        <f t="shared" ref="I9:I40" si="4">VLOOKUP(C9,$M$3:$O$6,2,0)</f>
        <v>95</v>
      </c>
      <c r="J9" s="182">
        <f t="shared" ref="J9:J54" si="5">VLOOKUP(C9,$M$3:$O$6,3,0)</f>
        <v>180</v>
      </c>
      <c r="K9" s="182">
        <f t="shared" ref="K9:K27" si="6">J9-I9</f>
        <v>85</v>
      </c>
      <c r="L9" s="181">
        <f t="shared" ref="L9:L27" si="7">K9/J9</f>
        <v>0.47222222222222221</v>
      </c>
      <c r="M9" s="180" t="s">
        <v>777</v>
      </c>
    </row>
    <row r="10" spans="1:16" ht="18.75" customHeight="1">
      <c r="A10" s="180" t="s">
        <v>944</v>
      </c>
      <c r="B10" s="180" t="s">
        <v>944</v>
      </c>
      <c r="C10" s="180" t="s">
        <v>781</v>
      </c>
      <c r="D10" s="180">
        <f t="shared" si="0"/>
        <v>365</v>
      </c>
      <c r="E10" s="184">
        <v>44400</v>
      </c>
      <c r="F10" s="184">
        <f t="shared" si="1"/>
        <v>44765</v>
      </c>
      <c r="G10" s="184">
        <f t="shared" si="2"/>
        <v>44735</v>
      </c>
      <c r="H10" s="184" t="str">
        <f t="shared" ca="1" si="3"/>
        <v>VENCIDO</v>
      </c>
      <c r="I10" s="211">
        <f t="shared" si="4"/>
        <v>95</v>
      </c>
      <c r="J10" s="182">
        <f t="shared" si="5"/>
        <v>180</v>
      </c>
      <c r="K10" s="182">
        <f t="shared" si="6"/>
        <v>85</v>
      </c>
      <c r="L10" s="181">
        <f t="shared" si="7"/>
        <v>0.47222222222222221</v>
      </c>
      <c r="M10" s="180" t="s">
        <v>777</v>
      </c>
    </row>
    <row r="11" spans="1:16" ht="18.75" customHeight="1">
      <c r="A11" s="180"/>
      <c r="B11" s="180" t="s">
        <v>943</v>
      </c>
      <c r="C11" s="180" t="s">
        <v>778</v>
      </c>
      <c r="D11" s="180">
        <f t="shared" si="0"/>
        <v>365</v>
      </c>
      <c r="E11" s="184">
        <v>44403</v>
      </c>
      <c r="F11" s="184">
        <f t="shared" si="1"/>
        <v>44768</v>
      </c>
      <c r="G11" s="184">
        <f t="shared" si="2"/>
        <v>44738</v>
      </c>
      <c r="H11" s="184" t="str">
        <f t="shared" ca="1" si="3"/>
        <v>VENCIDO</v>
      </c>
      <c r="I11" s="211">
        <f t="shared" si="4"/>
        <v>65</v>
      </c>
      <c r="J11" s="182">
        <f t="shared" si="5"/>
        <v>100</v>
      </c>
      <c r="K11" s="182">
        <f t="shared" si="6"/>
        <v>35</v>
      </c>
      <c r="L11" s="181">
        <f t="shared" si="7"/>
        <v>0.35</v>
      </c>
      <c r="M11" s="180" t="s">
        <v>777</v>
      </c>
    </row>
    <row r="12" spans="1:16" ht="18.75" customHeight="1">
      <c r="A12" s="180"/>
      <c r="B12" s="180" t="s">
        <v>942</v>
      </c>
      <c r="C12" s="180" t="s">
        <v>802</v>
      </c>
      <c r="D12" s="180">
        <f t="shared" si="0"/>
        <v>1095</v>
      </c>
      <c r="E12" s="184">
        <v>44403</v>
      </c>
      <c r="F12" s="184">
        <f t="shared" si="1"/>
        <v>45498</v>
      </c>
      <c r="G12" s="184">
        <f t="shared" si="2"/>
        <v>45468</v>
      </c>
      <c r="H12" s="184" t="str">
        <f t="shared" ca="1" si="3"/>
        <v>VENCIDO</v>
      </c>
      <c r="I12" s="211">
        <f t="shared" si="4"/>
        <v>100</v>
      </c>
      <c r="J12" s="182">
        <f t="shared" si="5"/>
        <v>250</v>
      </c>
      <c r="K12" s="182">
        <f t="shared" si="6"/>
        <v>150</v>
      </c>
      <c r="L12" s="181">
        <f t="shared" si="7"/>
        <v>0.6</v>
      </c>
      <c r="M12" s="196" t="s">
        <v>777</v>
      </c>
    </row>
    <row r="13" spans="1:16" ht="18.75" customHeight="1">
      <c r="A13" s="180"/>
      <c r="B13" s="180" t="s">
        <v>138</v>
      </c>
      <c r="C13" s="180" t="s">
        <v>802</v>
      </c>
      <c r="D13" s="180">
        <f t="shared" si="0"/>
        <v>1095</v>
      </c>
      <c r="E13" s="184">
        <v>44411</v>
      </c>
      <c r="F13" s="184">
        <f t="shared" si="1"/>
        <v>45506</v>
      </c>
      <c r="G13" s="184">
        <f t="shared" si="2"/>
        <v>45476</v>
      </c>
      <c r="H13" s="184" t="str">
        <f t="shared" ca="1" si="3"/>
        <v>VENCIDO</v>
      </c>
      <c r="I13" s="210">
        <f t="shared" si="4"/>
        <v>100</v>
      </c>
      <c r="J13" s="182">
        <f t="shared" si="5"/>
        <v>250</v>
      </c>
      <c r="K13" s="182">
        <f t="shared" si="6"/>
        <v>150</v>
      </c>
      <c r="L13" s="181">
        <f t="shared" si="7"/>
        <v>0.6</v>
      </c>
      <c r="M13" s="180" t="s">
        <v>777</v>
      </c>
    </row>
    <row r="14" spans="1:16" ht="18.75" customHeight="1">
      <c r="A14" s="180" t="s">
        <v>941</v>
      </c>
      <c r="B14" s="180" t="s">
        <v>768</v>
      </c>
      <c r="C14" s="180" t="s">
        <v>785</v>
      </c>
      <c r="D14" s="180">
        <f t="shared" si="0"/>
        <v>1095</v>
      </c>
      <c r="E14" s="184">
        <v>44411</v>
      </c>
      <c r="F14" s="184">
        <f t="shared" si="1"/>
        <v>45506</v>
      </c>
      <c r="G14" s="184">
        <f t="shared" si="2"/>
        <v>45476</v>
      </c>
      <c r="H14" s="184" t="str">
        <f t="shared" ca="1" si="3"/>
        <v>VENCIDO</v>
      </c>
      <c r="I14" s="210">
        <f t="shared" si="4"/>
        <v>145</v>
      </c>
      <c r="J14" s="182">
        <f t="shared" si="5"/>
        <v>285</v>
      </c>
      <c r="K14" s="182">
        <f t="shared" si="6"/>
        <v>140</v>
      </c>
      <c r="L14" s="181">
        <f t="shared" si="7"/>
        <v>0.49122807017543857</v>
      </c>
      <c r="M14" s="196"/>
    </row>
    <row r="15" spans="1:16" ht="18.75" customHeight="1">
      <c r="A15" s="180" t="s">
        <v>137</v>
      </c>
      <c r="B15" s="180" t="s">
        <v>756</v>
      </c>
      <c r="C15" s="180" t="s">
        <v>785</v>
      </c>
      <c r="D15" s="180">
        <f t="shared" si="0"/>
        <v>1095</v>
      </c>
      <c r="E15" s="184">
        <v>44411</v>
      </c>
      <c r="F15" s="184">
        <f t="shared" si="1"/>
        <v>45506</v>
      </c>
      <c r="G15" s="184">
        <f t="shared" si="2"/>
        <v>45476</v>
      </c>
      <c r="H15" s="184" t="str">
        <f t="shared" ca="1" si="3"/>
        <v>VENCIDO</v>
      </c>
      <c r="I15" s="210">
        <f t="shared" si="4"/>
        <v>145</v>
      </c>
      <c r="J15" s="182">
        <f t="shared" si="5"/>
        <v>285</v>
      </c>
      <c r="K15" s="182">
        <f t="shared" si="6"/>
        <v>140</v>
      </c>
      <c r="L15" s="181">
        <f t="shared" si="7"/>
        <v>0.49122807017543857</v>
      </c>
      <c r="M15" s="196" t="s">
        <v>777</v>
      </c>
    </row>
    <row r="16" spans="1:16" ht="18.75" customHeight="1">
      <c r="A16" s="180"/>
      <c r="B16" s="180" t="s">
        <v>268</v>
      </c>
      <c r="C16" s="180" t="s">
        <v>802</v>
      </c>
      <c r="D16" s="180">
        <f t="shared" si="0"/>
        <v>1095</v>
      </c>
      <c r="E16" s="184">
        <v>44417</v>
      </c>
      <c r="F16" s="184">
        <f t="shared" si="1"/>
        <v>45512</v>
      </c>
      <c r="G16" s="184">
        <f t="shared" si="2"/>
        <v>45482</v>
      </c>
      <c r="H16" s="184" t="str">
        <f t="shared" ca="1" si="3"/>
        <v>VENCIDO</v>
      </c>
      <c r="I16" s="210">
        <f t="shared" si="4"/>
        <v>100</v>
      </c>
      <c r="J16" s="182">
        <f t="shared" si="5"/>
        <v>250</v>
      </c>
      <c r="K16" s="182">
        <f t="shared" si="6"/>
        <v>150</v>
      </c>
      <c r="L16" s="181">
        <f t="shared" si="7"/>
        <v>0.6</v>
      </c>
      <c r="M16" s="180" t="s">
        <v>777</v>
      </c>
    </row>
    <row r="17" spans="1:13" ht="18.75" customHeight="1">
      <c r="A17" s="180" t="s">
        <v>940</v>
      </c>
      <c r="B17" s="180" t="s">
        <v>939</v>
      </c>
      <c r="C17" s="180" t="s">
        <v>785</v>
      </c>
      <c r="D17" s="180">
        <f t="shared" si="0"/>
        <v>1095</v>
      </c>
      <c r="E17" s="184">
        <v>44424</v>
      </c>
      <c r="F17" s="184">
        <f t="shared" si="1"/>
        <v>45519</v>
      </c>
      <c r="G17" s="184">
        <f t="shared" si="2"/>
        <v>45489</v>
      </c>
      <c r="H17" s="184" t="str">
        <f t="shared" ca="1" si="3"/>
        <v>VENCIDO</v>
      </c>
      <c r="I17" s="210">
        <f t="shared" si="4"/>
        <v>145</v>
      </c>
      <c r="J17" s="182">
        <f t="shared" si="5"/>
        <v>285</v>
      </c>
      <c r="K17" s="182">
        <f t="shared" si="6"/>
        <v>140</v>
      </c>
      <c r="L17" s="181">
        <f t="shared" si="7"/>
        <v>0.49122807017543857</v>
      </c>
      <c r="M17" s="180" t="s">
        <v>777</v>
      </c>
    </row>
    <row r="18" spans="1:13" ht="18.75" customHeight="1">
      <c r="A18" s="180"/>
      <c r="B18" s="180" t="s">
        <v>938</v>
      </c>
      <c r="C18" s="180" t="s">
        <v>778</v>
      </c>
      <c r="D18" s="180">
        <f t="shared" si="0"/>
        <v>365</v>
      </c>
      <c r="E18" s="184">
        <v>44434</v>
      </c>
      <c r="F18" s="184">
        <f t="shared" si="1"/>
        <v>44799</v>
      </c>
      <c r="G18" s="184">
        <f t="shared" si="2"/>
        <v>44769</v>
      </c>
      <c r="H18" s="180" t="str">
        <f t="shared" ca="1" si="3"/>
        <v>VENCIDO</v>
      </c>
      <c r="I18" s="210">
        <f t="shared" si="4"/>
        <v>65</v>
      </c>
      <c r="J18" s="182">
        <f t="shared" si="5"/>
        <v>100</v>
      </c>
      <c r="K18" s="182">
        <f t="shared" si="6"/>
        <v>35</v>
      </c>
      <c r="L18" s="181">
        <f t="shared" si="7"/>
        <v>0.35</v>
      </c>
      <c r="M18" s="180" t="s">
        <v>777</v>
      </c>
    </row>
    <row r="19" spans="1:13" ht="18.75" customHeight="1">
      <c r="A19" s="180" t="s">
        <v>863</v>
      </c>
      <c r="B19" s="180" t="s">
        <v>848</v>
      </c>
      <c r="C19" s="180" t="s">
        <v>781</v>
      </c>
      <c r="D19" s="180">
        <f t="shared" si="0"/>
        <v>365</v>
      </c>
      <c r="E19" s="184">
        <v>44438</v>
      </c>
      <c r="F19" s="184">
        <f t="shared" si="1"/>
        <v>44803</v>
      </c>
      <c r="G19" s="184">
        <f t="shared" si="2"/>
        <v>44773</v>
      </c>
      <c r="H19" s="180" t="str">
        <f t="shared" ca="1" si="3"/>
        <v>VENCIDO</v>
      </c>
      <c r="I19" s="210">
        <f t="shared" si="4"/>
        <v>95</v>
      </c>
      <c r="J19" s="182">
        <f t="shared" si="5"/>
        <v>180</v>
      </c>
      <c r="K19" s="182">
        <f t="shared" si="6"/>
        <v>85</v>
      </c>
      <c r="L19" s="181">
        <f t="shared" si="7"/>
        <v>0.47222222222222221</v>
      </c>
      <c r="M19" s="180" t="s">
        <v>777</v>
      </c>
    </row>
    <row r="20" spans="1:13" ht="18.75" customHeight="1">
      <c r="A20" s="180"/>
      <c r="B20" s="180" t="s">
        <v>937</v>
      </c>
      <c r="C20" s="180" t="s">
        <v>778</v>
      </c>
      <c r="D20" s="180">
        <f t="shared" si="0"/>
        <v>365</v>
      </c>
      <c r="E20" s="184">
        <v>44456</v>
      </c>
      <c r="F20" s="184">
        <f t="shared" si="1"/>
        <v>44821</v>
      </c>
      <c r="G20" s="184">
        <f t="shared" si="2"/>
        <v>44791</v>
      </c>
      <c r="H20" s="180" t="str">
        <f t="shared" ca="1" si="3"/>
        <v>VENCIDO</v>
      </c>
      <c r="I20" s="209">
        <f t="shared" si="4"/>
        <v>65</v>
      </c>
      <c r="J20" s="182">
        <f t="shared" si="5"/>
        <v>100</v>
      </c>
      <c r="K20" s="182">
        <f t="shared" si="6"/>
        <v>35</v>
      </c>
      <c r="L20" s="181">
        <f t="shared" si="7"/>
        <v>0.35</v>
      </c>
      <c r="M20" s="180" t="s">
        <v>777</v>
      </c>
    </row>
    <row r="21" spans="1:13" ht="18.75" customHeight="1">
      <c r="A21" s="180" t="s">
        <v>861</v>
      </c>
      <c r="B21" s="180" t="s">
        <v>860</v>
      </c>
      <c r="C21" s="180" t="s">
        <v>781</v>
      </c>
      <c r="D21" s="180">
        <f t="shared" si="0"/>
        <v>365</v>
      </c>
      <c r="E21" s="184">
        <v>44469</v>
      </c>
      <c r="F21" s="184">
        <f t="shared" si="1"/>
        <v>44834</v>
      </c>
      <c r="G21" s="184">
        <f t="shared" si="2"/>
        <v>44804</v>
      </c>
      <c r="H21" s="180" t="str">
        <f t="shared" ca="1" si="3"/>
        <v>VENCIDO</v>
      </c>
      <c r="I21" s="209">
        <f t="shared" si="4"/>
        <v>95</v>
      </c>
      <c r="J21" s="182">
        <f t="shared" si="5"/>
        <v>180</v>
      </c>
      <c r="K21" s="182">
        <f t="shared" si="6"/>
        <v>85</v>
      </c>
      <c r="L21" s="181">
        <f t="shared" si="7"/>
        <v>0.47222222222222221</v>
      </c>
      <c r="M21" s="199" t="s">
        <v>777</v>
      </c>
    </row>
    <row r="22" spans="1:13" ht="18.75" customHeight="1">
      <c r="A22" s="180"/>
      <c r="B22" s="180" t="s">
        <v>936</v>
      </c>
      <c r="C22" s="180" t="s">
        <v>778</v>
      </c>
      <c r="D22" s="180">
        <f t="shared" si="0"/>
        <v>365</v>
      </c>
      <c r="E22" s="184">
        <v>44473</v>
      </c>
      <c r="F22" s="184">
        <f t="shared" si="1"/>
        <v>44838</v>
      </c>
      <c r="G22" s="184">
        <f t="shared" si="2"/>
        <v>44808</v>
      </c>
      <c r="H22" s="180" t="str">
        <f t="shared" ca="1" si="3"/>
        <v>VENCIDO</v>
      </c>
      <c r="I22" s="208">
        <f t="shared" si="4"/>
        <v>65</v>
      </c>
      <c r="J22" s="182">
        <f t="shared" si="5"/>
        <v>100</v>
      </c>
      <c r="K22" s="182">
        <f t="shared" si="6"/>
        <v>35</v>
      </c>
      <c r="L22" s="181">
        <f t="shared" si="7"/>
        <v>0.35</v>
      </c>
      <c r="M22" s="180" t="s">
        <v>777</v>
      </c>
    </row>
    <row r="23" spans="1:13" ht="18.75" customHeight="1">
      <c r="A23" s="180" t="s">
        <v>935</v>
      </c>
      <c r="B23" s="180" t="s">
        <v>934</v>
      </c>
      <c r="C23" s="180" t="s">
        <v>781</v>
      </c>
      <c r="D23" s="180">
        <f t="shared" si="0"/>
        <v>365</v>
      </c>
      <c r="E23" s="184">
        <v>44473</v>
      </c>
      <c r="F23" s="184">
        <f t="shared" si="1"/>
        <v>44838</v>
      </c>
      <c r="G23" s="184">
        <f t="shared" si="2"/>
        <v>44808</v>
      </c>
      <c r="H23" s="180" t="str">
        <f t="shared" ca="1" si="3"/>
        <v>VENCIDO</v>
      </c>
      <c r="I23" s="208">
        <f t="shared" si="4"/>
        <v>95</v>
      </c>
      <c r="J23" s="182">
        <f t="shared" si="5"/>
        <v>180</v>
      </c>
      <c r="K23" s="182">
        <f t="shared" si="6"/>
        <v>85</v>
      </c>
      <c r="L23" s="181">
        <f t="shared" si="7"/>
        <v>0.47222222222222221</v>
      </c>
      <c r="M23" s="180" t="s">
        <v>777</v>
      </c>
    </row>
    <row r="24" spans="1:13" ht="18.75" customHeight="1">
      <c r="A24" s="180"/>
      <c r="B24" s="180" t="s">
        <v>933</v>
      </c>
      <c r="C24" s="180" t="s">
        <v>778</v>
      </c>
      <c r="D24" s="180">
        <f t="shared" si="0"/>
        <v>365</v>
      </c>
      <c r="E24" s="184">
        <v>44474</v>
      </c>
      <c r="F24" s="184">
        <f t="shared" si="1"/>
        <v>44839</v>
      </c>
      <c r="G24" s="184">
        <f t="shared" si="2"/>
        <v>44809</v>
      </c>
      <c r="H24" s="180" t="str">
        <f t="shared" ca="1" si="3"/>
        <v>VENCIDO</v>
      </c>
      <c r="I24" s="208">
        <f t="shared" si="4"/>
        <v>65</v>
      </c>
      <c r="J24" s="182">
        <f t="shared" si="5"/>
        <v>100</v>
      </c>
      <c r="K24" s="182">
        <f t="shared" si="6"/>
        <v>35</v>
      </c>
      <c r="L24" s="181">
        <f t="shared" si="7"/>
        <v>0.35</v>
      </c>
      <c r="M24" s="180" t="s">
        <v>777</v>
      </c>
    </row>
    <row r="25" spans="1:13" ht="18.75" customHeight="1">
      <c r="A25" s="180"/>
      <c r="B25" s="180" t="s">
        <v>198</v>
      </c>
      <c r="C25" s="180" t="s">
        <v>778</v>
      </c>
      <c r="D25" s="180">
        <f t="shared" si="0"/>
        <v>365</v>
      </c>
      <c r="E25" s="184">
        <v>44477</v>
      </c>
      <c r="F25" s="184">
        <f t="shared" si="1"/>
        <v>44842</v>
      </c>
      <c r="G25" s="184">
        <f t="shared" si="2"/>
        <v>44812</v>
      </c>
      <c r="H25" s="180" t="str">
        <f t="shared" ca="1" si="3"/>
        <v>VENCIDO</v>
      </c>
      <c r="I25" s="208">
        <f t="shared" si="4"/>
        <v>65</v>
      </c>
      <c r="J25" s="182">
        <f t="shared" si="5"/>
        <v>100</v>
      </c>
      <c r="K25" s="182">
        <f t="shared" si="6"/>
        <v>35</v>
      </c>
      <c r="L25" s="181">
        <f t="shared" si="7"/>
        <v>0.35</v>
      </c>
      <c r="M25" s="180" t="s">
        <v>777</v>
      </c>
    </row>
    <row r="26" spans="1:13" ht="18.75" customHeight="1">
      <c r="A26" s="180" t="s">
        <v>932</v>
      </c>
      <c r="B26" s="180" t="s">
        <v>932</v>
      </c>
      <c r="C26" s="180" t="s">
        <v>781</v>
      </c>
      <c r="D26" s="180">
        <f t="shared" si="0"/>
        <v>365</v>
      </c>
      <c r="E26" s="184">
        <v>44477</v>
      </c>
      <c r="F26" s="184">
        <f t="shared" si="1"/>
        <v>44842</v>
      </c>
      <c r="G26" s="184">
        <f t="shared" si="2"/>
        <v>44812</v>
      </c>
      <c r="H26" s="180" t="str">
        <f t="shared" ca="1" si="3"/>
        <v>VENCIDO</v>
      </c>
      <c r="I26" s="208">
        <f t="shared" si="4"/>
        <v>95</v>
      </c>
      <c r="J26" s="182">
        <f t="shared" si="5"/>
        <v>180</v>
      </c>
      <c r="K26" s="182">
        <f t="shared" si="6"/>
        <v>85</v>
      </c>
      <c r="L26" s="181">
        <f t="shared" si="7"/>
        <v>0.47222222222222221</v>
      </c>
      <c r="M26" s="180" t="s">
        <v>777</v>
      </c>
    </row>
    <row r="27" spans="1:13" ht="18.75" customHeight="1">
      <c r="A27" s="180" t="s">
        <v>2</v>
      </c>
      <c r="B27" s="180" t="s">
        <v>2</v>
      </c>
      <c r="C27" s="180" t="s">
        <v>781</v>
      </c>
      <c r="D27" s="180">
        <f t="shared" si="0"/>
        <v>365</v>
      </c>
      <c r="E27" s="184">
        <v>44524</v>
      </c>
      <c r="F27" s="184">
        <f t="shared" si="1"/>
        <v>44889</v>
      </c>
      <c r="G27" s="184">
        <f t="shared" si="2"/>
        <v>44859</v>
      </c>
      <c r="H27" s="180" t="str">
        <f t="shared" ca="1" si="3"/>
        <v>VENCIDO</v>
      </c>
      <c r="I27" s="207">
        <f t="shared" si="4"/>
        <v>95</v>
      </c>
      <c r="J27" s="182">
        <f t="shared" si="5"/>
        <v>180</v>
      </c>
      <c r="K27" s="182">
        <f t="shared" si="6"/>
        <v>85</v>
      </c>
      <c r="L27" s="181">
        <f t="shared" si="7"/>
        <v>0.47222222222222221</v>
      </c>
      <c r="M27" s="199" t="s">
        <v>777</v>
      </c>
    </row>
    <row r="28" spans="1:13" ht="18.75" customHeight="1">
      <c r="A28" s="206"/>
      <c r="B28" s="204"/>
      <c r="C28" s="204"/>
      <c r="D28" s="204"/>
      <c r="E28" s="205"/>
      <c r="F28" s="205"/>
      <c r="G28" s="205"/>
      <c r="H28" s="204"/>
      <c r="I28" s="203" t="e">
        <f t="shared" si="4"/>
        <v>#N/A</v>
      </c>
      <c r="J28" s="203" t="e">
        <f t="shared" si="5"/>
        <v>#N/A</v>
      </c>
      <c r="K28" s="202"/>
      <c r="L28" s="201"/>
      <c r="M28" s="200"/>
    </row>
    <row r="29" spans="1:13" ht="18.75" customHeight="1">
      <c r="A29" s="180" t="s">
        <v>931</v>
      </c>
      <c r="B29" s="180" t="s">
        <v>931</v>
      </c>
      <c r="C29" s="180" t="s">
        <v>781</v>
      </c>
      <c r="D29" s="180">
        <f t="shared" ref="D29:D92" si="8">IF(C29="A1 - 1 ano PJ",365,IF(C29="A1 - 1 ano PF",365,(365*3)))</f>
        <v>365</v>
      </c>
      <c r="E29" s="184">
        <v>44532</v>
      </c>
      <c r="F29" s="184">
        <f t="shared" ref="F29:F60" si="9">E29+D29</f>
        <v>44897</v>
      </c>
      <c r="G29" s="184">
        <f t="shared" ref="G29:G60" si="10">F29-30</f>
        <v>44867</v>
      </c>
      <c r="H29" s="180" t="str">
        <f t="shared" ref="H29:H60" ca="1" si="11">IF($A$6&lt;G29,"VÁLIDO",IF($A$6&gt;F29,"VENCIDO","A VENCER"))</f>
        <v>VENCIDO</v>
      </c>
      <c r="I29" s="198">
        <f t="shared" si="4"/>
        <v>95</v>
      </c>
      <c r="J29" s="182">
        <f t="shared" si="5"/>
        <v>180</v>
      </c>
      <c r="K29" s="182">
        <f t="shared" ref="K29:K60" si="12">J29-I29</f>
        <v>85</v>
      </c>
      <c r="L29" s="181">
        <f t="shared" ref="L29:L60" si="13">K29/J29</f>
        <v>0.47222222222222221</v>
      </c>
      <c r="M29" s="199" t="s">
        <v>777</v>
      </c>
    </row>
    <row r="30" spans="1:13" ht="18.75" customHeight="1">
      <c r="A30" s="180" t="s">
        <v>930</v>
      </c>
      <c r="B30" s="180" t="s">
        <v>116</v>
      </c>
      <c r="C30" s="180" t="s">
        <v>781</v>
      </c>
      <c r="D30" s="180">
        <f t="shared" si="8"/>
        <v>365</v>
      </c>
      <c r="E30" s="184">
        <v>44538</v>
      </c>
      <c r="F30" s="184">
        <f t="shared" si="9"/>
        <v>44903</v>
      </c>
      <c r="G30" s="184">
        <f t="shared" si="10"/>
        <v>44873</v>
      </c>
      <c r="H30" s="180" t="str">
        <f t="shared" ca="1" si="11"/>
        <v>VENCIDO</v>
      </c>
      <c r="I30" s="198">
        <f t="shared" si="4"/>
        <v>95</v>
      </c>
      <c r="J30" s="182">
        <f t="shared" si="5"/>
        <v>180</v>
      </c>
      <c r="K30" s="182">
        <f t="shared" si="12"/>
        <v>85</v>
      </c>
      <c r="L30" s="181">
        <f t="shared" si="13"/>
        <v>0.47222222222222221</v>
      </c>
      <c r="M30" s="180" t="s">
        <v>777</v>
      </c>
    </row>
    <row r="31" spans="1:13" ht="18.75" customHeight="1">
      <c r="A31" s="180" t="s">
        <v>109</v>
      </c>
      <c r="B31" s="180" t="s">
        <v>929</v>
      </c>
      <c r="C31" s="180" t="s">
        <v>785</v>
      </c>
      <c r="D31" s="180">
        <f t="shared" si="8"/>
        <v>1095</v>
      </c>
      <c r="E31" s="184">
        <v>44544</v>
      </c>
      <c r="F31" s="184">
        <f t="shared" si="9"/>
        <v>45639</v>
      </c>
      <c r="G31" s="184">
        <f t="shared" si="10"/>
        <v>45609</v>
      </c>
      <c r="H31" s="180" t="str">
        <f t="shared" ca="1" si="11"/>
        <v>VENCIDO</v>
      </c>
      <c r="I31" s="198">
        <f t="shared" si="4"/>
        <v>145</v>
      </c>
      <c r="J31" s="182">
        <f t="shared" si="5"/>
        <v>285</v>
      </c>
      <c r="K31" s="182">
        <f t="shared" si="12"/>
        <v>140</v>
      </c>
      <c r="L31" s="181">
        <f t="shared" si="13"/>
        <v>0.49122807017543857</v>
      </c>
      <c r="M31" s="180" t="s">
        <v>777</v>
      </c>
    </row>
    <row r="32" spans="1:13" ht="18.75" customHeight="1">
      <c r="A32" s="180" t="s">
        <v>928</v>
      </c>
      <c r="B32" s="180" t="s">
        <v>928</v>
      </c>
      <c r="C32" s="180" t="s">
        <v>785</v>
      </c>
      <c r="D32" s="180">
        <f t="shared" si="8"/>
        <v>1095</v>
      </c>
      <c r="E32" s="184">
        <v>44546</v>
      </c>
      <c r="F32" s="184">
        <f t="shared" si="9"/>
        <v>45641</v>
      </c>
      <c r="G32" s="184">
        <f t="shared" si="10"/>
        <v>45611</v>
      </c>
      <c r="H32" s="180" t="str">
        <f t="shared" ca="1" si="11"/>
        <v>VENCIDO</v>
      </c>
      <c r="I32" s="198">
        <f t="shared" si="4"/>
        <v>145</v>
      </c>
      <c r="J32" s="182">
        <f t="shared" si="5"/>
        <v>285</v>
      </c>
      <c r="K32" s="182">
        <f t="shared" si="12"/>
        <v>140</v>
      </c>
      <c r="L32" s="181">
        <f t="shared" si="13"/>
        <v>0.49122807017543857</v>
      </c>
      <c r="M32" s="180" t="s">
        <v>777</v>
      </c>
    </row>
    <row r="33" spans="1:14" ht="18.75" customHeight="1">
      <c r="A33" s="180" t="s">
        <v>111</v>
      </c>
      <c r="B33" s="180" t="s">
        <v>111</v>
      </c>
      <c r="C33" s="180" t="s">
        <v>781</v>
      </c>
      <c r="D33" s="180">
        <f t="shared" si="8"/>
        <v>365</v>
      </c>
      <c r="E33" s="184">
        <v>44557</v>
      </c>
      <c r="F33" s="184">
        <f t="shared" si="9"/>
        <v>44922</v>
      </c>
      <c r="G33" s="184">
        <f t="shared" si="10"/>
        <v>44892</v>
      </c>
      <c r="H33" s="180" t="str">
        <f t="shared" ca="1" si="11"/>
        <v>VENCIDO</v>
      </c>
      <c r="I33" s="198">
        <f t="shared" si="4"/>
        <v>95</v>
      </c>
      <c r="J33" s="182">
        <f t="shared" si="5"/>
        <v>180</v>
      </c>
      <c r="K33" s="182">
        <f t="shared" si="12"/>
        <v>85</v>
      </c>
      <c r="L33" s="181">
        <f t="shared" si="13"/>
        <v>0.47222222222222221</v>
      </c>
      <c r="M33" s="180" t="s">
        <v>777</v>
      </c>
      <c r="N33" s="177" t="s">
        <v>927</v>
      </c>
    </row>
    <row r="34" spans="1:14" ht="18.75" customHeight="1">
      <c r="A34" s="180" t="s">
        <v>7</v>
      </c>
      <c r="B34" s="180" t="s">
        <v>7</v>
      </c>
      <c r="C34" s="180" t="s">
        <v>781</v>
      </c>
      <c r="D34" s="180">
        <f t="shared" si="8"/>
        <v>365</v>
      </c>
      <c r="E34" s="184">
        <v>44559</v>
      </c>
      <c r="F34" s="184">
        <f t="shared" si="9"/>
        <v>44924</v>
      </c>
      <c r="G34" s="184">
        <f t="shared" si="10"/>
        <v>44894</v>
      </c>
      <c r="H34" s="180" t="str">
        <f t="shared" ca="1" si="11"/>
        <v>VENCIDO</v>
      </c>
      <c r="I34" s="198">
        <f t="shared" si="4"/>
        <v>95</v>
      </c>
      <c r="J34" s="182">
        <f t="shared" si="5"/>
        <v>180</v>
      </c>
      <c r="K34" s="182">
        <f t="shared" si="12"/>
        <v>85</v>
      </c>
      <c r="L34" s="181">
        <f t="shared" si="13"/>
        <v>0.47222222222222221</v>
      </c>
      <c r="M34" s="180" t="s">
        <v>777</v>
      </c>
    </row>
    <row r="35" spans="1:14" ht="18.75" customHeight="1">
      <c r="A35" s="180" t="s">
        <v>926</v>
      </c>
      <c r="B35" s="180" t="s">
        <v>770</v>
      </c>
      <c r="C35" s="180" t="s">
        <v>785</v>
      </c>
      <c r="D35" s="180">
        <f t="shared" si="8"/>
        <v>1095</v>
      </c>
      <c r="E35" s="184">
        <v>44578</v>
      </c>
      <c r="F35" s="184">
        <f t="shared" si="9"/>
        <v>45673</v>
      </c>
      <c r="G35" s="184">
        <f t="shared" si="10"/>
        <v>45643</v>
      </c>
      <c r="H35" s="180" t="str">
        <f t="shared" ca="1" si="11"/>
        <v>VENCIDO</v>
      </c>
      <c r="I35" s="197">
        <f t="shared" si="4"/>
        <v>145</v>
      </c>
      <c r="J35" s="182">
        <f t="shared" si="5"/>
        <v>285</v>
      </c>
      <c r="K35" s="182">
        <f t="shared" si="12"/>
        <v>140</v>
      </c>
      <c r="L35" s="181">
        <f t="shared" si="13"/>
        <v>0.49122807017543857</v>
      </c>
      <c r="M35" s="180" t="s">
        <v>925</v>
      </c>
    </row>
    <row r="36" spans="1:14" ht="18.75" customHeight="1">
      <c r="A36" s="180" t="s">
        <v>55</v>
      </c>
      <c r="B36" s="180" t="s">
        <v>924</v>
      </c>
      <c r="C36" s="180" t="s">
        <v>781</v>
      </c>
      <c r="D36" s="180">
        <f t="shared" si="8"/>
        <v>365</v>
      </c>
      <c r="E36" s="184">
        <v>44580</v>
      </c>
      <c r="F36" s="184">
        <f t="shared" si="9"/>
        <v>44945</v>
      </c>
      <c r="G36" s="184">
        <f t="shared" si="10"/>
        <v>44915</v>
      </c>
      <c r="H36" s="180" t="str">
        <f t="shared" ca="1" si="11"/>
        <v>VENCIDO</v>
      </c>
      <c r="I36" s="197">
        <f t="shared" si="4"/>
        <v>95</v>
      </c>
      <c r="J36" s="182">
        <f t="shared" si="5"/>
        <v>180</v>
      </c>
      <c r="K36" s="182">
        <f t="shared" si="12"/>
        <v>85</v>
      </c>
      <c r="L36" s="181">
        <f t="shared" si="13"/>
        <v>0.47222222222222221</v>
      </c>
      <c r="M36" s="180" t="s">
        <v>777</v>
      </c>
    </row>
    <row r="37" spans="1:14" ht="18.75" customHeight="1">
      <c r="A37" s="180"/>
      <c r="B37" s="180" t="s">
        <v>923</v>
      </c>
      <c r="C37" s="180" t="s">
        <v>778</v>
      </c>
      <c r="D37" s="180">
        <f t="shared" si="8"/>
        <v>365</v>
      </c>
      <c r="E37" s="184">
        <v>44588</v>
      </c>
      <c r="F37" s="184">
        <f t="shared" si="9"/>
        <v>44953</v>
      </c>
      <c r="G37" s="184">
        <f t="shared" si="10"/>
        <v>44923</v>
      </c>
      <c r="H37" s="180" t="str">
        <f t="shared" ca="1" si="11"/>
        <v>VENCIDO</v>
      </c>
      <c r="I37" s="197">
        <f t="shared" si="4"/>
        <v>65</v>
      </c>
      <c r="J37" s="182">
        <f t="shared" si="5"/>
        <v>100</v>
      </c>
      <c r="K37" s="182">
        <f t="shared" si="12"/>
        <v>35</v>
      </c>
      <c r="L37" s="181">
        <f t="shared" si="13"/>
        <v>0.35</v>
      </c>
      <c r="M37" s="196" t="s">
        <v>777</v>
      </c>
    </row>
    <row r="38" spans="1:14" ht="18.75" customHeight="1">
      <c r="A38" s="180"/>
      <c r="B38" s="180" t="s">
        <v>922</v>
      </c>
      <c r="C38" s="180" t="s">
        <v>778</v>
      </c>
      <c r="D38" s="180">
        <f t="shared" si="8"/>
        <v>365</v>
      </c>
      <c r="E38" s="184">
        <v>44594</v>
      </c>
      <c r="F38" s="184">
        <f t="shared" si="9"/>
        <v>44959</v>
      </c>
      <c r="G38" s="184">
        <f t="shared" si="10"/>
        <v>44929</v>
      </c>
      <c r="H38" s="180" t="str">
        <f t="shared" ca="1" si="11"/>
        <v>VENCIDO</v>
      </c>
      <c r="I38" s="195">
        <f t="shared" si="4"/>
        <v>65</v>
      </c>
      <c r="J38" s="182">
        <f t="shared" si="5"/>
        <v>100</v>
      </c>
      <c r="K38" s="182">
        <f t="shared" si="12"/>
        <v>35</v>
      </c>
      <c r="L38" s="181">
        <f t="shared" si="13"/>
        <v>0.35</v>
      </c>
      <c r="M38" s="196" t="s">
        <v>777</v>
      </c>
    </row>
    <row r="39" spans="1:14" ht="18.75" customHeight="1">
      <c r="A39" s="180"/>
      <c r="B39" s="180" t="s">
        <v>921</v>
      </c>
      <c r="C39" s="180" t="s">
        <v>778</v>
      </c>
      <c r="D39" s="180">
        <f t="shared" si="8"/>
        <v>365</v>
      </c>
      <c r="E39" s="184">
        <v>44595</v>
      </c>
      <c r="F39" s="184">
        <f t="shared" si="9"/>
        <v>44960</v>
      </c>
      <c r="G39" s="184">
        <f t="shared" si="10"/>
        <v>44930</v>
      </c>
      <c r="H39" s="180" t="str">
        <f t="shared" ca="1" si="11"/>
        <v>VENCIDO</v>
      </c>
      <c r="I39" s="195">
        <f t="shared" si="4"/>
        <v>65</v>
      </c>
      <c r="J39" s="182">
        <f t="shared" si="5"/>
        <v>100</v>
      </c>
      <c r="K39" s="182">
        <f t="shared" si="12"/>
        <v>35</v>
      </c>
      <c r="L39" s="181">
        <f t="shared" si="13"/>
        <v>0.35</v>
      </c>
      <c r="M39" s="180" t="s">
        <v>777</v>
      </c>
    </row>
    <row r="40" spans="1:14" ht="18.75" customHeight="1">
      <c r="A40" s="180"/>
      <c r="B40" s="180" t="s">
        <v>614</v>
      </c>
      <c r="C40" s="180" t="s">
        <v>778</v>
      </c>
      <c r="D40" s="180">
        <f t="shared" si="8"/>
        <v>365</v>
      </c>
      <c r="E40" s="184">
        <v>44596</v>
      </c>
      <c r="F40" s="184">
        <f t="shared" si="9"/>
        <v>44961</v>
      </c>
      <c r="G40" s="184">
        <f t="shared" si="10"/>
        <v>44931</v>
      </c>
      <c r="H40" s="180" t="str">
        <f t="shared" ca="1" si="11"/>
        <v>VENCIDO</v>
      </c>
      <c r="I40" s="195">
        <f t="shared" si="4"/>
        <v>65</v>
      </c>
      <c r="J40" s="182">
        <f t="shared" si="5"/>
        <v>100</v>
      </c>
      <c r="K40" s="182">
        <f t="shared" si="12"/>
        <v>35</v>
      </c>
      <c r="L40" s="181">
        <f t="shared" si="13"/>
        <v>0.35</v>
      </c>
      <c r="M40" s="180" t="s">
        <v>777</v>
      </c>
    </row>
    <row r="41" spans="1:14" ht="18.75" customHeight="1">
      <c r="A41" s="180"/>
      <c r="B41" s="180" t="s">
        <v>920</v>
      </c>
      <c r="C41" s="180" t="s">
        <v>802</v>
      </c>
      <c r="D41" s="180">
        <f t="shared" si="8"/>
        <v>1095</v>
      </c>
      <c r="E41" s="184">
        <v>44600</v>
      </c>
      <c r="F41" s="184">
        <f t="shared" si="9"/>
        <v>45695</v>
      </c>
      <c r="G41" s="184">
        <f t="shared" si="10"/>
        <v>45665</v>
      </c>
      <c r="H41" s="180" t="str">
        <f t="shared" ca="1" si="11"/>
        <v>VENCIDO</v>
      </c>
      <c r="I41" s="195">
        <v>108</v>
      </c>
      <c r="J41" s="182">
        <f t="shared" si="5"/>
        <v>250</v>
      </c>
      <c r="K41" s="182">
        <f t="shared" si="12"/>
        <v>142</v>
      </c>
      <c r="L41" s="181">
        <f t="shared" si="13"/>
        <v>0.56799999999999995</v>
      </c>
      <c r="M41" s="180" t="s">
        <v>777</v>
      </c>
    </row>
    <row r="42" spans="1:14" ht="18.75" customHeight="1">
      <c r="A42" s="180"/>
      <c r="B42" s="180" t="s">
        <v>919</v>
      </c>
      <c r="C42" s="180" t="s">
        <v>778</v>
      </c>
      <c r="D42" s="180">
        <f t="shared" si="8"/>
        <v>365</v>
      </c>
      <c r="E42" s="184">
        <v>44600</v>
      </c>
      <c r="F42" s="184">
        <f t="shared" si="9"/>
        <v>44965</v>
      </c>
      <c r="G42" s="184">
        <f t="shared" si="10"/>
        <v>44935</v>
      </c>
      <c r="H42" s="180" t="str">
        <f t="shared" ca="1" si="11"/>
        <v>VENCIDO</v>
      </c>
      <c r="I42" s="195">
        <f t="shared" ref="I42:I54" si="14">VLOOKUP(C42,$M$3:$O$6,2,0)</f>
        <v>65</v>
      </c>
      <c r="J42" s="182">
        <f t="shared" si="5"/>
        <v>100</v>
      </c>
      <c r="K42" s="182">
        <f t="shared" si="12"/>
        <v>35</v>
      </c>
      <c r="L42" s="181">
        <f t="shared" si="13"/>
        <v>0.35</v>
      </c>
      <c r="M42" s="180" t="s">
        <v>777</v>
      </c>
    </row>
    <row r="43" spans="1:14" ht="18.75" customHeight="1">
      <c r="A43" s="180"/>
      <c r="B43" s="180" t="s">
        <v>606</v>
      </c>
      <c r="C43" s="180" t="s">
        <v>778</v>
      </c>
      <c r="D43" s="180">
        <f t="shared" si="8"/>
        <v>365</v>
      </c>
      <c r="E43" s="184">
        <v>44601</v>
      </c>
      <c r="F43" s="184">
        <f t="shared" si="9"/>
        <v>44966</v>
      </c>
      <c r="G43" s="184">
        <f t="shared" si="10"/>
        <v>44936</v>
      </c>
      <c r="H43" s="180" t="str">
        <f t="shared" ca="1" si="11"/>
        <v>VENCIDO</v>
      </c>
      <c r="I43" s="195">
        <f t="shared" si="14"/>
        <v>65</v>
      </c>
      <c r="J43" s="182">
        <f t="shared" si="5"/>
        <v>100</v>
      </c>
      <c r="K43" s="182">
        <f t="shared" si="12"/>
        <v>35</v>
      </c>
      <c r="L43" s="181">
        <f t="shared" si="13"/>
        <v>0.35</v>
      </c>
      <c r="M43" s="180" t="s">
        <v>777</v>
      </c>
    </row>
    <row r="44" spans="1:14" ht="18.75" customHeight="1">
      <c r="A44" s="180"/>
      <c r="B44" s="180" t="s">
        <v>918</v>
      </c>
      <c r="C44" s="180" t="s">
        <v>778</v>
      </c>
      <c r="D44" s="180">
        <f t="shared" si="8"/>
        <v>365</v>
      </c>
      <c r="E44" s="184">
        <v>44601</v>
      </c>
      <c r="F44" s="184">
        <f t="shared" si="9"/>
        <v>44966</v>
      </c>
      <c r="G44" s="184">
        <f t="shared" si="10"/>
        <v>44936</v>
      </c>
      <c r="H44" s="180" t="str">
        <f t="shared" ca="1" si="11"/>
        <v>VENCIDO</v>
      </c>
      <c r="I44" s="195">
        <f t="shared" si="14"/>
        <v>65</v>
      </c>
      <c r="J44" s="182">
        <f t="shared" si="5"/>
        <v>100</v>
      </c>
      <c r="K44" s="182">
        <f t="shared" si="12"/>
        <v>35</v>
      </c>
      <c r="L44" s="181">
        <f t="shared" si="13"/>
        <v>0.35</v>
      </c>
      <c r="M44" s="180" t="s">
        <v>777</v>
      </c>
    </row>
    <row r="45" spans="1:14" ht="18.75" customHeight="1">
      <c r="A45" s="180" t="s">
        <v>917</v>
      </c>
      <c r="B45" s="180" t="s">
        <v>917</v>
      </c>
      <c r="C45" s="180" t="s">
        <v>781</v>
      </c>
      <c r="D45" s="180">
        <f t="shared" si="8"/>
        <v>365</v>
      </c>
      <c r="E45" s="184">
        <v>44601</v>
      </c>
      <c r="F45" s="184">
        <f t="shared" si="9"/>
        <v>44966</v>
      </c>
      <c r="G45" s="184">
        <f t="shared" si="10"/>
        <v>44936</v>
      </c>
      <c r="H45" s="180" t="str">
        <f t="shared" ca="1" si="11"/>
        <v>VENCIDO</v>
      </c>
      <c r="I45" s="195">
        <f t="shared" si="14"/>
        <v>95</v>
      </c>
      <c r="J45" s="182">
        <f t="shared" si="5"/>
        <v>180</v>
      </c>
      <c r="K45" s="182">
        <f t="shared" si="12"/>
        <v>85</v>
      </c>
      <c r="L45" s="181">
        <f t="shared" si="13"/>
        <v>0.47222222222222221</v>
      </c>
      <c r="M45" s="180" t="s">
        <v>777</v>
      </c>
    </row>
    <row r="46" spans="1:14" ht="18.75" customHeight="1">
      <c r="A46" s="180" t="s">
        <v>15</v>
      </c>
      <c r="B46" s="180" t="s">
        <v>916</v>
      </c>
      <c r="C46" s="180" t="s">
        <v>781</v>
      </c>
      <c r="D46" s="180">
        <f t="shared" si="8"/>
        <v>365</v>
      </c>
      <c r="E46" s="184">
        <v>44602</v>
      </c>
      <c r="F46" s="184">
        <f t="shared" si="9"/>
        <v>44967</v>
      </c>
      <c r="G46" s="184">
        <f t="shared" si="10"/>
        <v>44937</v>
      </c>
      <c r="H46" s="180" t="str">
        <f t="shared" ca="1" si="11"/>
        <v>VENCIDO</v>
      </c>
      <c r="I46" s="195">
        <f t="shared" si="14"/>
        <v>95</v>
      </c>
      <c r="J46" s="182">
        <f t="shared" si="5"/>
        <v>180</v>
      </c>
      <c r="K46" s="182">
        <f t="shared" si="12"/>
        <v>85</v>
      </c>
      <c r="L46" s="181">
        <f t="shared" si="13"/>
        <v>0.47222222222222221</v>
      </c>
      <c r="M46" s="180" t="s">
        <v>777</v>
      </c>
    </row>
    <row r="47" spans="1:14" ht="18.75" customHeight="1">
      <c r="A47" s="180" t="s">
        <v>915</v>
      </c>
      <c r="B47" s="180" t="s">
        <v>914</v>
      </c>
      <c r="C47" s="180" t="s">
        <v>781</v>
      </c>
      <c r="D47" s="180">
        <f t="shared" si="8"/>
        <v>365</v>
      </c>
      <c r="E47" s="184">
        <v>44610</v>
      </c>
      <c r="F47" s="184">
        <f t="shared" si="9"/>
        <v>44975</v>
      </c>
      <c r="G47" s="184">
        <f t="shared" si="10"/>
        <v>44945</v>
      </c>
      <c r="H47" s="180" t="str">
        <f t="shared" ca="1" si="11"/>
        <v>VENCIDO</v>
      </c>
      <c r="I47" s="195">
        <f t="shared" si="14"/>
        <v>95</v>
      </c>
      <c r="J47" s="182">
        <f t="shared" si="5"/>
        <v>180</v>
      </c>
      <c r="K47" s="182">
        <f t="shared" si="12"/>
        <v>85</v>
      </c>
      <c r="L47" s="181">
        <f t="shared" si="13"/>
        <v>0.47222222222222221</v>
      </c>
      <c r="M47" s="180" t="s">
        <v>777</v>
      </c>
    </row>
    <row r="48" spans="1:14" ht="18.75" customHeight="1">
      <c r="A48" s="180" t="s">
        <v>913</v>
      </c>
      <c r="B48" s="180" t="s">
        <v>913</v>
      </c>
      <c r="C48" s="180" t="s">
        <v>785</v>
      </c>
      <c r="D48" s="180">
        <f t="shared" si="8"/>
        <v>1095</v>
      </c>
      <c r="E48" s="184">
        <v>44613</v>
      </c>
      <c r="F48" s="184">
        <f t="shared" si="9"/>
        <v>45708</v>
      </c>
      <c r="G48" s="184">
        <f t="shared" si="10"/>
        <v>45678</v>
      </c>
      <c r="H48" s="180" t="str">
        <f t="shared" ca="1" si="11"/>
        <v>VENCIDO</v>
      </c>
      <c r="I48" s="195">
        <f t="shared" si="14"/>
        <v>145</v>
      </c>
      <c r="J48" s="182">
        <f t="shared" si="5"/>
        <v>285</v>
      </c>
      <c r="K48" s="182">
        <f t="shared" si="12"/>
        <v>140</v>
      </c>
      <c r="L48" s="181">
        <f t="shared" si="13"/>
        <v>0.49122807017543857</v>
      </c>
      <c r="M48" s="180" t="s">
        <v>777</v>
      </c>
    </row>
    <row r="49" spans="1:13" ht="18.75" customHeight="1">
      <c r="A49" s="180" t="s">
        <v>912</v>
      </c>
      <c r="B49" s="180" t="s">
        <v>912</v>
      </c>
      <c r="C49" s="180" t="s">
        <v>781</v>
      </c>
      <c r="D49" s="180">
        <f t="shared" si="8"/>
        <v>365</v>
      </c>
      <c r="E49" s="184">
        <v>44623</v>
      </c>
      <c r="F49" s="184">
        <f t="shared" si="9"/>
        <v>44988</v>
      </c>
      <c r="G49" s="184">
        <f t="shared" si="10"/>
        <v>44958</v>
      </c>
      <c r="H49" s="180" t="str">
        <f t="shared" ca="1" si="11"/>
        <v>VENCIDO</v>
      </c>
      <c r="I49" s="194">
        <f t="shared" si="14"/>
        <v>95</v>
      </c>
      <c r="J49" s="182">
        <f t="shared" si="5"/>
        <v>180</v>
      </c>
      <c r="K49" s="182">
        <f t="shared" si="12"/>
        <v>85</v>
      </c>
      <c r="L49" s="181">
        <f t="shared" si="13"/>
        <v>0.47222222222222221</v>
      </c>
      <c r="M49" s="180"/>
    </row>
    <row r="50" spans="1:13" ht="18.75" customHeight="1">
      <c r="A50" s="180" t="s">
        <v>56</v>
      </c>
      <c r="B50" s="180" t="s">
        <v>911</v>
      </c>
      <c r="C50" s="180" t="s">
        <v>785</v>
      </c>
      <c r="D50" s="180">
        <f t="shared" si="8"/>
        <v>1095</v>
      </c>
      <c r="E50" s="184">
        <v>44623</v>
      </c>
      <c r="F50" s="184">
        <f t="shared" si="9"/>
        <v>45718</v>
      </c>
      <c r="G50" s="184">
        <f t="shared" si="10"/>
        <v>45688</v>
      </c>
      <c r="H50" s="180" t="str">
        <f t="shared" ca="1" si="11"/>
        <v>VENCIDO</v>
      </c>
      <c r="I50" s="194">
        <f t="shared" si="14"/>
        <v>145</v>
      </c>
      <c r="J50" s="182">
        <f t="shared" si="5"/>
        <v>285</v>
      </c>
      <c r="K50" s="182">
        <f t="shared" si="12"/>
        <v>140</v>
      </c>
      <c r="L50" s="181">
        <f t="shared" si="13"/>
        <v>0.49122807017543857</v>
      </c>
      <c r="M50" s="180" t="s">
        <v>777</v>
      </c>
    </row>
    <row r="51" spans="1:13" ht="18.75" customHeight="1">
      <c r="A51" s="180" t="s">
        <v>106</v>
      </c>
      <c r="B51" s="180" t="s">
        <v>106</v>
      </c>
      <c r="C51" s="180" t="s">
        <v>785</v>
      </c>
      <c r="D51" s="180">
        <f t="shared" si="8"/>
        <v>1095</v>
      </c>
      <c r="E51" s="184">
        <v>44630</v>
      </c>
      <c r="F51" s="184">
        <f t="shared" si="9"/>
        <v>45725</v>
      </c>
      <c r="G51" s="184">
        <f t="shared" si="10"/>
        <v>45695</v>
      </c>
      <c r="H51" s="180" t="str">
        <f t="shared" ca="1" si="11"/>
        <v>VENCIDO</v>
      </c>
      <c r="I51" s="194">
        <f t="shared" si="14"/>
        <v>145</v>
      </c>
      <c r="J51" s="182">
        <f t="shared" si="5"/>
        <v>285</v>
      </c>
      <c r="K51" s="182">
        <f t="shared" si="12"/>
        <v>140</v>
      </c>
      <c r="L51" s="181">
        <f t="shared" si="13"/>
        <v>0.49122807017543857</v>
      </c>
      <c r="M51" s="180" t="s">
        <v>908</v>
      </c>
    </row>
    <row r="52" spans="1:13" ht="18.75" customHeight="1">
      <c r="A52" s="180"/>
      <c r="B52" s="180" t="s">
        <v>910</v>
      </c>
      <c r="C52" s="180" t="s">
        <v>778</v>
      </c>
      <c r="D52" s="180">
        <f t="shared" si="8"/>
        <v>365</v>
      </c>
      <c r="E52" s="184">
        <v>44631</v>
      </c>
      <c r="F52" s="184">
        <f t="shared" si="9"/>
        <v>44996</v>
      </c>
      <c r="G52" s="184">
        <f t="shared" si="10"/>
        <v>44966</v>
      </c>
      <c r="H52" s="180" t="str">
        <f t="shared" ca="1" si="11"/>
        <v>VENCIDO</v>
      </c>
      <c r="I52" s="194">
        <f t="shared" si="14"/>
        <v>65</v>
      </c>
      <c r="J52" s="182">
        <f t="shared" si="5"/>
        <v>100</v>
      </c>
      <c r="K52" s="182">
        <f t="shared" si="12"/>
        <v>35</v>
      </c>
      <c r="L52" s="181">
        <f t="shared" si="13"/>
        <v>0.35</v>
      </c>
      <c r="M52" s="180"/>
    </row>
    <row r="53" spans="1:13" ht="18.75" customHeight="1">
      <c r="A53" s="180"/>
      <c r="B53" s="180" t="s">
        <v>909</v>
      </c>
      <c r="C53" s="180" t="s">
        <v>778</v>
      </c>
      <c r="D53" s="180">
        <f t="shared" si="8"/>
        <v>365</v>
      </c>
      <c r="E53" s="184">
        <v>44631</v>
      </c>
      <c r="F53" s="184">
        <f t="shared" si="9"/>
        <v>44996</v>
      </c>
      <c r="G53" s="184">
        <f t="shared" si="10"/>
        <v>44966</v>
      </c>
      <c r="H53" s="180" t="str">
        <f t="shared" ca="1" si="11"/>
        <v>VENCIDO</v>
      </c>
      <c r="I53" s="194">
        <f t="shared" si="14"/>
        <v>65</v>
      </c>
      <c r="J53" s="182">
        <f t="shared" si="5"/>
        <v>100</v>
      </c>
      <c r="K53" s="182">
        <f t="shared" si="12"/>
        <v>35</v>
      </c>
      <c r="L53" s="181">
        <f t="shared" si="13"/>
        <v>0.35</v>
      </c>
      <c r="M53" s="180"/>
    </row>
    <row r="54" spans="1:13" ht="18.75" customHeight="1">
      <c r="A54" s="180"/>
      <c r="B54" s="180" t="s">
        <v>860</v>
      </c>
      <c r="C54" s="180" t="s">
        <v>778</v>
      </c>
      <c r="D54" s="180">
        <f t="shared" si="8"/>
        <v>365</v>
      </c>
      <c r="E54" s="184">
        <v>44635</v>
      </c>
      <c r="F54" s="184">
        <f t="shared" si="9"/>
        <v>45000</v>
      </c>
      <c r="G54" s="184">
        <f t="shared" si="10"/>
        <v>44970</v>
      </c>
      <c r="H54" s="180" t="str">
        <f t="shared" ca="1" si="11"/>
        <v>VENCIDO</v>
      </c>
      <c r="I54" s="194">
        <f t="shared" si="14"/>
        <v>65</v>
      </c>
      <c r="J54" s="182">
        <f t="shared" si="5"/>
        <v>100</v>
      </c>
      <c r="K54" s="182">
        <f t="shared" si="12"/>
        <v>35</v>
      </c>
      <c r="L54" s="181">
        <f t="shared" si="13"/>
        <v>0.35</v>
      </c>
      <c r="M54" s="180" t="s">
        <v>908</v>
      </c>
    </row>
    <row r="55" spans="1:13" ht="18.75" customHeight="1">
      <c r="A55" s="180"/>
      <c r="B55" s="180" t="s">
        <v>803</v>
      </c>
      <c r="C55" s="180" t="s">
        <v>778</v>
      </c>
      <c r="D55" s="180">
        <f t="shared" si="8"/>
        <v>365</v>
      </c>
      <c r="E55" s="184">
        <v>44637</v>
      </c>
      <c r="F55" s="184">
        <f t="shared" si="9"/>
        <v>45002</v>
      </c>
      <c r="G55" s="184">
        <f t="shared" si="10"/>
        <v>44972</v>
      </c>
      <c r="H55" s="180" t="str">
        <f t="shared" ca="1" si="11"/>
        <v>VENCIDO</v>
      </c>
      <c r="I55" s="194">
        <v>103</v>
      </c>
      <c r="J55" s="182">
        <v>190</v>
      </c>
      <c r="K55" s="182">
        <f t="shared" si="12"/>
        <v>87</v>
      </c>
      <c r="L55" s="181">
        <f t="shared" si="13"/>
        <v>0.45789473684210524</v>
      </c>
      <c r="M55" s="180" t="s">
        <v>777</v>
      </c>
    </row>
    <row r="56" spans="1:13" ht="18.75" customHeight="1">
      <c r="A56" s="180" t="s">
        <v>51</v>
      </c>
      <c r="B56" s="180" t="s">
        <v>907</v>
      </c>
      <c r="C56" s="180" t="s">
        <v>781</v>
      </c>
      <c r="D56" s="180">
        <f t="shared" si="8"/>
        <v>365</v>
      </c>
      <c r="E56" s="184">
        <v>44637</v>
      </c>
      <c r="F56" s="184">
        <f t="shared" si="9"/>
        <v>45002</v>
      </c>
      <c r="G56" s="184">
        <f t="shared" si="10"/>
        <v>44972</v>
      </c>
      <c r="H56" s="180" t="str">
        <f t="shared" ca="1" si="11"/>
        <v>VENCIDO</v>
      </c>
      <c r="I56" s="194">
        <f t="shared" ref="I56:I79" si="15">VLOOKUP(C56,$M$3:$O$6,2,0)</f>
        <v>95</v>
      </c>
      <c r="J56" s="182">
        <f t="shared" ref="J56:J79" si="16">VLOOKUP(C56,$M$3:$O$6,3,0)</f>
        <v>180</v>
      </c>
      <c r="K56" s="182">
        <f t="shared" si="12"/>
        <v>85</v>
      </c>
      <c r="L56" s="181">
        <f t="shared" si="13"/>
        <v>0.47222222222222221</v>
      </c>
      <c r="M56" s="180" t="s">
        <v>777</v>
      </c>
    </row>
    <row r="57" spans="1:13" ht="18.75" customHeight="1">
      <c r="A57" s="180" t="s">
        <v>101</v>
      </c>
      <c r="B57" s="180" t="s">
        <v>907</v>
      </c>
      <c r="C57" s="180" t="s">
        <v>781</v>
      </c>
      <c r="D57" s="180">
        <f t="shared" si="8"/>
        <v>365</v>
      </c>
      <c r="E57" s="184">
        <v>44637</v>
      </c>
      <c r="F57" s="184">
        <f t="shared" si="9"/>
        <v>45002</v>
      </c>
      <c r="G57" s="184">
        <f t="shared" si="10"/>
        <v>44972</v>
      </c>
      <c r="H57" s="180" t="str">
        <f t="shared" ca="1" si="11"/>
        <v>VENCIDO</v>
      </c>
      <c r="I57" s="194">
        <f t="shared" si="15"/>
        <v>95</v>
      </c>
      <c r="J57" s="182">
        <f t="shared" si="16"/>
        <v>180</v>
      </c>
      <c r="K57" s="182">
        <f t="shared" si="12"/>
        <v>85</v>
      </c>
      <c r="L57" s="181">
        <f t="shared" si="13"/>
        <v>0.47222222222222221</v>
      </c>
      <c r="M57" s="180" t="s">
        <v>777</v>
      </c>
    </row>
    <row r="58" spans="1:13" ht="18.75" customHeight="1">
      <c r="A58" s="180"/>
      <c r="B58" s="180" t="s">
        <v>906</v>
      </c>
      <c r="C58" s="180" t="s">
        <v>778</v>
      </c>
      <c r="D58" s="180">
        <f t="shared" si="8"/>
        <v>365</v>
      </c>
      <c r="E58" s="184">
        <v>44644</v>
      </c>
      <c r="F58" s="184">
        <f t="shared" si="9"/>
        <v>45009</v>
      </c>
      <c r="G58" s="184">
        <f t="shared" si="10"/>
        <v>44979</v>
      </c>
      <c r="H58" s="180" t="str">
        <f t="shared" ca="1" si="11"/>
        <v>VENCIDO</v>
      </c>
      <c r="I58" s="194">
        <f t="shared" si="15"/>
        <v>65</v>
      </c>
      <c r="J58" s="182">
        <f t="shared" si="16"/>
        <v>100</v>
      </c>
      <c r="K58" s="182">
        <f t="shared" si="12"/>
        <v>35</v>
      </c>
      <c r="L58" s="181">
        <f t="shared" si="13"/>
        <v>0.35</v>
      </c>
      <c r="M58" s="180" t="s">
        <v>777</v>
      </c>
    </row>
    <row r="59" spans="1:13" ht="18.75" customHeight="1">
      <c r="A59" s="180" t="s">
        <v>905</v>
      </c>
      <c r="B59" s="180" t="s">
        <v>904</v>
      </c>
      <c r="C59" s="180" t="s">
        <v>781</v>
      </c>
      <c r="D59" s="180">
        <f t="shared" si="8"/>
        <v>365</v>
      </c>
      <c r="E59" s="184">
        <v>44644</v>
      </c>
      <c r="F59" s="184">
        <f t="shared" si="9"/>
        <v>45009</v>
      </c>
      <c r="G59" s="184">
        <f t="shared" si="10"/>
        <v>44979</v>
      </c>
      <c r="H59" s="180" t="str">
        <f t="shared" ca="1" si="11"/>
        <v>VENCIDO</v>
      </c>
      <c r="I59" s="194">
        <f t="shared" si="15"/>
        <v>95</v>
      </c>
      <c r="J59" s="182">
        <f t="shared" si="16"/>
        <v>180</v>
      </c>
      <c r="K59" s="182">
        <f t="shared" si="12"/>
        <v>85</v>
      </c>
      <c r="L59" s="181">
        <f t="shared" si="13"/>
        <v>0.47222222222222221</v>
      </c>
      <c r="M59" s="180" t="s">
        <v>777</v>
      </c>
    </row>
    <row r="60" spans="1:13" ht="18.75" customHeight="1">
      <c r="A60" s="180"/>
      <c r="B60" s="180" t="s">
        <v>903</v>
      </c>
      <c r="C60" s="180" t="s">
        <v>778</v>
      </c>
      <c r="D60" s="180">
        <f t="shared" si="8"/>
        <v>365</v>
      </c>
      <c r="E60" s="184">
        <v>44648</v>
      </c>
      <c r="F60" s="184">
        <f t="shared" si="9"/>
        <v>45013</v>
      </c>
      <c r="G60" s="184">
        <f t="shared" si="10"/>
        <v>44983</v>
      </c>
      <c r="H60" s="180" t="str">
        <f t="shared" ca="1" si="11"/>
        <v>VENCIDO</v>
      </c>
      <c r="I60" s="194">
        <f t="shared" si="15"/>
        <v>65</v>
      </c>
      <c r="J60" s="182">
        <f t="shared" si="16"/>
        <v>100</v>
      </c>
      <c r="K60" s="182">
        <f t="shared" si="12"/>
        <v>35</v>
      </c>
      <c r="L60" s="181">
        <f t="shared" si="13"/>
        <v>0.35</v>
      </c>
      <c r="M60" s="180" t="s">
        <v>777</v>
      </c>
    </row>
    <row r="61" spans="1:13" ht="18.75" customHeight="1">
      <c r="A61" s="180" t="s">
        <v>902</v>
      </c>
      <c r="B61" s="180" t="s">
        <v>902</v>
      </c>
      <c r="C61" s="180" t="s">
        <v>785</v>
      </c>
      <c r="D61" s="180">
        <f t="shared" si="8"/>
        <v>1095</v>
      </c>
      <c r="E61" s="184">
        <v>44650</v>
      </c>
      <c r="F61" s="184">
        <f t="shared" ref="F61:F92" si="17">E61+D61</f>
        <v>45745</v>
      </c>
      <c r="G61" s="184">
        <f t="shared" ref="G61:G92" si="18">F61-30</f>
        <v>45715</v>
      </c>
      <c r="H61" s="180" t="str">
        <f t="shared" ref="H61:H92" ca="1" si="19">IF($A$6&lt;G61,"VÁLIDO",IF($A$6&gt;F61,"VENCIDO","A VENCER"))</f>
        <v>VENCIDO</v>
      </c>
      <c r="I61" s="194">
        <f t="shared" si="15"/>
        <v>145</v>
      </c>
      <c r="J61" s="182">
        <f t="shared" si="16"/>
        <v>285</v>
      </c>
      <c r="K61" s="182">
        <f t="shared" ref="K61:K92" si="20">J61-I61</f>
        <v>140</v>
      </c>
      <c r="L61" s="181">
        <f t="shared" ref="L61:L92" si="21">K61/J61</f>
        <v>0.49122807017543857</v>
      </c>
      <c r="M61" s="180" t="s">
        <v>892</v>
      </c>
    </row>
    <row r="62" spans="1:13" ht="18.75" customHeight="1">
      <c r="A62" s="180"/>
      <c r="B62" s="180" t="s">
        <v>901</v>
      </c>
      <c r="C62" s="180" t="s">
        <v>778</v>
      </c>
      <c r="D62" s="180">
        <f t="shared" si="8"/>
        <v>365</v>
      </c>
      <c r="E62" s="184">
        <v>44655</v>
      </c>
      <c r="F62" s="184">
        <f t="shared" si="17"/>
        <v>45020</v>
      </c>
      <c r="G62" s="184">
        <f t="shared" si="18"/>
        <v>44990</v>
      </c>
      <c r="H62" s="180" t="str">
        <f t="shared" ca="1" si="19"/>
        <v>VENCIDO</v>
      </c>
      <c r="I62" s="193">
        <f t="shared" si="15"/>
        <v>65</v>
      </c>
      <c r="J62" s="182">
        <f t="shared" si="16"/>
        <v>100</v>
      </c>
      <c r="K62" s="182">
        <f t="shared" si="20"/>
        <v>35</v>
      </c>
      <c r="L62" s="181">
        <f t="shared" si="21"/>
        <v>0.35</v>
      </c>
      <c r="M62" s="180" t="s">
        <v>777</v>
      </c>
    </row>
    <row r="63" spans="1:13" ht="18.75" customHeight="1">
      <c r="A63" s="180" t="s">
        <v>900</v>
      </c>
      <c r="B63" s="180" t="s">
        <v>899</v>
      </c>
      <c r="C63" s="180" t="s">
        <v>785</v>
      </c>
      <c r="D63" s="180">
        <f t="shared" si="8"/>
        <v>1095</v>
      </c>
      <c r="E63" s="184">
        <v>44663</v>
      </c>
      <c r="F63" s="184">
        <f t="shared" si="17"/>
        <v>45758</v>
      </c>
      <c r="G63" s="184">
        <f t="shared" si="18"/>
        <v>45728</v>
      </c>
      <c r="H63" s="180" t="str">
        <f t="shared" ca="1" si="19"/>
        <v>VENCIDO</v>
      </c>
      <c r="I63" s="193">
        <f t="shared" si="15"/>
        <v>145</v>
      </c>
      <c r="J63" s="182">
        <f t="shared" si="16"/>
        <v>285</v>
      </c>
      <c r="K63" s="182">
        <f t="shared" si="20"/>
        <v>140</v>
      </c>
      <c r="L63" s="181">
        <f t="shared" si="21"/>
        <v>0.49122807017543857</v>
      </c>
      <c r="M63" s="180" t="s">
        <v>898</v>
      </c>
    </row>
    <row r="64" spans="1:13" ht="18.75" customHeight="1">
      <c r="A64" s="180"/>
      <c r="B64" s="180" t="s">
        <v>897</v>
      </c>
      <c r="C64" s="180" t="s">
        <v>778</v>
      </c>
      <c r="D64" s="180">
        <f t="shared" si="8"/>
        <v>365</v>
      </c>
      <c r="E64" s="184">
        <v>44664</v>
      </c>
      <c r="F64" s="184">
        <f t="shared" si="17"/>
        <v>45029</v>
      </c>
      <c r="G64" s="184">
        <f t="shared" si="18"/>
        <v>44999</v>
      </c>
      <c r="H64" s="180" t="str">
        <f t="shared" ca="1" si="19"/>
        <v>VENCIDO</v>
      </c>
      <c r="I64" s="193">
        <f t="shared" si="15"/>
        <v>65</v>
      </c>
      <c r="J64" s="182">
        <f t="shared" si="16"/>
        <v>100</v>
      </c>
      <c r="K64" s="182">
        <f t="shared" si="20"/>
        <v>35</v>
      </c>
      <c r="L64" s="181">
        <f t="shared" si="21"/>
        <v>0.35</v>
      </c>
      <c r="M64" s="180" t="s">
        <v>777</v>
      </c>
    </row>
    <row r="65" spans="1:13" ht="18.75" customHeight="1">
      <c r="A65" s="180" t="s">
        <v>791</v>
      </c>
      <c r="B65" s="180" t="s">
        <v>791</v>
      </c>
      <c r="C65" s="180" t="s">
        <v>781</v>
      </c>
      <c r="D65" s="180">
        <f t="shared" si="8"/>
        <v>365</v>
      </c>
      <c r="E65" s="184">
        <v>44665</v>
      </c>
      <c r="F65" s="184">
        <f t="shared" si="17"/>
        <v>45030</v>
      </c>
      <c r="G65" s="184">
        <f t="shared" si="18"/>
        <v>45000</v>
      </c>
      <c r="H65" s="180" t="str">
        <f t="shared" ca="1" si="19"/>
        <v>VENCIDO</v>
      </c>
      <c r="I65" s="193">
        <f t="shared" si="15"/>
        <v>95</v>
      </c>
      <c r="J65" s="182">
        <f t="shared" si="16"/>
        <v>180</v>
      </c>
      <c r="K65" s="182">
        <f t="shared" si="20"/>
        <v>85</v>
      </c>
      <c r="L65" s="181">
        <f t="shared" si="21"/>
        <v>0.47222222222222221</v>
      </c>
      <c r="M65" s="180" t="s">
        <v>777</v>
      </c>
    </row>
    <row r="66" spans="1:13" ht="18.75" customHeight="1">
      <c r="A66" s="180"/>
      <c r="B66" s="180" t="s">
        <v>896</v>
      </c>
      <c r="C66" s="180" t="s">
        <v>778</v>
      </c>
      <c r="D66" s="180">
        <f t="shared" si="8"/>
        <v>365</v>
      </c>
      <c r="E66" s="184">
        <v>44670</v>
      </c>
      <c r="F66" s="184">
        <f t="shared" si="17"/>
        <v>45035</v>
      </c>
      <c r="G66" s="184">
        <f t="shared" si="18"/>
        <v>45005</v>
      </c>
      <c r="H66" s="180" t="str">
        <f t="shared" ca="1" si="19"/>
        <v>VENCIDO</v>
      </c>
      <c r="I66" s="193">
        <f t="shared" si="15"/>
        <v>65</v>
      </c>
      <c r="J66" s="182">
        <f t="shared" si="16"/>
        <v>100</v>
      </c>
      <c r="K66" s="182">
        <f t="shared" si="20"/>
        <v>35</v>
      </c>
      <c r="L66" s="181">
        <f t="shared" si="21"/>
        <v>0.35</v>
      </c>
      <c r="M66" s="180" t="s">
        <v>777</v>
      </c>
    </row>
    <row r="67" spans="1:13" ht="18.75" customHeight="1">
      <c r="A67" s="180"/>
      <c r="B67" s="180" t="s">
        <v>895</v>
      </c>
      <c r="C67" s="180" t="s">
        <v>778</v>
      </c>
      <c r="D67" s="180">
        <f t="shared" si="8"/>
        <v>365</v>
      </c>
      <c r="E67" s="184">
        <v>44671</v>
      </c>
      <c r="F67" s="184">
        <f t="shared" si="17"/>
        <v>45036</v>
      </c>
      <c r="G67" s="184">
        <f t="shared" si="18"/>
        <v>45006</v>
      </c>
      <c r="H67" s="180" t="str">
        <f t="shared" ca="1" si="19"/>
        <v>VENCIDO</v>
      </c>
      <c r="I67" s="193">
        <f t="shared" si="15"/>
        <v>65</v>
      </c>
      <c r="J67" s="182">
        <f t="shared" si="16"/>
        <v>100</v>
      </c>
      <c r="K67" s="182">
        <f t="shared" si="20"/>
        <v>35</v>
      </c>
      <c r="L67" s="181">
        <f t="shared" si="21"/>
        <v>0.35</v>
      </c>
      <c r="M67" s="180" t="s">
        <v>777</v>
      </c>
    </row>
    <row r="68" spans="1:13" ht="18.75" customHeight="1">
      <c r="A68" s="180" t="s">
        <v>61</v>
      </c>
      <c r="B68" s="180" t="s">
        <v>855</v>
      </c>
      <c r="C68" s="180" t="s">
        <v>781</v>
      </c>
      <c r="D68" s="180">
        <f t="shared" si="8"/>
        <v>365</v>
      </c>
      <c r="E68" s="184">
        <v>44673</v>
      </c>
      <c r="F68" s="184">
        <f t="shared" si="17"/>
        <v>45038</v>
      </c>
      <c r="G68" s="184">
        <f t="shared" si="18"/>
        <v>45008</v>
      </c>
      <c r="H68" s="180" t="str">
        <f t="shared" ca="1" si="19"/>
        <v>VENCIDO</v>
      </c>
      <c r="I68" s="193">
        <f t="shared" si="15"/>
        <v>95</v>
      </c>
      <c r="J68" s="182">
        <f t="shared" si="16"/>
        <v>180</v>
      </c>
      <c r="K68" s="182">
        <f t="shared" si="20"/>
        <v>85</v>
      </c>
      <c r="L68" s="181">
        <f t="shared" si="21"/>
        <v>0.47222222222222221</v>
      </c>
      <c r="M68" s="180" t="s">
        <v>777</v>
      </c>
    </row>
    <row r="69" spans="1:13" ht="18.75" customHeight="1">
      <c r="A69" s="180"/>
      <c r="B69" s="180" t="s">
        <v>894</v>
      </c>
      <c r="C69" s="180" t="s">
        <v>778</v>
      </c>
      <c r="D69" s="180">
        <f t="shared" si="8"/>
        <v>365</v>
      </c>
      <c r="E69" s="184">
        <v>44678</v>
      </c>
      <c r="F69" s="184">
        <f t="shared" si="17"/>
        <v>45043</v>
      </c>
      <c r="G69" s="184">
        <f t="shared" si="18"/>
        <v>45013</v>
      </c>
      <c r="H69" s="180" t="str">
        <f t="shared" ca="1" si="19"/>
        <v>VENCIDO</v>
      </c>
      <c r="I69" s="193">
        <f t="shared" si="15"/>
        <v>65</v>
      </c>
      <c r="J69" s="182">
        <f t="shared" si="16"/>
        <v>100</v>
      </c>
      <c r="K69" s="182">
        <f t="shared" si="20"/>
        <v>35</v>
      </c>
      <c r="L69" s="181">
        <f t="shared" si="21"/>
        <v>0.35</v>
      </c>
      <c r="M69" s="180" t="s">
        <v>777</v>
      </c>
    </row>
    <row r="70" spans="1:13" ht="18.75" customHeight="1">
      <c r="A70" s="180"/>
      <c r="B70" s="180" t="s">
        <v>893</v>
      </c>
      <c r="C70" s="180" t="s">
        <v>802</v>
      </c>
      <c r="D70" s="180">
        <f t="shared" si="8"/>
        <v>1095</v>
      </c>
      <c r="E70" s="184">
        <v>44680</v>
      </c>
      <c r="F70" s="184">
        <f t="shared" si="17"/>
        <v>45775</v>
      </c>
      <c r="G70" s="184">
        <f t="shared" si="18"/>
        <v>45745</v>
      </c>
      <c r="H70" s="180" t="str">
        <f t="shared" ca="1" si="19"/>
        <v>VENCIDO</v>
      </c>
      <c r="I70" s="193">
        <f t="shared" si="15"/>
        <v>100</v>
      </c>
      <c r="J70" s="182">
        <f t="shared" si="16"/>
        <v>250</v>
      </c>
      <c r="K70" s="182">
        <f t="shared" si="20"/>
        <v>150</v>
      </c>
      <c r="L70" s="181">
        <f t="shared" si="21"/>
        <v>0.6</v>
      </c>
      <c r="M70" s="180" t="s">
        <v>892</v>
      </c>
    </row>
    <row r="71" spans="1:13" ht="18.75" customHeight="1">
      <c r="A71" s="180" t="s">
        <v>163</v>
      </c>
      <c r="B71" s="180" t="s">
        <v>163</v>
      </c>
      <c r="C71" s="180" t="s">
        <v>781</v>
      </c>
      <c r="D71" s="180">
        <f t="shared" si="8"/>
        <v>365</v>
      </c>
      <c r="E71" s="184">
        <v>44690</v>
      </c>
      <c r="F71" s="184">
        <f t="shared" si="17"/>
        <v>45055</v>
      </c>
      <c r="G71" s="184">
        <f t="shared" si="18"/>
        <v>45025</v>
      </c>
      <c r="H71" s="180" t="str">
        <f t="shared" ca="1" si="19"/>
        <v>VENCIDO</v>
      </c>
      <c r="I71" s="192">
        <f t="shared" si="15"/>
        <v>95</v>
      </c>
      <c r="J71" s="182">
        <f t="shared" si="16"/>
        <v>180</v>
      </c>
      <c r="K71" s="182">
        <f t="shared" si="20"/>
        <v>85</v>
      </c>
      <c r="L71" s="181">
        <f t="shared" si="21"/>
        <v>0.47222222222222221</v>
      </c>
      <c r="M71" s="180" t="s">
        <v>777</v>
      </c>
    </row>
    <row r="72" spans="1:13" ht="18.75" customHeight="1">
      <c r="A72" s="180" t="s">
        <v>8</v>
      </c>
      <c r="B72" s="180" t="s">
        <v>92</v>
      </c>
      <c r="C72" s="180" t="s">
        <v>785</v>
      </c>
      <c r="D72" s="180">
        <f t="shared" si="8"/>
        <v>1095</v>
      </c>
      <c r="E72" s="184">
        <v>44690</v>
      </c>
      <c r="F72" s="184">
        <f t="shared" si="17"/>
        <v>45785</v>
      </c>
      <c r="G72" s="184">
        <f t="shared" si="18"/>
        <v>45755</v>
      </c>
      <c r="H72" s="180" t="str">
        <f t="shared" ca="1" si="19"/>
        <v>VENCIDO</v>
      </c>
      <c r="I72" s="192">
        <f t="shared" si="15"/>
        <v>145</v>
      </c>
      <c r="J72" s="182">
        <f t="shared" si="16"/>
        <v>285</v>
      </c>
      <c r="K72" s="182">
        <f t="shared" si="20"/>
        <v>140</v>
      </c>
      <c r="L72" s="181">
        <f t="shared" si="21"/>
        <v>0.49122807017543857</v>
      </c>
      <c r="M72" s="180" t="s">
        <v>892</v>
      </c>
    </row>
    <row r="73" spans="1:13" ht="18.75" customHeight="1">
      <c r="A73" s="180" t="s">
        <v>891</v>
      </c>
      <c r="B73" s="180" t="s">
        <v>891</v>
      </c>
      <c r="C73" s="180" t="s">
        <v>781</v>
      </c>
      <c r="D73" s="180">
        <f t="shared" si="8"/>
        <v>365</v>
      </c>
      <c r="E73" s="184">
        <v>44707</v>
      </c>
      <c r="F73" s="184">
        <f t="shared" si="17"/>
        <v>45072</v>
      </c>
      <c r="G73" s="184">
        <f t="shared" si="18"/>
        <v>45042</v>
      </c>
      <c r="H73" s="180" t="str">
        <f t="shared" ca="1" si="19"/>
        <v>VENCIDO</v>
      </c>
      <c r="I73" s="192">
        <f t="shared" si="15"/>
        <v>95</v>
      </c>
      <c r="J73" s="182">
        <f t="shared" si="16"/>
        <v>180</v>
      </c>
      <c r="K73" s="182">
        <f t="shared" si="20"/>
        <v>85</v>
      </c>
      <c r="L73" s="181">
        <f t="shared" si="21"/>
        <v>0.47222222222222221</v>
      </c>
      <c r="M73" s="180"/>
    </row>
    <row r="74" spans="1:13" ht="18.75" customHeight="1">
      <c r="A74" s="180"/>
      <c r="B74" s="180" t="s">
        <v>890</v>
      </c>
      <c r="C74" s="180" t="s">
        <v>778</v>
      </c>
      <c r="D74" s="180">
        <f t="shared" si="8"/>
        <v>365</v>
      </c>
      <c r="E74" s="184">
        <v>44707</v>
      </c>
      <c r="F74" s="184">
        <f t="shared" si="17"/>
        <v>45072</v>
      </c>
      <c r="G74" s="184">
        <f t="shared" si="18"/>
        <v>45042</v>
      </c>
      <c r="H74" s="180" t="str">
        <f t="shared" ca="1" si="19"/>
        <v>VENCIDO</v>
      </c>
      <c r="I74" s="192">
        <f t="shared" si="15"/>
        <v>65</v>
      </c>
      <c r="J74" s="182">
        <f t="shared" si="16"/>
        <v>100</v>
      </c>
      <c r="K74" s="182">
        <f t="shared" si="20"/>
        <v>35</v>
      </c>
      <c r="L74" s="181">
        <f t="shared" si="21"/>
        <v>0.35</v>
      </c>
      <c r="M74" s="180"/>
    </row>
    <row r="75" spans="1:13" ht="18.75" customHeight="1">
      <c r="A75" s="180" t="s">
        <v>782</v>
      </c>
      <c r="B75" s="180" t="s">
        <v>782</v>
      </c>
      <c r="C75" s="180" t="s">
        <v>781</v>
      </c>
      <c r="D75" s="180">
        <f t="shared" si="8"/>
        <v>365</v>
      </c>
      <c r="E75" s="184">
        <v>44707</v>
      </c>
      <c r="F75" s="184">
        <f t="shared" si="17"/>
        <v>45072</v>
      </c>
      <c r="G75" s="184">
        <f t="shared" si="18"/>
        <v>45042</v>
      </c>
      <c r="H75" s="180" t="str">
        <f t="shared" ca="1" si="19"/>
        <v>VENCIDO</v>
      </c>
      <c r="I75" s="192">
        <f t="shared" si="15"/>
        <v>95</v>
      </c>
      <c r="J75" s="182">
        <f t="shared" si="16"/>
        <v>180</v>
      </c>
      <c r="K75" s="182">
        <f t="shared" si="20"/>
        <v>85</v>
      </c>
      <c r="L75" s="181">
        <f t="shared" si="21"/>
        <v>0.47222222222222221</v>
      </c>
      <c r="M75" s="180" t="s">
        <v>777</v>
      </c>
    </row>
    <row r="76" spans="1:13" ht="18.75" customHeight="1">
      <c r="A76" s="180"/>
      <c r="B76" s="180" t="s">
        <v>889</v>
      </c>
      <c r="C76" s="180" t="s">
        <v>778</v>
      </c>
      <c r="D76" s="180">
        <f t="shared" si="8"/>
        <v>365</v>
      </c>
      <c r="E76" s="184">
        <v>44707</v>
      </c>
      <c r="F76" s="184">
        <f t="shared" si="17"/>
        <v>45072</v>
      </c>
      <c r="G76" s="184">
        <f t="shared" si="18"/>
        <v>45042</v>
      </c>
      <c r="H76" s="180" t="str">
        <f t="shared" ca="1" si="19"/>
        <v>VENCIDO</v>
      </c>
      <c r="I76" s="192">
        <f t="shared" si="15"/>
        <v>65</v>
      </c>
      <c r="J76" s="182">
        <f t="shared" si="16"/>
        <v>100</v>
      </c>
      <c r="K76" s="182">
        <f t="shared" si="20"/>
        <v>35</v>
      </c>
      <c r="L76" s="181">
        <f t="shared" si="21"/>
        <v>0.35</v>
      </c>
      <c r="M76" s="180" t="s">
        <v>777</v>
      </c>
    </row>
    <row r="77" spans="1:13" ht="18.75" customHeight="1">
      <c r="A77" s="180"/>
      <c r="B77" s="180" t="s">
        <v>780</v>
      </c>
      <c r="C77" s="180" t="s">
        <v>778</v>
      </c>
      <c r="D77" s="180">
        <f t="shared" si="8"/>
        <v>365</v>
      </c>
      <c r="E77" s="184">
        <v>44708</v>
      </c>
      <c r="F77" s="184">
        <f t="shared" si="17"/>
        <v>45073</v>
      </c>
      <c r="G77" s="184">
        <f t="shared" si="18"/>
        <v>45043</v>
      </c>
      <c r="H77" s="180" t="str">
        <f t="shared" ca="1" si="19"/>
        <v>VENCIDO</v>
      </c>
      <c r="I77" s="192">
        <f t="shared" si="15"/>
        <v>65</v>
      </c>
      <c r="J77" s="182">
        <f t="shared" si="16"/>
        <v>100</v>
      </c>
      <c r="K77" s="182">
        <f t="shared" si="20"/>
        <v>35</v>
      </c>
      <c r="L77" s="181">
        <f t="shared" si="21"/>
        <v>0.35</v>
      </c>
      <c r="M77" s="180"/>
    </row>
    <row r="78" spans="1:13" ht="18.75" customHeight="1">
      <c r="A78" s="180"/>
      <c r="B78" s="180" t="s">
        <v>888</v>
      </c>
      <c r="C78" s="180" t="s">
        <v>778</v>
      </c>
      <c r="D78" s="180">
        <f t="shared" si="8"/>
        <v>365</v>
      </c>
      <c r="E78" s="184">
        <v>44711</v>
      </c>
      <c r="F78" s="184">
        <f t="shared" si="17"/>
        <v>45076</v>
      </c>
      <c r="G78" s="184">
        <f t="shared" si="18"/>
        <v>45046</v>
      </c>
      <c r="H78" s="180" t="str">
        <f t="shared" ca="1" si="19"/>
        <v>VENCIDO</v>
      </c>
      <c r="I78" s="192">
        <f t="shared" si="15"/>
        <v>65</v>
      </c>
      <c r="J78" s="182">
        <f t="shared" si="16"/>
        <v>100</v>
      </c>
      <c r="K78" s="182">
        <f t="shared" si="20"/>
        <v>35</v>
      </c>
      <c r="L78" s="181">
        <f t="shared" si="21"/>
        <v>0.35</v>
      </c>
      <c r="M78" s="180"/>
    </row>
    <row r="79" spans="1:13" ht="18.75" customHeight="1">
      <c r="A79" s="180"/>
      <c r="B79" s="180" t="s">
        <v>887</v>
      </c>
      <c r="C79" s="180" t="s">
        <v>778</v>
      </c>
      <c r="D79" s="180">
        <f t="shared" si="8"/>
        <v>365</v>
      </c>
      <c r="E79" s="184">
        <v>44712</v>
      </c>
      <c r="F79" s="184">
        <f t="shared" si="17"/>
        <v>45077</v>
      </c>
      <c r="G79" s="184">
        <f t="shared" si="18"/>
        <v>45047</v>
      </c>
      <c r="H79" s="180" t="str">
        <f t="shared" ca="1" si="19"/>
        <v>VENCIDO</v>
      </c>
      <c r="I79" s="191">
        <f t="shared" si="15"/>
        <v>65</v>
      </c>
      <c r="J79" s="182">
        <f t="shared" si="16"/>
        <v>100</v>
      </c>
      <c r="K79" s="182">
        <f t="shared" si="20"/>
        <v>35</v>
      </c>
      <c r="L79" s="181">
        <f t="shared" si="21"/>
        <v>0.35</v>
      </c>
      <c r="M79" s="180" t="s">
        <v>777</v>
      </c>
    </row>
    <row r="80" spans="1:13" ht="18.75" customHeight="1">
      <c r="A80" s="180"/>
      <c r="B80" s="180" t="s">
        <v>886</v>
      </c>
      <c r="C80" s="180" t="s">
        <v>802</v>
      </c>
      <c r="D80" s="180">
        <f t="shared" si="8"/>
        <v>1095</v>
      </c>
      <c r="E80" s="184">
        <v>44714</v>
      </c>
      <c r="F80" s="184">
        <f t="shared" si="17"/>
        <v>45809</v>
      </c>
      <c r="G80" s="184">
        <f t="shared" si="18"/>
        <v>45779</v>
      </c>
      <c r="H80" s="180" t="str">
        <f t="shared" ca="1" si="19"/>
        <v>VENCIDO</v>
      </c>
      <c r="I80" s="191">
        <v>173</v>
      </c>
      <c r="J80" s="182">
        <v>300</v>
      </c>
      <c r="K80" s="182">
        <f t="shared" si="20"/>
        <v>127</v>
      </c>
      <c r="L80" s="181">
        <f t="shared" si="21"/>
        <v>0.42333333333333334</v>
      </c>
      <c r="M80" s="180" t="s">
        <v>777</v>
      </c>
    </row>
    <row r="81" spans="1:13" ht="18.75" customHeight="1">
      <c r="A81" s="180"/>
      <c r="B81" s="180" t="s">
        <v>846</v>
      </c>
      <c r="C81" s="180" t="s">
        <v>778</v>
      </c>
      <c r="D81" s="180">
        <f t="shared" si="8"/>
        <v>365</v>
      </c>
      <c r="E81" s="184">
        <v>44714</v>
      </c>
      <c r="F81" s="184">
        <f t="shared" si="17"/>
        <v>45079</v>
      </c>
      <c r="G81" s="184">
        <f t="shared" si="18"/>
        <v>45049</v>
      </c>
      <c r="H81" s="180" t="str">
        <f t="shared" ca="1" si="19"/>
        <v>VENCIDO</v>
      </c>
      <c r="I81" s="191">
        <f>VLOOKUP(C81,$M$3:$O$6,2,0)</f>
        <v>65</v>
      </c>
      <c r="J81" s="182">
        <f>VLOOKUP(C81,$M$3:$O$6,3,0)</f>
        <v>100</v>
      </c>
      <c r="K81" s="182">
        <f t="shared" si="20"/>
        <v>35</v>
      </c>
      <c r="L81" s="181">
        <f t="shared" si="21"/>
        <v>0.35</v>
      </c>
      <c r="M81" s="180" t="s">
        <v>777</v>
      </c>
    </row>
    <row r="82" spans="1:13" ht="18.75" customHeight="1">
      <c r="A82" s="180" t="s">
        <v>885</v>
      </c>
      <c r="B82" s="180" t="s">
        <v>885</v>
      </c>
      <c r="C82" s="180" t="s">
        <v>781</v>
      </c>
      <c r="D82" s="180">
        <f t="shared" si="8"/>
        <v>365</v>
      </c>
      <c r="E82" s="184">
        <v>44718</v>
      </c>
      <c r="F82" s="184">
        <f t="shared" si="17"/>
        <v>45083</v>
      </c>
      <c r="G82" s="184">
        <f t="shared" si="18"/>
        <v>45053</v>
      </c>
      <c r="H82" s="180" t="str">
        <f t="shared" ca="1" si="19"/>
        <v>VENCIDO</v>
      </c>
      <c r="I82" s="191">
        <f>VLOOKUP(C82,$M$3:$O$6,2,0)</f>
        <v>95</v>
      </c>
      <c r="J82" s="182">
        <f>VLOOKUP(C82,$M$3:$O$6,3,0)</f>
        <v>180</v>
      </c>
      <c r="K82" s="182">
        <f t="shared" si="20"/>
        <v>85</v>
      </c>
      <c r="L82" s="181">
        <f t="shared" si="21"/>
        <v>0.47222222222222221</v>
      </c>
      <c r="M82" s="180" t="s">
        <v>882</v>
      </c>
    </row>
    <row r="83" spans="1:13" ht="18.75" customHeight="1">
      <c r="A83" s="180"/>
      <c r="B83" s="180" t="s">
        <v>590</v>
      </c>
      <c r="C83" s="180" t="s">
        <v>778</v>
      </c>
      <c r="D83" s="180">
        <f t="shared" si="8"/>
        <v>365</v>
      </c>
      <c r="E83" s="184">
        <v>44721</v>
      </c>
      <c r="F83" s="184">
        <f t="shared" si="17"/>
        <v>45086</v>
      </c>
      <c r="G83" s="184">
        <f t="shared" si="18"/>
        <v>45056</v>
      </c>
      <c r="H83" s="180" t="str">
        <f t="shared" ca="1" si="19"/>
        <v>VENCIDO</v>
      </c>
      <c r="I83" s="191">
        <f>VLOOKUP(C83,$M$3:$O$6,2,0)</f>
        <v>65</v>
      </c>
      <c r="J83" s="182">
        <f>VLOOKUP(C83,$M$3:$O$6,3,0)</f>
        <v>100</v>
      </c>
      <c r="K83" s="182">
        <f t="shared" si="20"/>
        <v>35</v>
      </c>
      <c r="L83" s="181">
        <f t="shared" si="21"/>
        <v>0.35</v>
      </c>
      <c r="M83" s="180"/>
    </row>
    <row r="84" spans="1:13" ht="18.75" customHeight="1">
      <c r="A84" s="180"/>
      <c r="B84" s="180" t="s">
        <v>884</v>
      </c>
      <c r="C84" s="180" t="s">
        <v>802</v>
      </c>
      <c r="D84" s="180">
        <f t="shared" si="8"/>
        <v>1095</v>
      </c>
      <c r="E84" s="184">
        <v>44726</v>
      </c>
      <c r="F84" s="184">
        <f t="shared" si="17"/>
        <v>45821</v>
      </c>
      <c r="G84" s="184">
        <f t="shared" si="18"/>
        <v>45791</v>
      </c>
      <c r="H84" s="180" t="str">
        <f t="shared" ca="1" si="19"/>
        <v>VENCIDO</v>
      </c>
      <c r="I84" s="191">
        <v>173</v>
      </c>
      <c r="J84" s="182">
        <v>300</v>
      </c>
      <c r="K84" s="182">
        <f t="shared" si="20"/>
        <v>127</v>
      </c>
      <c r="L84" s="181">
        <f t="shared" si="21"/>
        <v>0.42333333333333334</v>
      </c>
      <c r="M84" s="180" t="s">
        <v>777</v>
      </c>
    </row>
    <row r="85" spans="1:13" ht="18.75" customHeight="1">
      <c r="A85" s="180"/>
      <c r="B85" s="180" t="s">
        <v>883</v>
      </c>
      <c r="C85" s="180" t="s">
        <v>802</v>
      </c>
      <c r="D85" s="180">
        <f t="shared" si="8"/>
        <v>1095</v>
      </c>
      <c r="E85" s="184">
        <v>44733</v>
      </c>
      <c r="F85" s="184">
        <f t="shared" si="17"/>
        <v>45828</v>
      </c>
      <c r="G85" s="184">
        <f t="shared" si="18"/>
        <v>45798</v>
      </c>
      <c r="H85" s="180" t="str">
        <f t="shared" ca="1" si="19"/>
        <v>VENCIDO</v>
      </c>
      <c r="I85" s="191">
        <f t="shared" ref="I85:I100" si="22">VLOOKUP(C85,$M$3:$O$6,2,0)</f>
        <v>100</v>
      </c>
      <c r="J85" s="182">
        <f t="shared" ref="J85:J100" si="23">VLOOKUP(C85,$M$3:$O$6,3,0)</f>
        <v>250</v>
      </c>
      <c r="K85" s="182">
        <f t="shared" si="20"/>
        <v>150</v>
      </c>
      <c r="L85" s="181">
        <f t="shared" si="21"/>
        <v>0.6</v>
      </c>
      <c r="M85" s="180" t="s">
        <v>882</v>
      </c>
    </row>
    <row r="86" spans="1:13" ht="18.75" customHeight="1">
      <c r="A86" s="180"/>
      <c r="B86" s="180" t="s">
        <v>881</v>
      </c>
      <c r="C86" s="180" t="s">
        <v>802</v>
      </c>
      <c r="D86" s="180">
        <f t="shared" si="8"/>
        <v>1095</v>
      </c>
      <c r="E86" s="184">
        <v>44740</v>
      </c>
      <c r="F86" s="184">
        <f t="shared" si="17"/>
        <v>45835</v>
      </c>
      <c r="G86" s="184">
        <f t="shared" si="18"/>
        <v>45805</v>
      </c>
      <c r="H86" s="180" t="str">
        <f t="shared" ca="1" si="19"/>
        <v>VENCIDO</v>
      </c>
      <c r="I86" s="191">
        <f t="shared" si="22"/>
        <v>100</v>
      </c>
      <c r="J86" s="182">
        <f t="shared" si="23"/>
        <v>250</v>
      </c>
      <c r="K86" s="182">
        <f t="shared" si="20"/>
        <v>150</v>
      </c>
      <c r="L86" s="181">
        <f t="shared" si="21"/>
        <v>0.6</v>
      </c>
      <c r="M86" s="180" t="s">
        <v>777</v>
      </c>
    </row>
    <row r="87" spans="1:13" ht="18.75" customHeight="1">
      <c r="A87" s="180"/>
      <c r="B87" s="180" t="s">
        <v>881</v>
      </c>
      <c r="C87" s="180" t="s">
        <v>802</v>
      </c>
      <c r="D87" s="180">
        <f t="shared" si="8"/>
        <v>1095</v>
      </c>
      <c r="E87" s="184">
        <v>44740</v>
      </c>
      <c r="F87" s="184">
        <f t="shared" si="17"/>
        <v>45835</v>
      </c>
      <c r="G87" s="184">
        <f t="shared" si="18"/>
        <v>45805</v>
      </c>
      <c r="H87" s="180" t="str">
        <f t="shared" ca="1" si="19"/>
        <v>VENCIDO</v>
      </c>
      <c r="I87" s="191">
        <f t="shared" si="22"/>
        <v>100</v>
      </c>
      <c r="J87" s="182">
        <f t="shared" si="23"/>
        <v>250</v>
      </c>
      <c r="K87" s="182">
        <f t="shared" si="20"/>
        <v>150</v>
      </c>
      <c r="L87" s="181">
        <f t="shared" si="21"/>
        <v>0.6</v>
      </c>
      <c r="M87" s="180" t="s">
        <v>777</v>
      </c>
    </row>
    <row r="88" spans="1:13" ht="18.75" customHeight="1">
      <c r="A88" s="180" t="s">
        <v>9</v>
      </c>
      <c r="B88" s="180" t="s">
        <v>880</v>
      </c>
      <c r="C88" s="180" t="s">
        <v>785</v>
      </c>
      <c r="D88" s="180">
        <f t="shared" si="8"/>
        <v>1095</v>
      </c>
      <c r="E88" s="184">
        <v>44743</v>
      </c>
      <c r="F88" s="184">
        <f t="shared" si="17"/>
        <v>45838</v>
      </c>
      <c r="G88" s="184">
        <f t="shared" si="18"/>
        <v>45808</v>
      </c>
      <c r="H88" s="180" t="str">
        <f t="shared" ca="1" si="19"/>
        <v>VENCIDO</v>
      </c>
      <c r="I88" s="190">
        <f t="shared" si="22"/>
        <v>145</v>
      </c>
      <c r="J88" s="182">
        <f t="shared" si="23"/>
        <v>285</v>
      </c>
      <c r="K88" s="182">
        <f t="shared" si="20"/>
        <v>140</v>
      </c>
      <c r="L88" s="181">
        <f t="shared" si="21"/>
        <v>0.49122807017543857</v>
      </c>
      <c r="M88" s="180"/>
    </row>
    <row r="89" spans="1:13" ht="18.75" customHeight="1">
      <c r="A89" s="180" t="s">
        <v>107</v>
      </c>
      <c r="B89" s="180" t="s">
        <v>879</v>
      </c>
      <c r="C89" s="180" t="s">
        <v>785</v>
      </c>
      <c r="D89" s="180">
        <f t="shared" si="8"/>
        <v>1095</v>
      </c>
      <c r="E89" s="184">
        <v>44753</v>
      </c>
      <c r="F89" s="184">
        <f t="shared" si="17"/>
        <v>45848</v>
      </c>
      <c r="G89" s="184">
        <f t="shared" si="18"/>
        <v>45818</v>
      </c>
      <c r="H89" s="180" t="str">
        <f t="shared" ca="1" si="19"/>
        <v>VENCIDO</v>
      </c>
      <c r="I89" s="190">
        <f t="shared" si="22"/>
        <v>145</v>
      </c>
      <c r="J89" s="182">
        <f t="shared" si="23"/>
        <v>285</v>
      </c>
      <c r="K89" s="182">
        <f t="shared" si="20"/>
        <v>140</v>
      </c>
      <c r="L89" s="181">
        <f t="shared" si="21"/>
        <v>0.49122807017543857</v>
      </c>
      <c r="M89" s="180"/>
    </row>
    <row r="90" spans="1:13" ht="18.75" customHeight="1">
      <c r="A90" s="180"/>
      <c r="B90" s="180" t="s">
        <v>836</v>
      </c>
      <c r="C90" s="180" t="s">
        <v>778</v>
      </c>
      <c r="D90" s="180">
        <f t="shared" si="8"/>
        <v>365</v>
      </c>
      <c r="E90" s="184">
        <v>44757</v>
      </c>
      <c r="F90" s="184">
        <f t="shared" si="17"/>
        <v>45122</v>
      </c>
      <c r="G90" s="184">
        <f t="shared" si="18"/>
        <v>45092</v>
      </c>
      <c r="H90" s="180" t="str">
        <f t="shared" ca="1" si="19"/>
        <v>VENCIDO</v>
      </c>
      <c r="I90" s="190">
        <f t="shared" si="22"/>
        <v>65</v>
      </c>
      <c r="J90" s="182">
        <f t="shared" si="23"/>
        <v>100</v>
      </c>
      <c r="K90" s="182">
        <f t="shared" si="20"/>
        <v>35</v>
      </c>
      <c r="L90" s="181">
        <f t="shared" si="21"/>
        <v>0.35</v>
      </c>
      <c r="M90" s="180" t="s">
        <v>777</v>
      </c>
    </row>
    <row r="91" spans="1:13" ht="18.75" customHeight="1">
      <c r="A91" s="180"/>
      <c r="B91" s="180" t="s">
        <v>835</v>
      </c>
      <c r="C91" s="180" t="s">
        <v>778</v>
      </c>
      <c r="D91" s="180">
        <f t="shared" si="8"/>
        <v>365</v>
      </c>
      <c r="E91" s="184">
        <v>44757</v>
      </c>
      <c r="F91" s="184">
        <f t="shared" si="17"/>
        <v>45122</v>
      </c>
      <c r="G91" s="184">
        <f t="shared" si="18"/>
        <v>45092</v>
      </c>
      <c r="H91" s="180" t="str">
        <f t="shared" ca="1" si="19"/>
        <v>VENCIDO</v>
      </c>
      <c r="I91" s="190">
        <f t="shared" si="22"/>
        <v>65</v>
      </c>
      <c r="J91" s="182">
        <f t="shared" si="23"/>
        <v>100</v>
      </c>
      <c r="K91" s="182">
        <f t="shared" si="20"/>
        <v>35</v>
      </c>
      <c r="L91" s="181">
        <f t="shared" si="21"/>
        <v>0.35</v>
      </c>
      <c r="M91" s="180" t="s">
        <v>777</v>
      </c>
    </row>
    <row r="92" spans="1:13" ht="18.75" customHeight="1">
      <c r="A92" s="180"/>
      <c r="B92" s="180" t="s">
        <v>878</v>
      </c>
      <c r="C92" s="180" t="s">
        <v>778</v>
      </c>
      <c r="D92" s="180">
        <f t="shared" si="8"/>
        <v>365</v>
      </c>
      <c r="E92" s="184">
        <v>44763</v>
      </c>
      <c r="F92" s="184">
        <f t="shared" si="17"/>
        <v>45128</v>
      </c>
      <c r="G92" s="184">
        <f t="shared" si="18"/>
        <v>45098</v>
      </c>
      <c r="H92" s="180" t="str">
        <f t="shared" ca="1" si="19"/>
        <v>VENCIDO</v>
      </c>
      <c r="I92" s="190">
        <f t="shared" si="22"/>
        <v>65</v>
      </c>
      <c r="J92" s="182">
        <f t="shared" si="23"/>
        <v>100</v>
      </c>
      <c r="K92" s="182">
        <f t="shared" si="20"/>
        <v>35</v>
      </c>
      <c r="L92" s="181">
        <f t="shared" si="21"/>
        <v>0.35</v>
      </c>
      <c r="M92" s="180" t="s">
        <v>777</v>
      </c>
    </row>
    <row r="93" spans="1:13" ht="18.75" customHeight="1">
      <c r="A93" s="180" t="s">
        <v>877</v>
      </c>
      <c r="B93" s="180" t="s">
        <v>876</v>
      </c>
      <c r="C93" s="180" t="s">
        <v>785</v>
      </c>
      <c r="D93" s="180">
        <f t="shared" ref="D93:D156" si="24">IF(C93="A1 - 1 ano PJ",365,IF(C93="A1 - 1 ano PF",365,(365*3)))</f>
        <v>1095</v>
      </c>
      <c r="E93" s="184">
        <v>44770</v>
      </c>
      <c r="F93" s="184">
        <f t="shared" ref="F93:F124" si="25">E93+D93</f>
        <v>45865</v>
      </c>
      <c r="G93" s="184">
        <f t="shared" ref="G93:G124" si="26">F93-30</f>
        <v>45835</v>
      </c>
      <c r="H93" s="180" t="str">
        <f t="shared" ref="H93:H124" ca="1" si="27">IF($A$6&lt;G93,"VÁLIDO",IF($A$6&gt;F93,"VENCIDO","A VENCER"))</f>
        <v>VENCIDO</v>
      </c>
      <c r="I93" s="190">
        <f t="shared" si="22"/>
        <v>145</v>
      </c>
      <c r="J93" s="182">
        <f t="shared" si="23"/>
        <v>285</v>
      </c>
      <c r="K93" s="182">
        <f t="shared" ref="K93:K124" si="28">J93-I93</f>
        <v>140</v>
      </c>
      <c r="L93" s="181">
        <f t="shared" ref="L93:L124" si="29">K93/J93</f>
        <v>0.49122807017543857</v>
      </c>
      <c r="M93" s="180"/>
    </row>
    <row r="94" spans="1:13" ht="18.75" customHeight="1">
      <c r="A94" s="180"/>
      <c r="B94" s="180" t="s">
        <v>875</v>
      </c>
      <c r="C94" s="180" t="s">
        <v>778</v>
      </c>
      <c r="D94" s="180">
        <f t="shared" si="24"/>
        <v>365</v>
      </c>
      <c r="E94" s="184">
        <v>44775</v>
      </c>
      <c r="F94" s="184">
        <f t="shared" si="25"/>
        <v>45140</v>
      </c>
      <c r="G94" s="184">
        <f t="shared" si="26"/>
        <v>45110</v>
      </c>
      <c r="H94" s="180" t="str">
        <f t="shared" ca="1" si="27"/>
        <v>VENCIDO</v>
      </c>
      <c r="I94" s="189">
        <f t="shared" si="22"/>
        <v>65</v>
      </c>
      <c r="J94" s="182">
        <f t="shared" si="23"/>
        <v>100</v>
      </c>
      <c r="K94" s="182">
        <f t="shared" si="28"/>
        <v>35</v>
      </c>
      <c r="L94" s="181">
        <f t="shared" si="29"/>
        <v>0.35</v>
      </c>
      <c r="M94" s="180" t="s">
        <v>777</v>
      </c>
    </row>
    <row r="95" spans="1:13" ht="18.75" customHeight="1">
      <c r="A95" s="180"/>
      <c r="B95" s="180" t="s">
        <v>741</v>
      </c>
      <c r="C95" s="180" t="s">
        <v>778</v>
      </c>
      <c r="D95" s="180">
        <f t="shared" si="24"/>
        <v>365</v>
      </c>
      <c r="E95" s="184">
        <v>44776</v>
      </c>
      <c r="F95" s="184">
        <f t="shared" si="25"/>
        <v>45141</v>
      </c>
      <c r="G95" s="184">
        <f t="shared" si="26"/>
        <v>45111</v>
      </c>
      <c r="H95" s="180" t="str">
        <f t="shared" ca="1" si="27"/>
        <v>VENCIDO</v>
      </c>
      <c r="I95" s="189">
        <f t="shared" si="22"/>
        <v>65</v>
      </c>
      <c r="J95" s="182">
        <f t="shared" si="23"/>
        <v>100</v>
      </c>
      <c r="K95" s="182">
        <f t="shared" si="28"/>
        <v>35</v>
      </c>
      <c r="L95" s="181">
        <f t="shared" si="29"/>
        <v>0.35</v>
      </c>
      <c r="M95" s="180" t="s">
        <v>777</v>
      </c>
    </row>
    <row r="96" spans="1:13" ht="18.75" customHeight="1">
      <c r="A96" s="180"/>
      <c r="B96" s="180" t="s">
        <v>874</v>
      </c>
      <c r="C96" s="180" t="s">
        <v>778</v>
      </c>
      <c r="D96" s="180">
        <f t="shared" si="24"/>
        <v>365</v>
      </c>
      <c r="E96" s="184">
        <v>44782</v>
      </c>
      <c r="F96" s="184">
        <f t="shared" si="25"/>
        <v>45147</v>
      </c>
      <c r="G96" s="184">
        <f t="shared" si="26"/>
        <v>45117</v>
      </c>
      <c r="H96" s="180" t="str">
        <f t="shared" ca="1" si="27"/>
        <v>VENCIDO</v>
      </c>
      <c r="I96" s="189">
        <f t="shared" si="22"/>
        <v>65</v>
      </c>
      <c r="J96" s="182">
        <f t="shared" si="23"/>
        <v>100</v>
      </c>
      <c r="K96" s="182">
        <f t="shared" si="28"/>
        <v>35</v>
      </c>
      <c r="L96" s="181">
        <f t="shared" si="29"/>
        <v>0.35</v>
      </c>
      <c r="M96" s="180" t="s">
        <v>777</v>
      </c>
    </row>
    <row r="97" spans="1:13" ht="18.75" customHeight="1">
      <c r="A97" s="180" t="s">
        <v>872</v>
      </c>
      <c r="B97" s="180" t="s">
        <v>873</v>
      </c>
      <c r="C97" s="180" t="s">
        <v>785</v>
      </c>
      <c r="D97" s="180">
        <f t="shared" si="24"/>
        <v>1095</v>
      </c>
      <c r="E97" s="184">
        <v>44785</v>
      </c>
      <c r="F97" s="184">
        <f t="shared" si="25"/>
        <v>45880</v>
      </c>
      <c r="G97" s="184">
        <f t="shared" si="26"/>
        <v>45850</v>
      </c>
      <c r="H97" s="180" t="str">
        <f t="shared" ca="1" si="27"/>
        <v>VENCIDO</v>
      </c>
      <c r="I97" s="189">
        <f t="shared" si="22"/>
        <v>145</v>
      </c>
      <c r="J97" s="182">
        <f t="shared" si="23"/>
        <v>285</v>
      </c>
      <c r="K97" s="182">
        <f t="shared" si="28"/>
        <v>140</v>
      </c>
      <c r="L97" s="181">
        <f t="shared" si="29"/>
        <v>0.49122807017543857</v>
      </c>
      <c r="M97" s="180" t="s">
        <v>777</v>
      </c>
    </row>
    <row r="98" spans="1:13" ht="18.75" customHeight="1">
      <c r="A98" s="180" t="s">
        <v>872</v>
      </c>
      <c r="B98" s="180" t="s">
        <v>871</v>
      </c>
      <c r="C98" s="180" t="s">
        <v>781</v>
      </c>
      <c r="D98" s="180">
        <f t="shared" si="24"/>
        <v>365</v>
      </c>
      <c r="E98" s="184">
        <v>44785</v>
      </c>
      <c r="F98" s="184">
        <f t="shared" si="25"/>
        <v>45150</v>
      </c>
      <c r="G98" s="184">
        <f t="shared" si="26"/>
        <v>45120</v>
      </c>
      <c r="H98" s="180" t="str">
        <f t="shared" ca="1" si="27"/>
        <v>VENCIDO</v>
      </c>
      <c r="I98" s="189">
        <f t="shared" si="22"/>
        <v>95</v>
      </c>
      <c r="J98" s="182">
        <f t="shared" si="23"/>
        <v>180</v>
      </c>
      <c r="K98" s="182">
        <f t="shared" si="28"/>
        <v>85</v>
      </c>
      <c r="L98" s="181">
        <f t="shared" si="29"/>
        <v>0.47222222222222221</v>
      </c>
      <c r="M98" s="180" t="s">
        <v>777</v>
      </c>
    </row>
    <row r="99" spans="1:13" ht="18.75" customHeight="1">
      <c r="A99" s="180" t="s">
        <v>870</v>
      </c>
      <c r="B99" s="180"/>
      <c r="C99" s="180" t="s">
        <v>781</v>
      </c>
      <c r="D99" s="180">
        <f t="shared" si="24"/>
        <v>365</v>
      </c>
      <c r="E99" s="184">
        <v>44788</v>
      </c>
      <c r="F99" s="184">
        <f t="shared" si="25"/>
        <v>45153</v>
      </c>
      <c r="G99" s="184">
        <f t="shared" si="26"/>
        <v>45123</v>
      </c>
      <c r="H99" s="180" t="str">
        <f t="shared" ca="1" si="27"/>
        <v>VENCIDO</v>
      </c>
      <c r="I99" s="189">
        <f t="shared" si="22"/>
        <v>95</v>
      </c>
      <c r="J99" s="182">
        <f t="shared" si="23"/>
        <v>180</v>
      </c>
      <c r="K99" s="182">
        <f t="shared" si="28"/>
        <v>85</v>
      </c>
      <c r="L99" s="181">
        <f t="shared" si="29"/>
        <v>0.47222222222222221</v>
      </c>
      <c r="M99" s="180" t="s">
        <v>777</v>
      </c>
    </row>
    <row r="100" spans="1:13" ht="18.75" customHeight="1">
      <c r="A100" s="180"/>
      <c r="B100" s="180" t="s">
        <v>862</v>
      </c>
      <c r="C100" s="180" t="s">
        <v>778</v>
      </c>
      <c r="D100" s="180">
        <f t="shared" si="24"/>
        <v>365</v>
      </c>
      <c r="E100" s="184">
        <v>44789</v>
      </c>
      <c r="F100" s="184">
        <f t="shared" si="25"/>
        <v>45154</v>
      </c>
      <c r="G100" s="184">
        <f t="shared" si="26"/>
        <v>45124</v>
      </c>
      <c r="H100" s="180" t="str">
        <f t="shared" ca="1" si="27"/>
        <v>VENCIDO</v>
      </c>
      <c r="I100" s="189">
        <f t="shared" si="22"/>
        <v>65</v>
      </c>
      <c r="J100" s="182">
        <f t="shared" si="23"/>
        <v>100</v>
      </c>
      <c r="K100" s="182">
        <f t="shared" si="28"/>
        <v>35</v>
      </c>
      <c r="L100" s="181">
        <f t="shared" si="29"/>
        <v>0.35</v>
      </c>
      <c r="M100" s="180" t="s">
        <v>777</v>
      </c>
    </row>
    <row r="101" spans="1:13" ht="18.75" customHeight="1">
      <c r="A101" s="180" t="s">
        <v>869</v>
      </c>
      <c r="B101" s="180" t="s">
        <v>868</v>
      </c>
      <c r="C101" s="180" t="s">
        <v>785</v>
      </c>
      <c r="D101" s="180">
        <f t="shared" si="24"/>
        <v>1095</v>
      </c>
      <c r="E101" s="184">
        <v>44790</v>
      </c>
      <c r="F101" s="184">
        <f t="shared" si="25"/>
        <v>45885</v>
      </c>
      <c r="G101" s="184">
        <f t="shared" si="26"/>
        <v>45855</v>
      </c>
      <c r="H101" s="180" t="str">
        <f t="shared" ca="1" si="27"/>
        <v>VENCIDO</v>
      </c>
      <c r="I101" s="189">
        <v>153</v>
      </c>
      <c r="J101" s="182">
        <v>250</v>
      </c>
      <c r="K101" s="182">
        <f t="shared" si="28"/>
        <v>97</v>
      </c>
      <c r="L101" s="181">
        <f t="shared" si="29"/>
        <v>0.38800000000000001</v>
      </c>
      <c r="M101" s="180" t="s">
        <v>777</v>
      </c>
    </row>
    <row r="102" spans="1:13" ht="18.75" customHeight="1">
      <c r="A102" s="180"/>
      <c r="B102" s="180" t="s">
        <v>867</v>
      </c>
      <c r="C102" s="180" t="s">
        <v>778</v>
      </c>
      <c r="D102" s="180">
        <f t="shared" si="24"/>
        <v>365</v>
      </c>
      <c r="E102" s="184">
        <v>44790</v>
      </c>
      <c r="F102" s="184">
        <f t="shared" si="25"/>
        <v>45155</v>
      </c>
      <c r="G102" s="184">
        <f t="shared" si="26"/>
        <v>45125</v>
      </c>
      <c r="H102" s="180" t="str">
        <f t="shared" ca="1" si="27"/>
        <v>VENCIDO</v>
      </c>
      <c r="I102" s="189">
        <f t="shared" ref="I102:I118" si="30">VLOOKUP(C102,$M$3:$O$6,2,0)</f>
        <v>65</v>
      </c>
      <c r="J102" s="182">
        <f t="shared" ref="J102:J124" si="31">VLOOKUP(C102,$M$3:$O$6,3,0)</f>
        <v>100</v>
      </c>
      <c r="K102" s="182">
        <f t="shared" si="28"/>
        <v>35</v>
      </c>
      <c r="L102" s="181">
        <f t="shared" si="29"/>
        <v>0.35</v>
      </c>
      <c r="M102" s="180"/>
    </row>
    <row r="103" spans="1:13" ht="18.75" customHeight="1">
      <c r="A103" s="180"/>
      <c r="B103" s="180" t="s">
        <v>768</v>
      </c>
      <c r="C103" s="180" t="s">
        <v>778</v>
      </c>
      <c r="D103" s="180">
        <f t="shared" si="24"/>
        <v>365</v>
      </c>
      <c r="E103" s="184">
        <v>44795</v>
      </c>
      <c r="F103" s="184">
        <f t="shared" si="25"/>
        <v>45160</v>
      </c>
      <c r="G103" s="184">
        <f t="shared" si="26"/>
        <v>45130</v>
      </c>
      <c r="H103" s="180" t="str">
        <f t="shared" ca="1" si="27"/>
        <v>VENCIDO</v>
      </c>
      <c r="I103" s="189">
        <f t="shared" si="30"/>
        <v>65</v>
      </c>
      <c r="J103" s="182">
        <f t="shared" si="31"/>
        <v>100</v>
      </c>
      <c r="K103" s="182">
        <f t="shared" si="28"/>
        <v>35</v>
      </c>
      <c r="L103" s="181">
        <f t="shared" si="29"/>
        <v>0.35</v>
      </c>
      <c r="M103" s="180" t="s">
        <v>777</v>
      </c>
    </row>
    <row r="104" spans="1:13" ht="18.75" customHeight="1">
      <c r="A104" s="180" t="s">
        <v>866</v>
      </c>
      <c r="B104" s="180" t="s">
        <v>836</v>
      </c>
      <c r="C104" s="180" t="s">
        <v>781</v>
      </c>
      <c r="D104" s="180">
        <f t="shared" si="24"/>
        <v>365</v>
      </c>
      <c r="E104" s="184">
        <v>44795</v>
      </c>
      <c r="F104" s="184">
        <f t="shared" si="25"/>
        <v>45160</v>
      </c>
      <c r="G104" s="184">
        <f t="shared" si="26"/>
        <v>45130</v>
      </c>
      <c r="H104" s="180" t="str">
        <f t="shared" ca="1" si="27"/>
        <v>VENCIDO</v>
      </c>
      <c r="I104" s="189">
        <f t="shared" si="30"/>
        <v>95</v>
      </c>
      <c r="J104" s="182">
        <f t="shared" si="31"/>
        <v>180</v>
      </c>
      <c r="K104" s="182">
        <f t="shared" si="28"/>
        <v>85</v>
      </c>
      <c r="L104" s="181">
        <f t="shared" si="29"/>
        <v>0.47222222222222221</v>
      </c>
      <c r="M104" s="180" t="s">
        <v>777</v>
      </c>
    </row>
    <row r="105" spans="1:13" ht="18.75" customHeight="1">
      <c r="A105" s="180"/>
      <c r="B105" s="180" t="s">
        <v>865</v>
      </c>
      <c r="C105" s="180" t="s">
        <v>778</v>
      </c>
      <c r="D105" s="180">
        <f t="shared" si="24"/>
        <v>365</v>
      </c>
      <c r="E105" s="184">
        <v>44795</v>
      </c>
      <c r="F105" s="184">
        <f t="shared" si="25"/>
        <v>45160</v>
      </c>
      <c r="G105" s="184">
        <f t="shared" si="26"/>
        <v>45130</v>
      </c>
      <c r="H105" s="180" t="str">
        <f t="shared" ca="1" si="27"/>
        <v>VENCIDO</v>
      </c>
      <c r="I105" s="189">
        <f t="shared" si="30"/>
        <v>65</v>
      </c>
      <c r="J105" s="182">
        <f t="shared" si="31"/>
        <v>100</v>
      </c>
      <c r="K105" s="182">
        <f t="shared" si="28"/>
        <v>35</v>
      </c>
      <c r="L105" s="181">
        <f t="shared" si="29"/>
        <v>0.35</v>
      </c>
      <c r="M105" s="180" t="s">
        <v>777</v>
      </c>
    </row>
    <row r="106" spans="1:13" ht="18.75" customHeight="1">
      <c r="A106" s="180"/>
      <c r="B106" s="180" t="s">
        <v>864</v>
      </c>
      <c r="C106" s="180" t="s">
        <v>778</v>
      </c>
      <c r="D106" s="180">
        <f t="shared" si="24"/>
        <v>365</v>
      </c>
      <c r="E106" s="184">
        <v>44797</v>
      </c>
      <c r="F106" s="184">
        <f t="shared" si="25"/>
        <v>45162</v>
      </c>
      <c r="G106" s="184">
        <f t="shared" si="26"/>
        <v>45132</v>
      </c>
      <c r="H106" s="180" t="str">
        <f t="shared" ca="1" si="27"/>
        <v>VENCIDO</v>
      </c>
      <c r="I106" s="189">
        <f t="shared" si="30"/>
        <v>65</v>
      </c>
      <c r="J106" s="182">
        <f t="shared" si="31"/>
        <v>100</v>
      </c>
      <c r="K106" s="182">
        <f t="shared" si="28"/>
        <v>35</v>
      </c>
      <c r="L106" s="181">
        <f t="shared" si="29"/>
        <v>0.35</v>
      </c>
      <c r="M106" s="180"/>
    </row>
    <row r="107" spans="1:13" ht="18.75" customHeight="1">
      <c r="A107" s="180" t="s">
        <v>863</v>
      </c>
      <c r="B107" s="180" t="s">
        <v>848</v>
      </c>
      <c r="C107" s="180" t="s">
        <v>781</v>
      </c>
      <c r="D107" s="180">
        <f t="shared" si="24"/>
        <v>365</v>
      </c>
      <c r="E107" s="184">
        <v>44803</v>
      </c>
      <c r="F107" s="184">
        <f t="shared" si="25"/>
        <v>45168</v>
      </c>
      <c r="G107" s="184">
        <f t="shared" si="26"/>
        <v>45138</v>
      </c>
      <c r="H107" s="180" t="str">
        <f t="shared" ca="1" si="27"/>
        <v>VENCIDO</v>
      </c>
      <c r="I107" s="189">
        <f t="shared" si="30"/>
        <v>95</v>
      </c>
      <c r="J107" s="182">
        <f t="shared" si="31"/>
        <v>180</v>
      </c>
      <c r="K107" s="182">
        <f t="shared" si="28"/>
        <v>85</v>
      </c>
      <c r="L107" s="181">
        <f t="shared" si="29"/>
        <v>0.47222222222222221</v>
      </c>
      <c r="M107" s="180" t="s">
        <v>777</v>
      </c>
    </row>
    <row r="108" spans="1:13" ht="18.75" customHeight="1">
      <c r="A108" s="180" t="s">
        <v>862</v>
      </c>
      <c r="B108" s="180" t="s">
        <v>862</v>
      </c>
      <c r="C108" s="180" t="s">
        <v>781</v>
      </c>
      <c r="D108" s="180">
        <f t="shared" si="24"/>
        <v>365</v>
      </c>
      <c r="E108" s="184">
        <v>44804</v>
      </c>
      <c r="F108" s="184">
        <f t="shared" si="25"/>
        <v>45169</v>
      </c>
      <c r="G108" s="184">
        <f t="shared" si="26"/>
        <v>45139</v>
      </c>
      <c r="H108" s="180" t="str">
        <f t="shared" ca="1" si="27"/>
        <v>VENCIDO</v>
      </c>
      <c r="I108" s="189">
        <f t="shared" si="30"/>
        <v>95</v>
      </c>
      <c r="J108" s="182">
        <f t="shared" si="31"/>
        <v>180</v>
      </c>
      <c r="K108" s="182">
        <f t="shared" si="28"/>
        <v>85</v>
      </c>
      <c r="L108" s="181">
        <f t="shared" si="29"/>
        <v>0.47222222222222221</v>
      </c>
      <c r="M108" s="180" t="s">
        <v>777</v>
      </c>
    </row>
    <row r="109" spans="1:13" ht="18.75" customHeight="1">
      <c r="A109" s="180" t="s">
        <v>861</v>
      </c>
      <c r="B109" s="180" t="s">
        <v>860</v>
      </c>
      <c r="C109" s="180" t="s">
        <v>781</v>
      </c>
      <c r="D109" s="180">
        <f t="shared" si="24"/>
        <v>365</v>
      </c>
      <c r="E109" s="184">
        <v>44823</v>
      </c>
      <c r="F109" s="184">
        <f t="shared" si="25"/>
        <v>45188</v>
      </c>
      <c r="G109" s="184">
        <f t="shared" si="26"/>
        <v>45158</v>
      </c>
      <c r="H109" s="180" t="str">
        <f t="shared" ca="1" si="27"/>
        <v>VENCIDO</v>
      </c>
      <c r="I109" s="188">
        <f t="shared" si="30"/>
        <v>95</v>
      </c>
      <c r="J109" s="182">
        <f t="shared" si="31"/>
        <v>180</v>
      </c>
      <c r="K109" s="182">
        <f t="shared" si="28"/>
        <v>85</v>
      </c>
      <c r="L109" s="181">
        <f t="shared" si="29"/>
        <v>0.47222222222222221</v>
      </c>
      <c r="M109" s="180" t="s">
        <v>798</v>
      </c>
    </row>
    <row r="110" spans="1:13" ht="18.75" customHeight="1">
      <c r="A110" s="180"/>
      <c r="B110" s="180" t="s">
        <v>537</v>
      </c>
      <c r="C110" s="180" t="s">
        <v>778</v>
      </c>
      <c r="D110" s="180">
        <f t="shared" si="24"/>
        <v>365</v>
      </c>
      <c r="E110" s="184">
        <v>44831</v>
      </c>
      <c r="F110" s="184">
        <f t="shared" si="25"/>
        <v>45196</v>
      </c>
      <c r="G110" s="184">
        <f t="shared" si="26"/>
        <v>45166</v>
      </c>
      <c r="H110" s="180" t="str">
        <f t="shared" ca="1" si="27"/>
        <v>VENCIDO</v>
      </c>
      <c r="I110" s="188">
        <f t="shared" si="30"/>
        <v>65</v>
      </c>
      <c r="J110" s="182">
        <f t="shared" si="31"/>
        <v>100</v>
      </c>
      <c r="K110" s="182">
        <f t="shared" si="28"/>
        <v>35</v>
      </c>
      <c r="L110" s="181">
        <f t="shared" si="29"/>
        <v>0.35</v>
      </c>
      <c r="M110" s="180" t="s">
        <v>777</v>
      </c>
    </row>
    <row r="111" spans="1:13" ht="18.75" customHeight="1">
      <c r="A111" s="180"/>
      <c r="B111" s="180" t="s">
        <v>859</v>
      </c>
      <c r="C111" s="180" t="s">
        <v>802</v>
      </c>
      <c r="D111" s="180">
        <f t="shared" si="24"/>
        <v>1095</v>
      </c>
      <c r="E111" s="184">
        <v>44831</v>
      </c>
      <c r="F111" s="184">
        <f t="shared" si="25"/>
        <v>45926</v>
      </c>
      <c r="G111" s="184">
        <f t="shared" si="26"/>
        <v>45896</v>
      </c>
      <c r="H111" s="180" t="str">
        <f t="shared" ca="1" si="27"/>
        <v>VENCIDO</v>
      </c>
      <c r="I111" s="188">
        <f t="shared" si="30"/>
        <v>100</v>
      </c>
      <c r="J111" s="182">
        <f t="shared" si="31"/>
        <v>250</v>
      </c>
      <c r="K111" s="182">
        <f t="shared" si="28"/>
        <v>150</v>
      </c>
      <c r="L111" s="181">
        <f t="shared" si="29"/>
        <v>0.6</v>
      </c>
      <c r="M111" s="180" t="s">
        <v>777</v>
      </c>
    </row>
    <row r="112" spans="1:13" ht="18.75" customHeight="1">
      <c r="A112" s="180"/>
      <c r="B112" s="180" t="s">
        <v>857</v>
      </c>
      <c r="C112" s="180" t="s">
        <v>778</v>
      </c>
      <c r="D112" s="180">
        <f t="shared" si="24"/>
        <v>365</v>
      </c>
      <c r="E112" s="184">
        <v>44832</v>
      </c>
      <c r="F112" s="184">
        <f t="shared" si="25"/>
        <v>45197</v>
      </c>
      <c r="G112" s="184">
        <f t="shared" si="26"/>
        <v>45167</v>
      </c>
      <c r="H112" s="180" t="str">
        <f t="shared" ca="1" si="27"/>
        <v>VENCIDO</v>
      </c>
      <c r="I112" s="188">
        <f t="shared" si="30"/>
        <v>65</v>
      </c>
      <c r="J112" s="182">
        <f t="shared" si="31"/>
        <v>100</v>
      </c>
      <c r="K112" s="182">
        <f t="shared" si="28"/>
        <v>35</v>
      </c>
      <c r="L112" s="181">
        <f t="shared" si="29"/>
        <v>0.35</v>
      </c>
      <c r="M112" s="180" t="s">
        <v>777</v>
      </c>
    </row>
    <row r="113" spans="1:13" ht="18.75" customHeight="1">
      <c r="A113" s="180" t="s">
        <v>858</v>
      </c>
      <c r="B113" s="180" t="s">
        <v>857</v>
      </c>
      <c r="C113" s="180" t="s">
        <v>781</v>
      </c>
      <c r="D113" s="180">
        <f t="shared" si="24"/>
        <v>365</v>
      </c>
      <c r="E113" s="184">
        <v>44832</v>
      </c>
      <c r="F113" s="184">
        <f t="shared" si="25"/>
        <v>45197</v>
      </c>
      <c r="G113" s="184">
        <f t="shared" si="26"/>
        <v>45167</v>
      </c>
      <c r="H113" s="180" t="str">
        <f t="shared" ca="1" si="27"/>
        <v>VENCIDO</v>
      </c>
      <c r="I113" s="188">
        <f t="shared" si="30"/>
        <v>95</v>
      </c>
      <c r="J113" s="182">
        <f t="shared" si="31"/>
        <v>180</v>
      </c>
      <c r="K113" s="182">
        <f t="shared" si="28"/>
        <v>85</v>
      </c>
      <c r="L113" s="181">
        <f t="shared" si="29"/>
        <v>0.47222222222222221</v>
      </c>
      <c r="M113" s="180" t="s">
        <v>777</v>
      </c>
    </row>
    <row r="114" spans="1:13" ht="18.75" customHeight="1">
      <c r="A114" s="180"/>
      <c r="B114" s="180" t="s">
        <v>856</v>
      </c>
      <c r="C114" s="180" t="s">
        <v>778</v>
      </c>
      <c r="D114" s="180">
        <f t="shared" si="24"/>
        <v>365</v>
      </c>
      <c r="E114" s="184">
        <v>44838</v>
      </c>
      <c r="F114" s="184">
        <f t="shared" si="25"/>
        <v>45203</v>
      </c>
      <c r="G114" s="184">
        <f t="shared" si="26"/>
        <v>45173</v>
      </c>
      <c r="H114" s="180" t="str">
        <f t="shared" ca="1" si="27"/>
        <v>VENCIDO</v>
      </c>
      <c r="I114" s="187">
        <f t="shared" si="30"/>
        <v>65</v>
      </c>
      <c r="J114" s="182">
        <f t="shared" si="31"/>
        <v>100</v>
      </c>
      <c r="K114" s="182">
        <f t="shared" si="28"/>
        <v>35</v>
      </c>
      <c r="L114" s="181">
        <f t="shared" si="29"/>
        <v>0.35</v>
      </c>
      <c r="M114" s="180" t="s">
        <v>777</v>
      </c>
    </row>
    <row r="115" spans="1:13" ht="18.75" customHeight="1">
      <c r="A115" s="180" t="s">
        <v>61</v>
      </c>
      <c r="B115" s="180" t="s">
        <v>855</v>
      </c>
      <c r="C115" s="180" t="s">
        <v>781</v>
      </c>
      <c r="D115" s="180">
        <f t="shared" si="24"/>
        <v>365</v>
      </c>
      <c r="E115" s="184">
        <v>44851</v>
      </c>
      <c r="F115" s="184">
        <f t="shared" si="25"/>
        <v>45216</v>
      </c>
      <c r="G115" s="184">
        <f t="shared" si="26"/>
        <v>45186</v>
      </c>
      <c r="H115" s="180" t="str">
        <f t="shared" ca="1" si="27"/>
        <v>VENCIDO</v>
      </c>
      <c r="I115" s="187">
        <f t="shared" si="30"/>
        <v>95</v>
      </c>
      <c r="J115" s="182">
        <f t="shared" si="31"/>
        <v>180</v>
      </c>
      <c r="K115" s="182">
        <f t="shared" si="28"/>
        <v>85</v>
      </c>
      <c r="L115" s="181">
        <f t="shared" si="29"/>
        <v>0.47222222222222221</v>
      </c>
      <c r="M115" s="180" t="s">
        <v>777</v>
      </c>
    </row>
    <row r="116" spans="1:13" ht="18.75" customHeight="1">
      <c r="A116" s="180"/>
      <c r="B116" s="180" t="s">
        <v>854</v>
      </c>
      <c r="C116" s="180" t="s">
        <v>778</v>
      </c>
      <c r="D116" s="180">
        <f t="shared" si="24"/>
        <v>365</v>
      </c>
      <c r="E116" s="184">
        <v>44855</v>
      </c>
      <c r="F116" s="184">
        <f t="shared" si="25"/>
        <v>45220</v>
      </c>
      <c r="G116" s="184">
        <f t="shared" si="26"/>
        <v>45190</v>
      </c>
      <c r="H116" s="180" t="str">
        <f t="shared" ca="1" si="27"/>
        <v>VENCIDO</v>
      </c>
      <c r="I116" s="187">
        <f t="shared" si="30"/>
        <v>65</v>
      </c>
      <c r="J116" s="182">
        <f t="shared" si="31"/>
        <v>100</v>
      </c>
      <c r="K116" s="182">
        <f t="shared" si="28"/>
        <v>35</v>
      </c>
      <c r="L116" s="181">
        <f t="shared" si="29"/>
        <v>0.35</v>
      </c>
      <c r="M116" s="180" t="s">
        <v>777</v>
      </c>
    </row>
    <row r="117" spans="1:13" ht="18.75" customHeight="1">
      <c r="A117" s="180" t="s">
        <v>853</v>
      </c>
      <c r="B117" s="180" t="s">
        <v>852</v>
      </c>
      <c r="C117" s="180" t="s">
        <v>781</v>
      </c>
      <c r="D117" s="180">
        <f t="shared" si="24"/>
        <v>365</v>
      </c>
      <c r="E117" s="184">
        <v>44858</v>
      </c>
      <c r="F117" s="184">
        <f t="shared" si="25"/>
        <v>45223</v>
      </c>
      <c r="G117" s="184">
        <f t="shared" si="26"/>
        <v>45193</v>
      </c>
      <c r="H117" s="180" t="str">
        <f t="shared" ca="1" si="27"/>
        <v>VENCIDO</v>
      </c>
      <c r="I117" s="187">
        <f t="shared" si="30"/>
        <v>95</v>
      </c>
      <c r="J117" s="182">
        <f t="shared" si="31"/>
        <v>180</v>
      </c>
      <c r="K117" s="182">
        <f t="shared" si="28"/>
        <v>85</v>
      </c>
      <c r="L117" s="181">
        <f t="shared" si="29"/>
        <v>0.47222222222222221</v>
      </c>
      <c r="M117" s="180" t="s">
        <v>777</v>
      </c>
    </row>
    <row r="118" spans="1:13" ht="18.75" customHeight="1">
      <c r="A118" s="180"/>
      <c r="B118" s="180" t="s">
        <v>851</v>
      </c>
      <c r="C118" s="180" t="s">
        <v>778</v>
      </c>
      <c r="D118" s="180">
        <f t="shared" si="24"/>
        <v>365</v>
      </c>
      <c r="E118" s="184">
        <v>44862</v>
      </c>
      <c r="F118" s="184">
        <f t="shared" si="25"/>
        <v>45227</v>
      </c>
      <c r="G118" s="184">
        <f t="shared" si="26"/>
        <v>45197</v>
      </c>
      <c r="H118" s="180" t="str">
        <f t="shared" ca="1" si="27"/>
        <v>VENCIDO</v>
      </c>
      <c r="I118" s="187">
        <f t="shared" si="30"/>
        <v>65</v>
      </c>
      <c r="J118" s="182">
        <f t="shared" si="31"/>
        <v>100</v>
      </c>
      <c r="K118" s="182">
        <f t="shared" si="28"/>
        <v>35</v>
      </c>
      <c r="L118" s="181">
        <f t="shared" si="29"/>
        <v>0.35</v>
      </c>
      <c r="M118" s="180" t="s">
        <v>777</v>
      </c>
    </row>
    <row r="119" spans="1:13" ht="18.75" customHeight="1">
      <c r="A119" s="180"/>
      <c r="B119" s="180" t="s">
        <v>850</v>
      </c>
      <c r="C119" s="180" t="s">
        <v>778</v>
      </c>
      <c r="D119" s="180">
        <f t="shared" si="24"/>
        <v>365</v>
      </c>
      <c r="E119" s="184">
        <v>44862</v>
      </c>
      <c r="F119" s="184">
        <f t="shared" si="25"/>
        <v>45227</v>
      </c>
      <c r="G119" s="184">
        <f t="shared" si="26"/>
        <v>45197</v>
      </c>
      <c r="H119" s="180" t="str">
        <f t="shared" ca="1" si="27"/>
        <v>VENCIDO</v>
      </c>
      <c r="I119" s="183">
        <v>73</v>
      </c>
      <c r="J119" s="182">
        <f t="shared" si="31"/>
        <v>100</v>
      </c>
      <c r="K119" s="182">
        <f t="shared" si="28"/>
        <v>27</v>
      </c>
      <c r="L119" s="181">
        <f t="shared" si="29"/>
        <v>0.27</v>
      </c>
      <c r="M119" s="180" t="s">
        <v>777</v>
      </c>
    </row>
    <row r="120" spans="1:13" ht="18.75" customHeight="1">
      <c r="A120" s="180"/>
      <c r="B120" s="178" t="s">
        <v>756</v>
      </c>
      <c r="C120" s="180" t="s">
        <v>802</v>
      </c>
      <c r="D120" s="180">
        <f t="shared" si="24"/>
        <v>1095</v>
      </c>
      <c r="E120" s="184">
        <v>44866</v>
      </c>
      <c r="F120" s="184">
        <f t="shared" si="25"/>
        <v>45961</v>
      </c>
      <c r="G120" s="184">
        <f t="shared" si="26"/>
        <v>45931</v>
      </c>
      <c r="H120" s="180" t="str">
        <f t="shared" ca="1" si="27"/>
        <v>VENCIDO</v>
      </c>
      <c r="I120" s="183">
        <f>VLOOKUP(C120,$M$3:$O$6,2,0)</f>
        <v>100</v>
      </c>
      <c r="J120" s="182">
        <f t="shared" si="31"/>
        <v>250</v>
      </c>
      <c r="K120" s="182">
        <f t="shared" si="28"/>
        <v>150</v>
      </c>
      <c r="L120" s="181">
        <f t="shared" si="29"/>
        <v>0.6</v>
      </c>
      <c r="M120" s="180" t="s">
        <v>777</v>
      </c>
    </row>
    <row r="121" spans="1:13" ht="18.75" customHeight="1">
      <c r="A121" s="180" t="s">
        <v>849</v>
      </c>
      <c r="B121" s="180" t="s">
        <v>849</v>
      </c>
      <c r="C121" s="180" t="s">
        <v>781</v>
      </c>
      <c r="D121" s="180">
        <f t="shared" si="24"/>
        <v>365</v>
      </c>
      <c r="E121" s="184">
        <v>44874</v>
      </c>
      <c r="F121" s="184">
        <f t="shared" si="25"/>
        <v>45239</v>
      </c>
      <c r="G121" s="184">
        <f t="shared" si="26"/>
        <v>45209</v>
      </c>
      <c r="H121" s="180" t="str">
        <f t="shared" ca="1" si="27"/>
        <v>VENCIDO</v>
      </c>
      <c r="I121" s="183">
        <f>VLOOKUP(C121,$M$3:$O$6,2,0)</f>
        <v>95</v>
      </c>
      <c r="J121" s="182">
        <f t="shared" si="31"/>
        <v>180</v>
      </c>
      <c r="K121" s="182">
        <f t="shared" si="28"/>
        <v>85</v>
      </c>
      <c r="L121" s="181">
        <f t="shared" si="29"/>
        <v>0.47222222222222221</v>
      </c>
      <c r="M121" s="180" t="s">
        <v>798</v>
      </c>
    </row>
    <row r="122" spans="1:13" ht="18.75" customHeight="1">
      <c r="A122" s="180"/>
      <c r="B122" s="180" t="s">
        <v>848</v>
      </c>
      <c r="C122" s="180" t="s">
        <v>778</v>
      </c>
      <c r="D122" s="180">
        <f t="shared" si="24"/>
        <v>365</v>
      </c>
      <c r="E122" s="184">
        <v>44875</v>
      </c>
      <c r="F122" s="184">
        <f t="shared" si="25"/>
        <v>45240</v>
      </c>
      <c r="G122" s="184">
        <f t="shared" si="26"/>
        <v>45210</v>
      </c>
      <c r="H122" s="180" t="str">
        <f t="shared" ca="1" si="27"/>
        <v>VENCIDO</v>
      </c>
      <c r="I122" s="183">
        <f>VLOOKUP(C122,$M$3:$O$6,2,0)</f>
        <v>65</v>
      </c>
      <c r="J122" s="182">
        <f t="shared" si="31"/>
        <v>100</v>
      </c>
      <c r="K122" s="182">
        <f t="shared" si="28"/>
        <v>35</v>
      </c>
      <c r="L122" s="181">
        <f t="shared" si="29"/>
        <v>0.35</v>
      </c>
      <c r="M122" s="180" t="s">
        <v>777</v>
      </c>
    </row>
    <row r="123" spans="1:13" ht="18.75" customHeight="1">
      <c r="A123" s="180"/>
      <c r="B123" s="180" t="s">
        <v>847</v>
      </c>
      <c r="C123" s="180" t="s">
        <v>802</v>
      </c>
      <c r="D123" s="180">
        <f t="shared" si="24"/>
        <v>1095</v>
      </c>
      <c r="E123" s="184">
        <v>44879</v>
      </c>
      <c r="F123" s="184">
        <f t="shared" si="25"/>
        <v>45974</v>
      </c>
      <c r="G123" s="184">
        <f t="shared" si="26"/>
        <v>45944</v>
      </c>
      <c r="H123" s="180" t="str">
        <f t="shared" ca="1" si="27"/>
        <v>VENCIDO</v>
      </c>
      <c r="I123" s="183">
        <f>VLOOKUP(C123,$M$3:$O$6,2,0)</f>
        <v>100</v>
      </c>
      <c r="J123" s="182">
        <f t="shared" si="31"/>
        <v>250</v>
      </c>
      <c r="K123" s="182">
        <f t="shared" si="28"/>
        <v>150</v>
      </c>
      <c r="L123" s="181">
        <f t="shared" si="29"/>
        <v>0.6</v>
      </c>
      <c r="M123" s="180" t="s">
        <v>777</v>
      </c>
    </row>
    <row r="124" spans="1:13" ht="18.75" customHeight="1">
      <c r="A124" s="180"/>
      <c r="B124" s="180" t="s">
        <v>846</v>
      </c>
      <c r="C124" s="180" t="s">
        <v>802</v>
      </c>
      <c r="D124" s="180">
        <f t="shared" si="24"/>
        <v>1095</v>
      </c>
      <c r="E124" s="184">
        <v>44882</v>
      </c>
      <c r="F124" s="184">
        <f t="shared" si="25"/>
        <v>45977</v>
      </c>
      <c r="G124" s="184">
        <f t="shared" si="26"/>
        <v>45947</v>
      </c>
      <c r="H124" s="180" t="str">
        <f t="shared" ca="1" si="27"/>
        <v>VENCIDO</v>
      </c>
      <c r="I124" s="183">
        <v>173</v>
      </c>
      <c r="J124" s="182">
        <f t="shared" si="31"/>
        <v>250</v>
      </c>
      <c r="K124" s="182">
        <f t="shared" si="28"/>
        <v>77</v>
      </c>
      <c r="L124" s="181">
        <f t="shared" si="29"/>
        <v>0.308</v>
      </c>
      <c r="M124" s="180" t="s">
        <v>777</v>
      </c>
    </row>
    <row r="125" spans="1:13" ht="18.75" customHeight="1">
      <c r="A125" s="180" t="s">
        <v>69</v>
      </c>
      <c r="B125" s="180" t="s">
        <v>845</v>
      </c>
      <c r="C125" s="180" t="s">
        <v>785</v>
      </c>
      <c r="D125" s="180">
        <f t="shared" si="24"/>
        <v>1095</v>
      </c>
      <c r="E125" s="184">
        <v>44883</v>
      </c>
      <c r="F125" s="184">
        <f t="shared" ref="F125:F156" si="32">E125+D125</f>
        <v>45978</v>
      </c>
      <c r="G125" s="184">
        <f t="shared" ref="G125:G156" si="33">F125-30</f>
        <v>45948</v>
      </c>
      <c r="H125" s="180" t="str">
        <f t="shared" ref="H125:H156" ca="1" si="34">IF($A$6&lt;G125,"VÁLIDO",IF($A$6&gt;F125,"VENCIDO","A VENCER"))</f>
        <v>VENCIDO</v>
      </c>
      <c r="I125" s="183">
        <v>153</v>
      </c>
      <c r="J125" s="182">
        <v>290</v>
      </c>
      <c r="K125" s="182">
        <f t="shared" ref="K125:K156" si="35">J125-I125</f>
        <v>137</v>
      </c>
      <c r="L125" s="181">
        <f t="shared" ref="L125:L156" si="36">K125/J125</f>
        <v>0.47241379310344828</v>
      </c>
      <c r="M125" s="180" t="s">
        <v>798</v>
      </c>
    </row>
    <row r="126" spans="1:13" ht="18.75" customHeight="1">
      <c r="A126" s="180"/>
      <c r="B126" s="180" t="s">
        <v>844</v>
      </c>
      <c r="C126" s="180" t="s">
        <v>778</v>
      </c>
      <c r="D126" s="180">
        <f t="shared" si="24"/>
        <v>365</v>
      </c>
      <c r="E126" s="184">
        <v>44887</v>
      </c>
      <c r="F126" s="184">
        <f t="shared" si="32"/>
        <v>45252</v>
      </c>
      <c r="G126" s="184">
        <f t="shared" si="33"/>
        <v>45222</v>
      </c>
      <c r="H126" s="180" t="str">
        <f t="shared" ca="1" si="34"/>
        <v>VENCIDO</v>
      </c>
      <c r="I126" s="183">
        <f t="shared" ref="I126:I132" si="37">VLOOKUP(C126,$M$3:$O$6,2,0)</f>
        <v>65</v>
      </c>
      <c r="J126" s="182">
        <f t="shared" ref="J126:J132" si="38">VLOOKUP(C126,$M$3:$O$6,3,0)</f>
        <v>100</v>
      </c>
      <c r="K126" s="182">
        <f t="shared" si="35"/>
        <v>35</v>
      </c>
      <c r="L126" s="181">
        <f t="shared" si="36"/>
        <v>0.35</v>
      </c>
      <c r="M126" s="180" t="s">
        <v>777</v>
      </c>
    </row>
    <row r="127" spans="1:13" ht="18.75" customHeight="1">
      <c r="A127" s="180"/>
      <c r="B127" s="180" t="s">
        <v>843</v>
      </c>
      <c r="C127" s="180" t="s">
        <v>778</v>
      </c>
      <c r="D127" s="180">
        <f t="shared" si="24"/>
        <v>365</v>
      </c>
      <c r="E127" s="184">
        <v>44889</v>
      </c>
      <c r="F127" s="184">
        <f t="shared" si="32"/>
        <v>45254</v>
      </c>
      <c r="G127" s="184">
        <f t="shared" si="33"/>
        <v>45224</v>
      </c>
      <c r="H127" s="180" t="str">
        <f t="shared" ca="1" si="34"/>
        <v>VENCIDO</v>
      </c>
      <c r="I127" s="183">
        <f t="shared" si="37"/>
        <v>65</v>
      </c>
      <c r="J127" s="182">
        <f t="shared" si="38"/>
        <v>100</v>
      </c>
      <c r="K127" s="182">
        <f t="shared" si="35"/>
        <v>35</v>
      </c>
      <c r="L127" s="181">
        <f t="shared" si="36"/>
        <v>0.35</v>
      </c>
      <c r="M127" s="180" t="s">
        <v>777</v>
      </c>
    </row>
    <row r="128" spans="1:13" ht="18.75" customHeight="1">
      <c r="A128" s="180" t="s">
        <v>2</v>
      </c>
      <c r="B128" s="180" t="s">
        <v>2</v>
      </c>
      <c r="C128" s="180" t="s">
        <v>781</v>
      </c>
      <c r="D128" s="180">
        <f t="shared" si="24"/>
        <v>365</v>
      </c>
      <c r="E128" s="184">
        <v>44893</v>
      </c>
      <c r="F128" s="184">
        <f t="shared" si="32"/>
        <v>45258</v>
      </c>
      <c r="G128" s="184">
        <f t="shared" si="33"/>
        <v>45228</v>
      </c>
      <c r="H128" s="180" t="str">
        <f t="shared" ca="1" si="34"/>
        <v>VENCIDO</v>
      </c>
      <c r="I128" s="183">
        <f t="shared" si="37"/>
        <v>95</v>
      </c>
      <c r="J128" s="182">
        <f t="shared" si="38"/>
        <v>180</v>
      </c>
      <c r="K128" s="182">
        <f t="shared" si="35"/>
        <v>85</v>
      </c>
      <c r="L128" s="181">
        <f t="shared" si="36"/>
        <v>0.47222222222222221</v>
      </c>
      <c r="M128" s="180" t="s">
        <v>777</v>
      </c>
    </row>
    <row r="129" spans="1:14" ht="18.75" customHeight="1">
      <c r="A129" s="180"/>
      <c r="B129" s="180" t="s">
        <v>842</v>
      </c>
      <c r="C129" s="180" t="s">
        <v>778</v>
      </c>
      <c r="D129" s="180">
        <f t="shared" si="24"/>
        <v>365</v>
      </c>
      <c r="E129" s="184">
        <v>44895</v>
      </c>
      <c r="F129" s="184">
        <f t="shared" si="32"/>
        <v>45260</v>
      </c>
      <c r="G129" s="184">
        <f t="shared" si="33"/>
        <v>45230</v>
      </c>
      <c r="H129" s="180" t="str">
        <f t="shared" ca="1" si="34"/>
        <v>VENCIDO</v>
      </c>
      <c r="I129" s="183">
        <f t="shared" si="37"/>
        <v>65</v>
      </c>
      <c r="J129" s="182">
        <f t="shared" si="38"/>
        <v>100</v>
      </c>
      <c r="K129" s="182">
        <f t="shared" si="35"/>
        <v>35</v>
      </c>
      <c r="L129" s="181">
        <f t="shared" si="36"/>
        <v>0.35</v>
      </c>
      <c r="M129" s="180" t="s">
        <v>777</v>
      </c>
    </row>
    <row r="130" spans="1:14" ht="18.75" customHeight="1">
      <c r="A130" s="180" t="s">
        <v>841</v>
      </c>
      <c r="B130" s="180" t="s">
        <v>840</v>
      </c>
      <c r="C130" s="180" t="s">
        <v>781</v>
      </c>
      <c r="D130" s="180">
        <f t="shared" si="24"/>
        <v>365</v>
      </c>
      <c r="E130" s="184">
        <v>44900</v>
      </c>
      <c r="F130" s="184">
        <f t="shared" si="32"/>
        <v>45265</v>
      </c>
      <c r="G130" s="184">
        <f t="shared" si="33"/>
        <v>45235</v>
      </c>
      <c r="H130" s="180" t="str">
        <f t="shared" ca="1" si="34"/>
        <v>VENCIDO</v>
      </c>
      <c r="I130" s="183">
        <f t="shared" si="37"/>
        <v>95</v>
      </c>
      <c r="J130" s="182">
        <f t="shared" si="38"/>
        <v>180</v>
      </c>
      <c r="K130" s="182">
        <f t="shared" si="35"/>
        <v>85</v>
      </c>
      <c r="L130" s="181">
        <f t="shared" si="36"/>
        <v>0.47222222222222221</v>
      </c>
      <c r="M130" s="180" t="s">
        <v>777</v>
      </c>
    </row>
    <row r="131" spans="1:14" ht="18.75" customHeight="1">
      <c r="A131" s="180" t="s">
        <v>839</v>
      </c>
      <c r="B131" s="180" t="s">
        <v>839</v>
      </c>
      <c r="C131" s="180" t="s">
        <v>781</v>
      </c>
      <c r="D131" s="180">
        <f t="shared" si="24"/>
        <v>365</v>
      </c>
      <c r="E131" s="184">
        <v>44901</v>
      </c>
      <c r="F131" s="184">
        <f t="shared" si="32"/>
        <v>45266</v>
      </c>
      <c r="G131" s="184">
        <f t="shared" si="33"/>
        <v>45236</v>
      </c>
      <c r="H131" s="180" t="str">
        <f t="shared" ca="1" si="34"/>
        <v>VENCIDO</v>
      </c>
      <c r="I131" s="183">
        <f t="shared" si="37"/>
        <v>95</v>
      </c>
      <c r="J131" s="182">
        <f t="shared" si="38"/>
        <v>180</v>
      </c>
      <c r="K131" s="182">
        <f t="shared" si="35"/>
        <v>85</v>
      </c>
      <c r="L131" s="181">
        <f t="shared" si="36"/>
        <v>0.47222222222222221</v>
      </c>
      <c r="M131" s="180" t="s">
        <v>777</v>
      </c>
    </row>
    <row r="132" spans="1:14" ht="18.75" customHeight="1">
      <c r="A132" s="180" t="s">
        <v>262</v>
      </c>
      <c r="B132" s="180" t="s">
        <v>838</v>
      </c>
      <c r="C132" s="180" t="s">
        <v>781</v>
      </c>
      <c r="D132" s="180">
        <f t="shared" si="24"/>
        <v>365</v>
      </c>
      <c r="E132" s="184">
        <v>44903</v>
      </c>
      <c r="F132" s="184">
        <f t="shared" si="32"/>
        <v>45268</v>
      </c>
      <c r="G132" s="184">
        <f t="shared" si="33"/>
        <v>45238</v>
      </c>
      <c r="H132" s="180" t="str">
        <f t="shared" ca="1" si="34"/>
        <v>VENCIDO</v>
      </c>
      <c r="I132" s="183">
        <f t="shared" si="37"/>
        <v>95</v>
      </c>
      <c r="J132" s="182">
        <f t="shared" si="38"/>
        <v>180</v>
      </c>
      <c r="K132" s="182">
        <f t="shared" si="35"/>
        <v>85</v>
      </c>
      <c r="L132" s="181">
        <f t="shared" si="36"/>
        <v>0.47222222222222221</v>
      </c>
      <c r="M132" s="180" t="s">
        <v>777</v>
      </c>
    </row>
    <row r="133" spans="1:14" ht="18.75" customHeight="1">
      <c r="A133" s="180" t="s">
        <v>837</v>
      </c>
      <c r="B133" s="180" t="s">
        <v>836</v>
      </c>
      <c r="C133" s="180" t="s">
        <v>785</v>
      </c>
      <c r="D133" s="180">
        <f t="shared" si="24"/>
        <v>1095</v>
      </c>
      <c r="E133" s="184">
        <v>44907</v>
      </c>
      <c r="F133" s="184">
        <f t="shared" si="32"/>
        <v>46002</v>
      </c>
      <c r="G133" s="184">
        <f t="shared" si="33"/>
        <v>45972</v>
      </c>
      <c r="H133" s="180" t="str">
        <f t="shared" ca="1" si="34"/>
        <v>VENCIDO</v>
      </c>
      <c r="I133" s="183">
        <v>218</v>
      </c>
      <c r="J133" s="182">
        <v>290</v>
      </c>
      <c r="K133" s="182">
        <f t="shared" si="35"/>
        <v>72</v>
      </c>
      <c r="L133" s="181">
        <f t="shared" si="36"/>
        <v>0.24827586206896551</v>
      </c>
      <c r="M133" s="180" t="s">
        <v>777</v>
      </c>
      <c r="N133" s="177" t="s">
        <v>784</v>
      </c>
    </row>
    <row r="134" spans="1:14" ht="18.75" customHeight="1">
      <c r="A134" s="180"/>
      <c r="B134" s="180" t="s">
        <v>836</v>
      </c>
      <c r="C134" s="180" t="s">
        <v>802</v>
      </c>
      <c r="D134" s="180">
        <f t="shared" si="24"/>
        <v>1095</v>
      </c>
      <c r="E134" s="184">
        <v>44907</v>
      </c>
      <c r="F134" s="184">
        <f t="shared" si="32"/>
        <v>46002</v>
      </c>
      <c r="G134" s="184">
        <f t="shared" si="33"/>
        <v>45972</v>
      </c>
      <c r="H134" s="180" t="str">
        <f t="shared" ca="1" si="34"/>
        <v>VENCIDO</v>
      </c>
      <c r="I134" s="183">
        <v>173</v>
      </c>
      <c r="J134" s="182">
        <f t="shared" ref="J134:J153" si="39">VLOOKUP(C134,$M$3:$O$6,3,0)</f>
        <v>250</v>
      </c>
      <c r="K134" s="182">
        <f t="shared" si="35"/>
        <v>77</v>
      </c>
      <c r="L134" s="181">
        <f t="shared" si="36"/>
        <v>0.308</v>
      </c>
      <c r="M134" s="180" t="s">
        <v>777</v>
      </c>
      <c r="N134" s="177" t="s">
        <v>784</v>
      </c>
    </row>
    <row r="135" spans="1:14" ht="18.75" customHeight="1">
      <c r="A135" s="180"/>
      <c r="B135" s="180" t="s">
        <v>835</v>
      </c>
      <c r="C135" s="180" t="s">
        <v>802</v>
      </c>
      <c r="D135" s="180">
        <f t="shared" si="24"/>
        <v>1095</v>
      </c>
      <c r="E135" s="184">
        <v>44907</v>
      </c>
      <c r="F135" s="184">
        <f t="shared" si="32"/>
        <v>46002</v>
      </c>
      <c r="G135" s="184">
        <f t="shared" si="33"/>
        <v>45972</v>
      </c>
      <c r="H135" s="180" t="str">
        <f t="shared" ca="1" si="34"/>
        <v>VENCIDO</v>
      </c>
      <c r="I135" s="183">
        <v>173</v>
      </c>
      <c r="J135" s="182">
        <f t="shared" si="39"/>
        <v>250</v>
      </c>
      <c r="K135" s="182">
        <f t="shared" si="35"/>
        <v>77</v>
      </c>
      <c r="L135" s="181">
        <f t="shared" si="36"/>
        <v>0.308</v>
      </c>
      <c r="M135" s="180" t="s">
        <v>777</v>
      </c>
      <c r="N135" s="177" t="s">
        <v>784</v>
      </c>
    </row>
    <row r="136" spans="1:14" ht="18.75" customHeight="1">
      <c r="A136" s="180"/>
      <c r="B136" s="180" t="s">
        <v>231</v>
      </c>
      <c r="C136" s="180" t="s">
        <v>778</v>
      </c>
      <c r="D136" s="180">
        <f t="shared" si="24"/>
        <v>365</v>
      </c>
      <c r="E136" s="184">
        <v>44908</v>
      </c>
      <c r="F136" s="184">
        <f t="shared" si="32"/>
        <v>45273</v>
      </c>
      <c r="G136" s="184">
        <f t="shared" si="33"/>
        <v>45243</v>
      </c>
      <c r="H136" s="180" t="str">
        <f t="shared" ca="1" si="34"/>
        <v>VENCIDO</v>
      </c>
      <c r="I136" s="183">
        <f t="shared" ref="I136:I153" si="40">VLOOKUP(C136,$M$3:$O$6,2,0)</f>
        <v>65</v>
      </c>
      <c r="J136" s="182">
        <f t="shared" si="39"/>
        <v>100</v>
      </c>
      <c r="K136" s="182">
        <f t="shared" si="35"/>
        <v>35</v>
      </c>
      <c r="L136" s="181">
        <f t="shared" si="36"/>
        <v>0.35</v>
      </c>
      <c r="M136" s="180" t="s">
        <v>777</v>
      </c>
    </row>
    <row r="137" spans="1:14" ht="18.75" customHeight="1">
      <c r="A137" s="180"/>
      <c r="B137" s="180" t="s">
        <v>231</v>
      </c>
      <c r="C137" s="180" t="s">
        <v>802</v>
      </c>
      <c r="D137" s="180">
        <f t="shared" si="24"/>
        <v>1095</v>
      </c>
      <c r="E137" s="184">
        <v>44908</v>
      </c>
      <c r="F137" s="184">
        <f t="shared" si="32"/>
        <v>46003</v>
      </c>
      <c r="G137" s="184">
        <f t="shared" si="33"/>
        <v>45973</v>
      </c>
      <c r="H137" s="180" t="str">
        <f t="shared" ca="1" si="34"/>
        <v>VENCIDO</v>
      </c>
      <c r="I137" s="183">
        <f t="shared" si="40"/>
        <v>100</v>
      </c>
      <c r="J137" s="182">
        <f t="shared" si="39"/>
        <v>250</v>
      </c>
      <c r="K137" s="182">
        <f t="shared" si="35"/>
        <v>150</v>
      </c>
      <c r="L137" s="181">
        <f t="shared" si="36"/>
        <v>0.6</v>
      </c>
      <c r="M137" s="180" t="s">
        <v>777</v>
      </c>
    </row>
    <row r="138" spans="1:14" ht="18.75" customHeight="1">
      <c r="A138" s="180"/>
      <c r="B138" s="180" t="s">
        <v>834</v>
      </c>
      <c r="C138" s="180" t="s">
        <v>778</v>
      </c>
      <c r="D138" s="180">
        <f t="shared" si="24"/>
        <v>365</v>
      </c>
      <c r="E138" s="184">
        <v>44908</v>
      </c>
      <c r="F138" s="184">
        <f t="shared" si="32"/>
        <v>45273</v>
      </c>
      <c r="G138" s="184">
        <f t="shared" si="33"/>
        <v>45243</v>
      </c>
      <c r="H138" s="180" t="str">
        <f t="shared" ca="1" si="34"/>
        <v>VENCIDO</v>
      </c>
      <c r="I138" s="183">
        <f t="shared" si="40"/>
        <v>65</v>
      </c>
      <c r="J138" s="182">
        <f t="shared" si="39"/>
        <v>100</v>
      </c>
      <c r="K138" s="182">
        <f t="shared" si="35"/>
        <v>35</v>
      </c>
      <c r="L138" s="181">
        <f t="shared" si="36"/>
        <v>0.35</v>
      </c>
      <c r="M138" s="180" t="s">
        <v>777</v>
      </c>
    </row>
    <row r="139" spans="1:14" ht="18.75" customHeight="1">
      <c r="A139" s="180" t="s">
        <v>833</v>
      </c>
      <c r="B139" s="180" t="s">
        <v>832</v>
      </c>
      <c r="C139" s="180" t="s">
        <v>785</v>
      </c>
      <c r="D139" s="180">
        <f t="shared" si="24"/>
        <v>1095</v>
      </c>
      <c r="E139" s="184">
        <v>44909</v>
      </c>
      <c r="F139" s="184">
        <f t="shared" si="32"/>
        <v>46004</v>
      </c>
      <c r="G139" s="184">
        <f t="shared" si="33"/>
        <v>45974</v>
      </c>
      <c r="H139" s="180" t="str">
        <f t="shared" ca="1" si="34"/>
        <v>VENCIDO</v>
      </c>
      <c r="I139" s="183">
        <f t="shared" si="40"/>
        <v>145</v>
      </c>
      <c r="J139" s="182">
        <f t="shared" si="39"/>
        <v>285</v>
      </c>
      <c r="K139" s="182">
        <f t="shared" si="35"/>
        <v>140</v>
      </c>
      <c r="L139" s="181">
        <f t="shared" si="36"/>
        <v>0.49122807017543857</v>
      </c>
      <c r="M139" s="180" t="s">
        <v>777</v>
      </c>
    </row>
    <row r="140" spans="1:14" ht="18.75" customHeight="1">
      <c r="A140" s="180" t="s">
        <v>787</v>
      </c>
      <c r="B140" s="180" t="s">
        <v>786</v>
      </c>
      <c r="C140" s="180" t="s">
        <v>785</v>
      </c>
      <c r="D140" s="180">
        <f t="shared" si="24"/>
        <v>1095</v>
      </c>
      <c r="E140" s="184">
        <v>44910</v>
      </c>
      <c r="F140" s="184">
        <f t="shared" si="32"/>
        <v>46005</v>
      </c>
      <c r="G140" s="184">
        <f t="shared" si="33"/>
        <v>45975</v>
      </c>
      <c r="H140" s="180" t="str">
        <f t="shared" ca="1" si="34"/>
        <v>VENCIDO</v>
      </c>
      <c r="I140" s="183">
        <f t="shared" si="40"/>
        <v>145</v>
      </c>
      <c r="J140" s="182">
        <f t="shared" si="39"/>
        <v>285</v>
      </c>
      <c r="K140" s="182">
        <f t="shared" si="35"/>
        <v>140</v>
      </c>
      <c r="L140" s="181">
        <f t="shared" si="36"/>
        <v>0.49122807017543857</v>
      </c>
      <c r="M140" s="180" t="s">
        <v>777</v>
      </c>
    </row>
    <row r="141" spans="1:14" ht="18.75" customHeight="1">
      <c r="A141" s="180"/>
      <c r="B141" s="180" t="s">
        <v>831</v>
      </c>
      <c r="C141" s="180" t="s">
        <v>778</v>
      </c>
      <c r="D141" s="180">
        <f t="shared" si="24"/>
        <v>365</v>
      </c>
      <c r="E141" s="184">
        <v>44914</v>
      </c>
      <c r="F141" s="184">
        <f t="shared" si="32"/>
        <v>45279</v>
      </c>
      <c r="G141" s="184">
        <f t="shared" si="33"/>
        <v>45249</v>
      </c>
      <c r="H141" s="180" t="str">
        <f t="shared" ca="1" si="34"/>
        <v>VENCIDO</v>
      </c>
      <c r="I141" s="183">
        <f t="shared" si="40"/>
        <v>65</v>
      </c>
      <c r="J141" s="182">
        <f t="shared" si="39"/>
        <v>100</v>
      </c>
      <c r="K141" s="182">
        <f t="shared" si="35"/>
        <v>35</v>
      </c>
      <c r="L141" s="181">
        <f t="shared" si="36"/>
        <v>0.35</v>
      </c>
      <c r="M141" s="180" t="s">
        <v>777</v>
      </c>
    </row>
    <row r="142" spans="1:14" ht="18.75" customHeight="1">
      <c r="A142" s="180" t="s">
        <v>830</v>
      </c>
      <c r="B142" s="180"/>
      <c r="C142" s="180" t="s">
        <v>781</v>
      </c>
      <c r="D142" s="180">
        <f t="shared" si="24"/>
        <v>365</v>
      </c>
      <c r="E142" s="184">
        <v>44914</v>
      </c>
      <c r="F142" s="184">
        <f t="shared" si="32"/>
        <v>45279</v>
      </c>
      <c r="G142" s="184">
        <f t="shared" si="33"/>
        <v>45249</v>
      </c>
      <c r="H142" s="180" t="str">
        <f t="shared" ca="1" si="34"/>
        <v>VENCIDO</v>
      </c>
      <c r="I142" s="183">
        <f t="shared" si="40"/>
        <v>95</v>
      </c>
      <c r="J142" s="182">
        <f t="shared" si="39"/>
        <v>180</v>
      </c>
      <c r="K142" s="182">
        <f t="shared" si="35"/>
        <v>85</v>
      </c>
      <c r="L142" s="181">
        <f t="shared" si="36"/>
        <v>0.47222222222222221</v>
      </c>
      <c r="M142" s="180" t="s">
        <v>777</v>
      </c>
    </row>
    <row r="143" spans="1:14" ht="18.75" customHeight="1">
      <c r="A143" s="180"/>
      <c r="B143" s="180" t="s">
        <v>829</v>
      </c>
      <c r="C143" s="180" t="s">
        <v>778</v>
      </c>
      <c r="D143" s="180">
        <f t="shared" si="24"/>
        <v>365</v>
      </c>
      <c r="E143" s="184">
        <v>44914</v>
      </c>
      <c r="F143" s="184">
        <f t="shared" si="32"/>
        <v>45279</v>
      </c>
      <c r="G143" s="184">
        <f t="shared" si="33"/>
        <v>45249</v>
      </c>
      <c r="H143" s="180" t="str">
        <f t="shared" ca="1" si="34"/>
        <v>VENCIDO</v>
      </c>
      <c r="I143" s="183">
        <f t="shared" si="40"/>
        <v>65</v>
      </c>
      <c r="J143" s="182">
        <f t="shared" si="39"/>
        <v>100</v>
      </c>
      <c r="K143" s="182">
        <f t="shared" si="35"/>
        <v>35</v>
      </c>
      <c r="L143" s="181">
        <f t="shared" si="36"/>
        <v>0.35</v>
      </c>
      <c r="M143" s="180" t="s">
        <v>777</v>
      </c>
    </row>
    <row r="144" spans="1:14" ht="18.75" customHeight="1">
      <c r="A144" s="180" t="s">
        <v>7</v>
      </c>
      <c r="B144" s="180" t="s">
        <v>7</v>
      </c>
      <c r="C144" s="180" t="s">
        <v>781</v>
      </c>
      <c r="D144" s="180">
        <f t="shared" si="24"/>
        <v>365</v>
      </c>
      <c r="E144" s="184">
        <v>44917</v>
      </c>
      <c r="F144" s="184">
        <f t="shared" si="32"/>
        <v>45282</v>
      </c>
      <c r="G144" s="184">
        <f t="shared" si="33"/>
        <v>45252</v>
      </c>
      <c r="H144" s="180" t="str">
        <f t="shared" ca="1" si="34"/>
        <v>VENCIDO</v>
      </c>
      <c r="I144" s="183">
        <f t="shared" si="40"/>
        <v>95</v>
      </c>
      <c r="J144" s="182">
        <f t="shared" si="39"/>
        <v>180</v>
      </c>
      <c r="K144" s="182">
        <f t="shared" si="35"/>
        <v>85</v>
      </c>
      <c r="L144" s="181">
        <f t="shared" si="36"/>
        <v>0.47222222222222221</v>
      </c>
      <c r="M144" s="180" t="s">
        <v>777</v>
      </c>
    </row>
    <row r="145" spans="1:13" ht="18.75" customHeight="1">
      <c r="A145" s="180"/>
      <c r="B145" s="180" t="s">
        <v>828</v>
      </c>
      <c r="C145" s="180" t="s">
        <v>778</v>
      </c>
      <c r="D145" s="180">
        <f t="shared" si="24"/>
        <v>365</v>
      </c>
      <c r="E145" s="184">
        <v>44921</v>
      </c>
      <c r="F145" s="184">
        <f t="shared" si="32"/>
        <v>45286</v>
      </c>
      <c r="G145" s="184">
        <f t="shared" si="33"/>
        <v>45256</v>
      </c>
      <c r="H145" s="180" t="str">
        <f t="shared" ca="1" si="34"/>
        <v>VENCIDO</v>
      </c>
      <c r="I145" s="183">
        <f t="shared" si="40"/>
        <v>65</v>
      </c>
      <c r="J145" s="182">
        <f t="shared" si="39"/>
        <v>100</v>
      </c>
      <c r="K145" s="182">
        <f t="shared" si="35"/>
        <v>35</v>
      </c>
      <c r="L145" s="181">
        <f t="shared" si="36"/>
        <v>0.35</v>
      </c>
      <c r="M145" s="180" t="s">
        <v>777</v>
      </c>
    </row>
    <row r="146" spans="1:13" ht="18.75" customHeight="1">
      <c r="A146" s="180"/>
      <c r="B146" s="180" t="s">
        <v>827</v>
      </c>
      <c r="C146" s="180" t="s">
        <v>778</v>
      </c>
      <c r="D146" s="180">
        <f t="shared" si="24"/>
        <v>365</v>
      </c>
      <c r="E146" s="184">
        <v>44921</v>
      </c>
      <c r="F146" s="184">
        <f t="shared" si="32"/>
        <v>45286</v>
      </c>
      <c r="G146" s="184">
        <f t="shared" si="33"/>
        <v>45256</v>
      </c>
      <c r="H146" s="180" t="str">
        <f t="shared" ca="1" si="34"/>
        <v>VENCIDO</v>
      </c>
      <c r="I146" s="183">
        <f t="shared" si="40"/>
        <v>65</v>
      </c>
      <c r="J146" s="182">
        <f t="shared" si="39"/>
        <v>100</v>
      </c>
      <c r="K146" s="182">
        <f t="shared" si="35"/>
        <v>35</v>
      </c>
      <c r="L146" s="181">
        <f t="shared" si="36"/>
        <v>0.35</v>
      </c>
      <c r="M146" s="180" t="s">
        <v>777</v>
      </c>
    </row>
    <row r="147" spans="1:13" ht="18.75" customHeight="1">
      <c r="A147" s="180" t="s">
        <v>165</v>
      </c>
      <c r="B147" s="180" t="s">
        <v>826</v>
      </c>
      <c r="C147" s="180" t="s">
        <v>781</v>
      </c>
      <c r="D147" s="180">
        <f t="shared" si="24"/>
        <v>365</v>
      </c>
      <c r="E147" s="184">
        <v>44924</v>
      </c>
      <c r="F147" s="184">
        <f t="shared" si="32"/>
        <v>45289</v>
      </c>
      <c r="G147" s="184">
        <f t="shared" si="33"/>
        <v>45259</v>
      </c>
      <c r="H147" s="180" t="str">
        <f t="shared" ca="1" si="34"/>
        <v>VENCIDO</v>
      </c>
      <c r="I147" s="183">
        <f t="shared" si="40"/>
        <v>95</v>
      </c>
      <c r="J147" s="182">
        <f t="shared" si="39"/>
        <v>180</v>
      </c>
      <c r="K147" s="182">
        <f t="shared" si="35"/>
        <v>85</v>
      </c>
      <c r="L147" s="181">
        <f t="shared" si="36"/>
        <v>0.47222222222222221</v>
      </c>
      <c r="M147" s="180" t="s">
        <v>777</v>
      </c>
    </row>
    <row r="148" spans="1:13" ht="18.75" customHeight="1">
      <c r="A148" s="180"/>
      <c r="B148" s="180" t="s">
        <v>825</v>
      </c>
      <c r="C148" s="180" t="s">
        <v>778</v>
      </c>
      <c r="D148" s="180">
        <f t="shared" si="24"/>
        <v>365</v>
      </c>
      <c r="E148" s="184">
        <v>44928</v>
      </c>
      <c r="F148" s="184">
        <f t="shared" si="32"/>
        <v>45293</v>
      </c>
      <c r="G148" s="184">
        <f t="shared" si="33"/>
        <v>45263</v>
      </c>
      <c r="H148" s="180" t="str">
        <f t="shared" ca="1" si="34"/>
        <v>VENCIDO</v>
      </c>
      <c r="I148" s="183">
        <f t="shared" si="40"/>
        <v>65</v>
      </c>
      <c r="J148" s="182">
        <f t="shared" si="39"/>
        <v>100</v>
      </c>
      <c r="K148" s="182">
        <f t="shared" si="35"/>
        <v>35</v>
      </c>
      <c r="L148" s="181">
        <f t="shared" si="36"/>
        <v>0.35</v>
      </c>
      <c r="M148" s="180" t="s">
        <v>777</v>
      </c>
    </row>
    <row r="149" spans="1:13" ht="18.75" customHeight="1">
      <c r="A149" s="180" t="s">
        <v>191</v>
      </c>
      <c r="B149" s="180" t="s">
        <v>81</v>
      </c>
      <c r="C149" s="180" t="s">
        <v>781</v>
      </c>
      <c r="D149" s="180">
        <f t="shared" si="24"/>
        <v>365</v>
      </c>
      <c r="E149" s="184">
        <v>44930</v>
      </c>
      <c r="F149" s="184">
        <f t="shared" si="32"/>
        <v>45295</v>
      </c>
      <c r="G149" s="184">
        <f t="shared" si="33"/>
        <v>45265</v>
      </c>
      <c r="H149" s="180" t="str">
        <f t="shared" ca="1" si="34"/>
        <v>VENCIDO</v>
      </c>
      <c r="I149" s="183">
        <f t="shared" si="40"/>
        <v>95</v>
      </c>
      <c r="J149" s="182">
        <f t="shared" si="39"/>
        <v>180</v>
      </c>
      <c r="K149" s="182">
        <f t="shared" si="35"/>
        <v>85</v>
      </c>
      <c r="L149" s="181">
        <f t="shared" si="36"/>
        <v>0.47222222222222221</v>
      </c>
      <c r="M149" s="180" t="s">
        <v>777</v>
      </c>
    </row>
    <row r="150" spans="1:13" ht="18.75" customHeight="1">
      <c r="A150" s="180" t="s">
        <v>824</v>
      </c>
      <c r="B150" s="180" t="s">
        <v>823</v>
      </c>
      <c r="C150" s="180" t="s">
        <v>781</v>
      </c>
      <c r="D150" s="180">
        <f t="shared" si="24"/>
        <v>365</v>
      </c>
      <c r="E150" s="184">
        <v>44931</v>
      </c>
      <c r="F150" s="184">
        <f t="shared" si="32"/>
        <v>45296</v>
      </c>
      <c r="G150" s="184">
        <f t="shared" si="33"/>
        <v>45266</v>
      </c>
      <c r="H150" s="180" t="str">
        <f t="shared" ca="1" si="34"/>
        <v>VENCIDO</v>
      </c>
      <c r="I150" s="183">
        <f t="shared" si="40"/>
        <v>95</v>
      </c>
      <c r="J150" s="182">
        <f t="shared" si="39"/>
        <v>180</v>
      </c>
      <c r="K150" s="182">
        <f t="shared" si="35"/>
        <v>85</v>
      </c>
      <c r="L150" s="181">
        <f t="shared" si="36"/>
        <v>0.47222222222222221</v>
      </c>
      <c r="M150" s="180" t="s">
        <v>777</v>
      </c>
    </row>
    <row r="151" spans="1:13" ht="18.75" customHeight="1">
      <c r="A151" s="180" t="s">
        <v>822</v>
      </c>
      <c r="B151" s="180" t="s">
        <v>822</v>
      </c>
      <c r="C151" s="180" t="s">
        <v>781</v>
      </c>
      <c r="D151" s="180">
        <f t="shared" si="24"/>
        <v>365</v>
      </c>
      <c r="E151" s="184">
        <v>44936</v>
      </c>
      <c r="F151" s="184">
        <f t="shared" si="32"/>
        <v>45301</v>
      </c>
      <c r="G151" s="184">
        <f t="shared" si="33"/>
        <v>45271</v>
      </c>
      <c r="H151" s="180" t="str">
        <f t="shared" ca="1" si="34"/>
        <v>VENCIDO</v>
      </c>
      <c r="I151" s="183">
        <f t="shared" si="40"/>
        <v>95</v>
      </c>
      <c r="J151" s="182">
        <f t="shared" si="39"/>
        <v>180</v>
      </c>
      <c r="K151" s="182">
        <f t="shared" si="35"/>
        <v>85</v>
      </c>
      <c r="L151" s="181">
        <f t="shared" si="36"/>
        <v>0.47222222222222221</v>
      </c>
      <c r="M151" s="180" t="s">
        <v>777</v>
      </c>
    </row>
    <row r="152" spans="1:13" ht="18.75" customHeight="1">
      <c r="A152" s="180"/>
      <c r="B152" s="180" t="s">
        <v>821</v>
      </c>
      <c r="C152" s="180" t="s">
        <v>778</v>
      </c>
      <c r="D152" s="180">
        <f t="shared" si="24"/>
        <v>365</v>
      </c>
      <c r="E152" s="184">
        <v>44943</v>
      </c>
      <c r="F152" s="184">
        <f t="shared" si="32"/>
        <v>45308</v>
      </c>
      <c r="G152" s="184">
        <f t="shared" si="33"/>
        <v>45278</v>
      </c>
      <c r="H152" s="180" t="str">
        <f t="shared" ca="1" si="34"/>
        <v>VENCIDO</v>
      </c>
      <c r="I152" s="183">
        <f t="shared" si="40"/>
        <v>65</v>
      </c>
      <c r="J152" s="182">
        <f t="shared" si="39"/>
        <v>100</v>
      </c>
      <c r="K152" s="182">
        <f t="shared" si="35"/>
        <v>35</v>
      </c>
      <c r="L152" s="181">
        <f t="shared" si="36"/>
        <v>0.35</v>
      </c>
      <c r="M152" s="180" t="s">
        <v>777</v>
      </c>
    </row>
    <row r="153" spans="1:13" ht="18.75" customHeight="1">
      <c r="A153" s="180" t="s">
        <v>821</v>
      </c>
      <c r="B153" s="180" t="s">
        <v>821</v>
      </c>
      <c r="C153" s="180" t="s">
        <v>781</v>
      </c>
      <c r="D153" s="180">
        <f t="shared" si="24"/>
        <v>365</v>
      </c>
      <c r="E153" s="184">
        <v>44949</v>
      </c>
      <c r="F153" s="184">
        <f t="shared" si="32"/>
        <v>45314</v>
      </c>
      <c r="G153" s="184">
        <f t="shared" si="33"/>
        <v>45284</v>
      </c>
      <c r="H153" s="180" t="str">
        <f t="shared" ca="1" si="34"/>
        <v>VENCIDO</v>
      </c>
      <c r="I153" s="183">
        <f t="shared" si="40"/>
        <v>95</v>
      </c>
      <c r="J153" s="182">
        <f t="shared" si="39"/>
        <v>180</v>
      </c>
      <c r="K153" s="182">
        <f t="shared" si="35"/>
        <v>85</v>
      </c>
      <c r="L153" s="181">
        <f t="shared" si="36"/>
        <v>0.47222222222222221</v>
      </c>
      <c r="M153" s="180" t="s">
        <v>777</v>
      </c>
    </row>
    <row r="154" spans="1:13" ht="18.75" customHeight="1">
      <c r="A154" s="180" t="s">
        <v>821</v>
      </c>
      <c r="B154" s="180" t="s">
        <v>821</v>
      </c>
      <c r="C154" s="180" t="s">
        <v>785</v>
      </c>
      <c r="D154" s="180">
        <f t="shared" si="24"/>
        <v>1095</v>
      </c>
      <c r="E154" s="184">
        <v>44949</v>
      </c>
      <c r="F154" s="184">
        <f t="shared" si="32"/>
        <v>46044</v>
      </c>
      <c r="G154" s="184">
        <f t="shared" si="33"/>
        <v>46014</v>
      </c>
      <c r="H154" s="180" t="str">
        <f t="shared" ca="1" si="34"/>
        <v>A VENCER</v>
      </c>
      <c r="I154" s="183">
        <v>218</v>
      </c>
      <c r="J154" s="182">
        <v>320</v>
      </c>
      <c r="K154" s="182">
        <f t="shared" si="35"/>
        <v>102</v>
      </c>
      <c r="L154" s="181">
        <f t="shared" si="36"/>
        <v>0.31874999999999998</v>
      </c>
      <c r="M154" s="180" t="s">
        <v>777</v>
      </c>
    </row>
    <row r="155" spans="1:13" ht="18.75" customHeight="1">
      <c r="A155" s="180"/>
      <c r="B155" s="180" t="s">
        <v>820</v>
      </c>
      <c r="C155" s="180" t="s">
        <v>778</v>
      </c>
      <c r="D155" s="180">
        <f t="shared" si="24"/>
        <v>365</v>
      </c>
      <c r="E155" s="184">
        <v>44953</v>
      </c>
      <c r="F155" s="184">
        <f t="shared" si="32"/>
        <v>45318</v>
      </c>
      <c r="G155" s="184">
        <f t="shared" si="33"/>
        <v>45288</v>
      </c>
      <c r="H155" s="180" t="str">
        <f t="shared" ca="1" si="34"/>
        <v>VENCIDO</v>
      </c>
      <c r="I155" s="183">
        <f t="shared" ref="I155:I162" si="41">VLOOKUP(C155,$M$3:$O$6,2,0)</f>
        <v>65</v>
      </c>
      <c r="J155" s="182">
        <f t="shared" ref="J155:J162" si="42">VLOOKUP(C155,$M$3:$O$6,3,0)</f>
        <v>100</v>
      </c>
      <c r="K155" s="182">
        <f t="shared" si="35"/>
        <v>35</v>
      </c>
      <c r="L155" s="181">
        <f t="shared" si="36"/>
        <v>0.35</v>
      </c>
      <c r="M155" s="180" t="s">
        <v>777</v>
      </c>
    </row>
    <row r="156" spans="1:13" ht="18.75" customHeight="1">
      <c r="A156" s="180"/>
      <c r="B156" s="180" t="s">
        <v>819</v>
      </c>
      <c r="C156" s="180" t="s">
        <v>778</v>
      </c>
      <c r="D156" s="180">
        <f t="shared" si="24"/>
        <v>365</v>
      </c>
      <c r="E156" s="184">
        <v>44965</v>
      </c>
      <c r="F156" s="184">
        <f t="shared" si="32"/>
        <v>45330</v>
      </c>
      <c r="G156" s="184">
        <f t="shared" si="33"/>
        <v>45300</v>
      </c>
      <c r="H156" s="180" t="str">
        <f t="shared" ca="1" si="34"/>
        <v>VENCIDO</v>
      </c>
      <c r="I156" s="183">
        <f t="shared" si="41"/>
        <v>65</v>
      </c>
      <c r="J156" s="182">
        <f t="shared" si="42"/>
        <v>100</v>
      </c>
      <c r="K156" s="182">
        <f t="shared" si="35"/>
        <v>35</v>
      </c>
      <c r="L156" s="181">
        <f t="shared" si="36"/>
        <v>0.35</v>
      </c>
      <c r="M156" s="180" t="s">
        <v>777</v>
      </c>
    </row>
    <row r="157" spans="1:13" ht="18.75" customHeight="1">
      <c r="A157" s="180" t="s">
        <v>818</v>
      </c>
      <c r="B157" s="180"/>
      <c r="C157" s="180" t="s">
        <v>785</v>
      </c>
      <c r="D157" s="180">
        <f t="shared" ref="D157:D202" si="43">IF(C157="A1 - 1 ano PJ",365,IF(C157="A1 - 1 ano PF",365,(365*3)))</f>
        <v>1095</v>
      </c>
      <c r="E157" s="184">
        <v>44965</v>
      </c>
      <c r="F157" s="184">
        <f t="shared" ref="F157:F171" si="44">E157+D157</f>
        <v>46060</v>
      </c>
      <c r="G157" s="184">
        <f t="shared" ref="G157:G188" si="45">F157-30</f>
        <v>46030</v>
      </c>
      <c r="H157" s="180" t="str">
        <f t="shared" ref="H157:H188" ca="1" si="46">IF($A$6&lt;G157,"VÁLIDO",IF($A$6&gt;F157,"VENCIDO","A VENCER"))</f>
        <v>VÁLIDO</v>
      </c>
      <c r="I157" s="183">
        <f t="shared" si="41"/>
        <v>145</v>
      </c>
      <c r="J157" s="182">
        <f t="shared" si="42"/>
        <v>285</v>
      </c>
      <c r="K157" s="182">
        <f t="shared" ref="K157:K188" si="47">J157-I157</f>
        <v>140</v>
      </c>
      <c r="L157" s="181">
        <f t="shared" ref="L157:L188" si="48">K157/J157</f>
        <v>0.49122807017543857</v>
      </c>
      <c r="M157" s="180" t="s">
        <v>777</v>
      </c>
    </row>
    <row r="158" spans="1:13" ht="18.75" customHeight="1">
      <c r="A158" s="180" t="s">
        <v>787</v>
      </c>
      <c r="B158" s="180" t="s">
        <v>786</v>
      </c>
      <c r="C158" s="180" t="s">
        <v>781</v>
      </c>
      <c r="D158" s="180">
        <f t="shared" si="43"/>
        <v>365</v>
      </c>
      <c r="E158" s="184">
        <v>44967</v>
      </c>
      <c r="F158" s="184">
        <f t="shared" si="44"/>
        <v>45332</v>
      </c>
      <c r="G158" s="184">
        <f t="shared" si="45"/>
        <v>45302</v>
      </c>
      <c r="H158" s="180" t="str">
        <f t="shared" ca="1" si="46"/>
        <v>VENCIDO</v>
      </c>
      <c r="I158" s="183">
        <f t="shared" si="41"/>
        <v>95</v>
      </c>
      <c r="J158" s="182">
        <f t="shared" si="42"/>
        <v>180</v>
      </c>
      <c r="K158" s="182">
        <f t="shared" si="47"/>
        <v>85</v>
      </c>
      <c r="L158" s="181">
        <f t="shared" si="48"/>
        <v>0.47222222222222221</v>
      </c>
      <c r="M158" s="180" t="s">
        <v>777</v>
      </c>
    </row>
    <row r="159" spans="1:13" ht="18.75" customHeight="1">
      <c r="A159" s="180"/>
      <c r="B159" s="180" t="s">
        <v>817</v>
      </c>
      <c r="C159" s="180" t="s">
        <v>778</v>
      </c>
      <c r="D159" s="180">
        <f t="shared" si="43"/>
        <v>365</v>
      </c>
      <c r="E159" s="184">
        <v>44970</v>
      </c>
      <c r="F159" s="184">
        <f t="shared" si="44"/>
        <v>45335</v>
      </c>
      <c r="G159" s="184">
        <f t="shared" si="45"/>
        <v>45305</v>
      </c>
      <c r="H159" s="180" t="str">
        <f t="shared" ca="1" si="46"/>
        <v>VENCIDO</v>
      </c>
      <c r="I159" s="183">
        <f t="shared" si="41"/>
        <v>65</v>
      </c>
      <c r="J159" s="182">
        <f t="shared" si="42"/>
        <v>100</v>
      </c>
      <c r="K159" s="182">
        <f t="shared" si="47"/>
        <v>35</v>
      </c>
      <c r="L159" s="181">
        <f t="shared" si="48"/>
        <v>0.35</v>
      </c>
      <c r="M159" s="180" t="s">
        <v>777</v>
      </c>
    </row>
    <row r="160" spans="1:13" ht="18.75" customHeight="1">
      <c r="A160" s="180"/>
      <c r="B160" s="180" t="s">
        <v>816</v>
      </c>
      <c r="C160" s="180" t="s">
        <v>802</v>
      </c>
      <c r="D160" s="180">
        <f t="shared" si="43"/>
        <v>1095</v>
      </c>
      <c r="E160" s="184">
        <v>44970</v>
      </c>
      <c r="F160" s="184">
        <f t="shared" si="44"/>
        <v>46065</v>
      </c>
      <c r="G160" s="184">
        <f t="shared" si="45"/>
        <v>46035</v>
      </c>
      <c r="H160" s="180" t="str">
        <f t="shared" ca="1" si="46"/>
        <v>VÁLIDO</v>
      </c>
      <c r="I160" s="183">
        <f t="shared" si="41"/>
        <v>100</v>
      </c>
      <c r="J160" s="182">
        <f t="shared" si="42"/>
        <v>250</v>
      </c>
      <c r="K160" s="182">
        <f t="shared" si="47"/>
        <v>150</v>
      </c>
      <c r="L160" s="181">
        <f t="shared" si="48"/>
        <v>0.6</v>
      </c>
      <c r="M160" s="180" t="s">
        <v>777</v>
      </c>
    </row>
    <row r="161" spans="1:13" ht="18.75" customHeight="1">
      <c r="A161" s="180" t="s">
        <v>815</v>
      </c>
      <c r="B161" s="180" t="s">
        <v>815</v>
      </c>
      <c r="C161" s="180" t="s">
        <v>781</v>
      </c>
      <c r="D161" s="180">
        <f t="shared" si="43"/>
        <v>365</v>
      </c>
      <c r="E161" s="184">
        <v>44970</v>
      </c>
      <c r="F161" s="184">
        <f t="shared" si="44"/>
        <v>45335</v>
      </c>
      <c r="G161" s="184">
        <f t="shared" si="45"/>
        <v>45305</v>
      </c>
      <c r="H161" s="180" t="str">
        <f t="shared" ca="1" si="46"/>
        <v>VENCIDO</v>
      </c>
      <c r="I161" s="183">
        <f t="shared" si="41"/>
        <v>95</v>
      </c>
      <c r="J161" s="182">
        <f t="shared" si="42"/>
        <v>180</v>
      </c>
      <c r="K161" s="182">
        <f t="shared" si="47"/>
        <v>85</v>
      </c>
      <c r="L161" s="181">
        <f t="shared" si="48"/>
        <v>0.47222222222222221</v>
      </c>
      <c r="M161" s="180" t="s">
        <v>777</v>
      </c>
    </row>
    <row r="162" spans="1:13" ht="18.75" customHeight="1">
      <c r="A162" s="180" t="s">
        <v>176</v>
      </c>
      <c r="B162" s="180" t="s">
        <v>814</v>
      </c>
      <c r="C162" s="180" t="s">
        <v>781</v>
      </c>
      <c r="D162" s="180">
        <f t="shared" si="43"/>
        <v>365</v>
      </c>
      <c r="E162" s="184">
        <v>44980</v>
      </c>
      <c r="F162" s="184">
        <f t="shared" si="44"/>
        <v>45345</v>
      </c>
      <c r="G162" s="184">
        <f t="shared" si="45"/>
        <v>45315</v>
      </c>
      <c r="H162" s="180" t="str">
        <f t="shared" ca="1" si="46"/>
        <v>VENCIDO</v>
      </c>
      <c r="I162" s="183">
        <f t="shared" si="41"/>
        <v>95</v>
      </c>
      <c r="J162" s="182">
        <f t="shared" si="42"/>
        <v>180</v>
      </c>
      <c r="K162" s="182">
        <f t="shared" si="47"/>
        <v>85</v>
      </c>
      <c r="L162" s="181">
        <f t="shared" si="48"/>
        <v>0.47222222222222221</v>
      </c>
      <c r="M162" s="180" t="s">
        <v>777</v>
      </c>
    </row>
    <row r="163" spans="1:13" ht="18.75" customHeight="1">
      <c r="A163" s="180" t="s">
        <v>813</v>
      </c>
      <c r="B163" s="180"/>
      <c r="C163" s="180" t="s">
        <v>785</v>
      </c>
      <c r="D163" s="180">
        <f t="shared" si="43"/>
        <v>1095</v>
      </c>
      <c r="E163" s="184">
        <v>44984</v>
      </c>
      <c r="F163" s="184">
        <f t="shared" si="44"/>
        <v>46079</v>
      </c>
      <c r="G163" s="184">
        <f t="shared" si="45"/>
        <v>46049</v>
      </c>
      <c r="H163" s="180" t="str">
        <f t="shared" ca="1" si="46"/>
        <v>VÁLIDO</v>
      </c>
      <c r="I163" s="183">
        <v>218</v>
      </c>
      <c r="J163" s="182">
        <v>300</v>
      </c>
      <c r="K163" s="182">
        <f t="shared" si="47"/>
        <v>82</v>
      </c>
      <c r="L163" s="181">
        <f t="shared" si="48"/>
        <v>0.27333333333333332</v>
      </c>
      <c r="M163" s="180" t="s">
        <v>777</v>
      </c>
    </row>
    <row r="164" spans="1:13" ht="18.75" customHeight="1">
      <c r="A164" s="180"/>
      <c r="B164" s="180" t="s">
        <v>812</v>
      </c>
      <c r="C164" s="180" t="s">
        <v>802</v>
      </c>
      <c r="D164" s="180">
        <f t="shared" si="43"/>
        <v>1095</v>
      </c>
      <c r="E164" s="184">
        <v>44986</v>
      </c>
      <c r="F164" s="184">
        <f t="shared" si="44"/>
        <v>46081</v>
      </c>
      <c r="G164" s="184">
        <f t="shared" si="45"/>
        <v>46051</v>
      </c>
      <c r="H164" s="180" t="str">
        <f t="shared" ca="1" si="46"/>
        <v>VÁLIDO</v>
      </c>
      <c r="I164" s="183">
        <f>VLOOKUP(C164,$M$3:$O$6,2,0)</f>
        <v>100</v>
      </c>
      <c r="J164" s="182">
        <f>VLOOKUP(C164,$M$3:$O$6,3,0)</f>
        <v>250</v>
      </c>
      <c r="K164" s="182">
        <f t="shared" si="47"/>
        <v>150</v>
      </c>
      <c r="L164" s="181">
        <f t="shared" si="48"/>
        <v>0.6</v>
      </c>
      <c r="M164" s="180" t="s">
        <v>777</v>
      </c>
    </row>
    <row r="165" spans="1:13" ht="18.75" customHeight="1">
      <c r="A165" s="180"/>
      <c r="B165" s="180" t="s">
        <v>811</v>
      </c>
      <c r="C165" s="180" t="s">
        <v>802</v>
      </c>
      <c r="D165" s="180">
        <f t="shared" si="43"/>
        <v>1095</v>
      </c>
      <c r="E165" s="184">
        <v>44986</v>
      </c>
      <c r="F165" s="184">
        <f t="shared" si="44"/>
        <v>46081</v>
      </c>
      <c r="G165" s="184">
        <f t="shared" si="45"/>
        <v>46051</v>
      </c>
      <c r="H165" s="180" t="str">
        <f t="shared" ca="1" si="46"/>
        <v>VÁLIDO</v>
      </c>
      <c r="I165" s="183">
        <f>VLOOKUP(C165,$M$3:$O$6,2,0)</f>
        <v>100</v>
      </c>
      <c r="J165" s="182">
        <f>VLOOKUP(C165,$M$3:$O$6,3,0)</f>
        <v>250</v>
      </c>
      <c r="K165" s="182">
        <f t="shared" si="47"/>
        <v>150</v>
      </c>
      <c r="L165" s="181">
        <f t="shared" si="48"/>
        <v>0.6</v>
      </c>
      <c r="M165" s="180" t="s">
        <v>777</v>
      </c>
    </row>
    <row r="166" spans="1:13" ht="18.75" customHeight="1">
      <c r="A166" s="180" t="s">
        <v>810</v>
      </c>
      <c r="B166" s="180" t="s">
        <v>809</v>
      </c>
      <c r="C166" s="180" t="s">
        <v>781</v>
      </c>
      <c r="D166" s="180">
        <f t="shared" si="43"/>
        <v>365</v>
      </c>
      <c r="E166" s="184">
        <v>44986</v>
      </c>
      <c r="F166" s="184">
        <f t="shared" si="44"/>
        <v>45351</v>
      </c>
      <c r="G166" s="184">
        <f t="shared" si="45"/>
        <v>45321</v>
      </c>
      <c r="H166" s="180" t="str">
        <f t="shared" ca="1" si="46"/>
        <v>VENCIDO</v>
      </c>
      <c r="I166" s="183">
        <f>VLOOKUP(C166,$M$3:$O$6,2,0)</f>
        <v>95</v>
      </c>
      <c r="J166" s="182">
        <f>VLOOKUP(C166,$M$3:$O$6,3,0)</f>
        <v>180</v>
      </c>
      <c r="K166" s="182">
        <f t="shared" si="47"/>
        <v>85</v>
      </c>
      <c r="L166" s="181">
        <f t="shared" si="48"/>
        <v>0.47222222222222221</v>
      </c>
      <c r="M166" s="180" t="s">
        <v>777</v>
      </c>
    </row>
    <row r="167" spans="1:13" ht="18.75" customHeight="1">
      <c r="A167" s="180"/>
      <c r="B167" s="180" t="s">
        <v>808</v>
      </c>
      <c r="C167" s="180" t="s">
        <v>802</v>
      </c>
      <c r="D167" s="180">
        <f t="shared" si="43"/>
        <v>1095</v>
      </c>
      <c r="E167" s="184">
        <v>44991</v>
      </c>
      <c r="F167" s="184">
        <f t="shared" si="44"/>
        <v>46086</v>
      </c>
      <c r="G167" s="184">
        <f t="shared" si="45"/>
        <v>46056</v>
      </c>
      <c r="H167" s="180" t="str">
        <f t="shared" ca="1" si="46"/>
        <v>VÁLIDO</v>
      </c>
      <c r="I167" s="183">
        <f>VLOOKUP(C167,$M$3:$O$6,2,0)</f>
        <v>100</v>
      </c>
      <c r="J167" s="182">
        <f>VLOOKUP(C167,$M$3:$O$6,3,0)</f>
        <v>250</v>
      </c>
      <c r="K167" s="182">
        <f t="shared" si="47"/>
        <v>150</v>
      </c>
      <c r="L167" s="181">
        <f t="shared" si="48"/>
        <v>0.6</v>
      </c>
      <c r="M167" s="180" t="s">
        <v>777</v>
      </c>
    </row>
    <row r="168" spans="1:13" ht="18.75" customHeight="1">
      <c r="A168" s="180" t="s">
        <v>807</v>
      </c>
      <c r="B168" s="180" t="s">
        <v>807</v>
      </c>
      <c r="C168" s="180" t="s">
        <v>781</v>
      </c>
      <c r="D168" s="180">
        <f t="shared" si="43"/>
        <v>365</v>
      </c>
      <c r="E168" s="184">
        <v>44991</v>
      </c>
      <c r="F168" s="184">
        <f t="shared" si="44"/>
        <v>45356</v>
      </c>
      <c r="G168" s="184">
        <f t="shared" si="45"/>
        <v>45326</v>
      </c>
      <c r="H168" s="180" t="str">
        <f t="shared" ca="1" si="46"/>
        <v>VENCIDO</v>
      </c>
      <c r="I168" s="183">
        <f>VLOOKUP(C168,$M$3:$O$6,2,0)</f>
        <v>95</v>
      </c>
      <c r="J168" s="182">
        <f>VLOOKUP(C168,$M$3:$O$6,3,0)</f>
        <v>180</v>
      </c>
      <c r="K168" s="182">
        <f t="shared" si="47"/>
        <v>85</v>
      </c>
      <c r="L168" s="181">
        <f t="shared" si="48"/>
        <v>0.47222222222222221</v>
      </c>
      <c r="M168" s="180" t="s">
        <v>777</v>
      </c>
    </row>
    <row r="169" spans="1:13" ht="18.75" customHeight="1">
      <c r="A169" s="180" t="s">
        <v>806</v>
      </c>
      <c r="B169" s="180"/>
      <c r="C169" s="180" t="s">
        <v>785</v>
      </c>
      <c r="D169" s="180">
        <f t="shared" si="43"/>
        <v>1095</v>
      </c>
      <c r="E169" s="184">
        <v>44992</v>
      </c>
      <c r="F169" s="184">
        <f t="shared" si="44"/>
        <v>46087</v>
      </c>
      <c r="G169" s="184">
        <f t="shared" si="45"/>
        <v>46057</v>
      </c>
      <c r="H169" s="180" t="str">
        <f t="shared" ca="1" si="46"/>
        <v>VÁLIDO</v>
      </c>
      <c r="I169" s="183">
        <v>218</v>
      </c>
      <c r="J169" s="182">
        <v>280</v>
      </c>
      <c r="K169" s="182">
        <f t="shared" si="47"/>
        <v>62</v>
      </c>
      <c r="L169" s="181">
        <f t="shared" si="48"/>
        <v>0.22142857142857142</v>
      </c>
      <c r="M169" s="180" t="s">
        <v>777</v>
      </c>
    </row>
    <row r="170" spans="1:13" ht="18.75" customHeight="1">
      <c r="A170" s="180"/>
      <c r="B170" s="180" t="s">
        <v>805</v>
      </c>
      <c r="C170" s="180" t="s">
        <v>778</v>
      </c>
      <c r="D170" s="180">
        <f t="shared" si="43"/>
        <v>365</v>
      </c>
      <c r="E170" s="184">
        <v>44993</v>
      </c>
      <c r="F170" s="184">
        <f t="shared" si="44"/>
        <v>45358</v>
      </c>
      <c r="G170" s="184">
        <f t="shared" si="45"/>
        <v>45328</v>
      </c>
      <c r="H170" s="180" t="str">
        <f t="shared" ca="1" si="46"/>
        <v>VENCIDO</v>
      </c>
      <c r="I170" s="183">
        <f t="shared" ref="I170:I202" si="49">VLOOKUP(C170,$M$3:$O$6,2,0)</f>
        <v>65</v>
      </c>
      <c r="J170" s="182">
        <f>VLOOKUP(C170,$M$3:$O$6,3,0)</f>
        <v>100</v>
      </c>
      <c r="K170" s="182">
        <f t="shared" si="47"/>
        <v>35</v>
      </c>
      <c r="L170" s="181">
        <f t="shared" si="48"/>
        <v>0.35</v>
      </c>
      <c r="M170" s="180" t="s">
        <v>777</v>
      </c>
    </row>
    <row r="171" spans="1:13" ht="18.75" customHeight="1">
      <c r="A171" s="180"/>
      <c r="B171" s="180" t="s">
        <v>804</v>
      </c>
      <c r="C171" s="180" t="s">
        <v>778</v>
      </c>
      <c r="D171" s="180">
        <f t="shared" si="43"/>
        <v>365</v>
      </c>
      <c r="E171" s="184">
        <v>44995</v>
      </c>
      <c r="F171" s="184">
        <f t="shared" si="44"/>
        <v>45360</v>
      </c>
      <c r="G171" s="184">
        <f t="shared" si="45"/>
        <v>45330</v>
      </c>
      <c r="H171" s="180" t="str">
        <f t="shared" ca="1" si="46"/>
        <v>VENCIDO</v>
      </c>
      <c r="I171" s="183">
        <f t="shared" si="49"/>
        <v>65</v>
      </c>
      <c r="J171" s="182">
        <f>VLOOKUP(C171,$M$3:$O$6,3,0)</f>
        <v>100</v>
      </c>
      <c r="K171" s="182">
        <f t="shared" si="47"/>
        <v>35</v>
      </c>
      <c r="L171" s="181">
        <f t="shared" si="48"/>
        <v>0.35</v>
      </c>
      <c r="M171" s="180" t="s">
        <v>777</v>
      </c>
    </row>
    <row r="172" spans="1:13" ht="18.75" customHeight="1">
      <c r="A172" s="180"/>
      <c r="B172" s="180" t="s">
        <v>803</v>
      </c>
      <c r="C172" s="180" t="s">
        <v>802</v>
      </c>
      <c r="D172" s="180">
        <f t="shared" si="43"/>
        <v>1095</v>
      </c>
      <c r="E172" s="184">
        <v>45000</v>
      </c>
      <c r="F172" s="184">
        <v>45366</v>
      </c>
      <c r="G172" s="184">
        <f t="shared" si="45"/>
        <v>45336</v>
      </c>
      <c r="H172" s="180" t="str">
        <f t="shared" ca="1" si="46"/>
        <v>VENCIDO</v>
      </c>
      <c r="I172" s="183">
        <f t="shared" si="49"/>
        <v>100</v>
      </c>
      <c r="J172" s="182">
        <v>190</v>
      </c>
      <c r="K172" s="182">
        <f t="shared" si="47"/>
        <v>90</v>
      </c>
      <c r="L172" s="181">
        <f t="shared" si="48"/>
        <v>0.47368421052631576</v>
      </c>
      <c r="M172" s="180"/>
    </row>
    <row r="173" spans="1:13" ht="18.75" customHeight="1">
      <c r="A173" s="180" t="s">
        <v>801</v>
      </c>
      <c r="B173" s="180" t="s">
        <v>800</v>
      </c>
      <c r="C173" s="180" t="s">
        <v>781</v>
      </c>
      <c r="D173" s="180">
        <f t="shared" si="43"/>
        <v>365</v>
      </c>
      <c r="E173" s="184">
        <v>45000</v>
      </c>
      <c r="F173" s="184">
        <f t="shared" ref="F173:F202" si="50">E173+D173</f>
        <v>45365</v>
      </c>
      <c r="G173" s="184">
        <f t="shared" si="45"/>
        <v>45335</v>
      </c>
      <c r="H173" s="180" t="str">
        <f t="shared" ca="1" si="46"/>
        <v>VENCIDO</v>
      </c>
      <c r="I173" s="183">
        <f t="shared" si="49"/>
        <v>95</v>
      </c>
      <c r="J173" s="182">
        <f t="shared" ref="J173:J185" si="51">VLOOKUP(C173,$M$3:$O$6,3,0)</f>
        <v>180</v>
      </c>
      <c r="K173" s="182">
        <f t="shared" si="47"/>
        <v>85</v>
      </c>
      <c r="L173" s="181">
        <f t="shared" si="48"/>
        <v>0.47222222222222221</v>
      </c>
      <c r="M173" s="180" t="s">
        <v>777</v>
      </c>
    </row>
    <row r="174" spans="1:13" ht="18.75" customHeight="1">
      <c r="A174" s="180" t="s">
        <v>246</v>
      </c>
      <c r="B174" s="180" t="s">
        <v>800</v>
      </c>
      <c r="C174" s="180" t="s">
        <v>781</v>
      </c>
      <c r="D174" s="180">
        <f t="shared" si="43"/>
        <v>365</v>
      </c>
      <c r="E174" s="184">
        <v>45000</v>
      </c>
      <c r="F174" s="184">
        <f t="shared" si="50"/>
        <v>45365</v>
      </c>
      <c r="G174" s="184">
        <f t="shared" si="45"/>
        <v>45335</v>
      </c>
      <c r="H174" s="180" t="str">
        <f t="shared" ca="1" si="46"/>
        <v>VENCIDO</v>
      </c>
      <c r="I174" s="183">
        <f t="shared" si="49"/>
        <v>95</v>
      </c>
      <c r="J174" s="182">
        <f t="shared" si="51"/>
        <v>180</v>
      </c>
      <c r="K174" s="182">
        <f t="shared" si="47"/>
        <v>85</v>
      </c>
      <c r="L174" s="181">
        <f t="shared" si="48"/>
        <v>0.47222222222222221</v>
      </c>
      <c r="M174" s="180" t="s">
        <v>777</v>
      </c>
    </row>
    <row r="175" spans="1:13" ht="18.75" customHeight="1">
      <c r="A175" s="180" t="s">
        <v>799</v>
      </c>
      <c r="B175" s="180" t="s">
        <v>799</v>
      </c>
      <c r="C175" s="180" t="s">
        <v>785</v>
      </c>
      <c r="D175" s="180">
        <f t="shared" si="43"/>
        <v>1095</v>
      </c>
      <c r="E175" s="184">
        <v>45005</v>
      </c>
      <c r="F175" s="184">
        <f t="shared" si="50"/>
        <v>46100</v>
      </c>
      <c r="G175" s="184">
        <f t="shared" si="45"/>
        <v>46070</v>
      </c>
      <c r="H175" s="180" t="str">
        <f t="shared" ca="1" si="46"/>
        <v>VÁLIDO</v>
      </c>
      <c r="I175" s="183">
        <f t="shared" si="49"/>
        <v>145</v>
      </c>
      <c r="J175" s="182">
        <f t="shared" si="51"/>
        <v>285</v>
      </c>
      <c r="K175" s="182">
        <f t="shared" si="47"/>
        <v>140</v>
      </c>
      <c r="L175" s="181">
        <f t="shared" si="48"/>
        <v>0.49122807017543857</v>
      </c>
      <c r="M175" s="180" t="s">
        <v>777</v>
      </c>
    </row>
    <row r="176" spans="1:13" ht="18.75" customHeight="1">
      <c r="A176" s="180"/>
      <c r="B176" s="180" t="s">
        <v>232</v>
      </c>
      <c r="C176" s="180" t="s">
        <v>778</v>
      </c>
      <c r="D176" s="180">
        <f t="shared" si="43"/>
        <v>365</v>
      </c>
      <c r="E176" s="184">
        <v>45007</v>
      </c>
      <c r="F176" s="184">
        <f t="shared" si="50"/>
        <v>45372</v>
      </c>
      <c r="G176" s="184">
        <f t="shared" si="45"/>
        <v>45342</v>
      </c>
      <c r="H176" s="180" t="str">
        <f t="shared" ca="1" si="46"/>
        <v>VENCIDO</v>
      </c>
      <c r="I176" s="183">
        <f t="shared" si="49"/>
        <v>65</v>
      </c>
      <c r="J176" s="182">
        <f t="shared" si="51"/>
        <v>100</v>
      </c>
      <c r="K176" s="182">
        <f t="shared" si="47"/>
        <v>35</v>
      </c>
      <c r="L176" s="181">
        <f t="shared" si="48"/>
        <v>0.35</v>
      </c>
      <c r="M176" s="180" t="s">
        <v>798</v>
      </c>
    </row>
    <row r="177" spans="1:14" ht="18.75" customHeight="1">
      <c r="A177" s="180"/>
      <c r="B177" s="180" t="s">
        <v>797</v>
      </c>
      <c r="C177" s="180" t="s">
        <v>778</v>
      </c>
      <c r="D177" s="180">
        <f t="shared" si="43"/>
        <v>365</v>
      </c>
      <c r="E177" s="184">
        <v>45007</v>
      </c>
      <c r="F177" s="184">
        <f t="shared" si="50"/>
        <v>45372</v>
      </c>
      <c r="G177" s="184">
        <f t="shared" si="45"/>
        <v>45342</v>
      </c>
      <c r="H177" s="180" t="str">
        <f t="shared" ca="1" si="46"/>
        <v>VENCIDO</v>
      </c>
      <c r="I177" s="183">
        <f t="shared" si="49"/>
        <v>65</v>
      </c>
      <c r="J177" s="182">
        <f t="shared" si="51"/>
        <v>100</v>
      </c>
      <c r="K177" s="182">
        <f t="shared" si="47"/>
        <v>35</v>
      </c>
      <c r="L177" s="181">
        <f t="shared" si="48"/>
        <v>0.35</v>
      </c>
      <c r="M177" s="180" t="s">
        <v>777</v>
      </c>
    </row>
    <row r="178" spans="1:14" ht="18.75" customHeight="1">
      <c r="A178" s="180"/>
      <c r="B178" s="180" t="s">
        <v>796</v>
      </c>
      <c r="C178" s="180" t="s">
        <v>778</v>
      </c>
      <c r="D178" s="180">
        <f t="shared" si="43"/>
        <v>365</v>
      </c>
      <c r="E178" s="184">
        <v>45016</v>
      </c>
      <c r="F178" s="184">
        <f t="shared" si="50"/>
        <v>45381</v>
      </c>
      <c r="G178" s="184">
        <f t="shared" si="45"/>
        <v>45351</v>
      </c>
      <c r="H178" s="180" t="str">
        <f t="shared" ca="1" si="46"/>
        <v>VENCIDO</v>
      </c>
      <c r="I178" s="183">
        <f t="shared" si="49"/>
        <v>65</v>
      </c>
      <c r="J178" s="182">
        <f t="shared" si="51"/>
        <v>100</v>
      </c>
      <c r="K178" s="182">
        <f t="shared" si="47"/>
        <v>35</v>
      </c>
      <c r="L178" s="181">
        <f t="shared" si="48"/>
        <v>0.35</v>
      </c>
      <c r="M178" s="180" t="s">
        <v>777</v>
      </c>
    </row>
    <row r="179" spans="1:14" ht="18.75" customHeight="1">
      <c r="A179" s="180" t="s">
        <v>795</v>
      </c>
      <c r="B179" s="180" t="s">
        <v>795</v>
      </c>
      <c r="C179" s="180" t="s">
        <v>781</v>
      </c>
      <c r="D179" s="180">
        <f t="shared" si="43"/>
        <v>365</v>
      </c>
      <c r="E179" s="184">
        <v>45022</v>
      </c>
      <c r="F179" s="184">
        <f t="shared" si="50"/>
        <v>45387</v>
      </c>
      <c r="G179" s="184">
        <f t="shared" si="45"/>
        <v>45357</v>
      </c>
      <c r="H179" s="180" t="str">
        <f t="shared" ca="1" si="46"/>
        <v>VENCIDO</v>
      </c>
      <c r="I179" s="183">
        <f t="shared" si="49"/>
        <v>95</v>
      </c>
      <c r="J179" s="182">
        <f t="shared" si="51"/>
        <v>180</v>
      </c>
      <c r="K179" s="182">
        <f t="shared" si="47"/>
        <v>85</v>
      </c>
      <c r="L179" s="181">
        <f t="shared" si="48"/>
        <v>0.47222222222222221</v>
      </c>
      <c r="M179" s="180" t="s">
        <v>777</v>
      </c>
    </row>
    <row r="180" spans="1:14" ht="18.75" customHeight="1">
      <c r="A180" s="180" t="s">
        <v>794</v>
      </c>
      <c r="B180" s="180" t="s">
        <v>793</v>
      </c>
      <c r="C180" s="180" t="s">
        <v>778</v>
      </c>
      <c r="D180" s="180">
        <f t="shared" si="43"/>
        <v>365</v>
      </c>
      <c r="E180" s="184">
        <v>45035</v>
      </c>
      <c r="F180" s="184">
        <f t="shared" si="50"/>
        <v>45400</v>
      </c>
      <c r="G180" s="184">
        <f t="shared" si="45"/>
        <v>45370</v>
      </c>
      <c r="H180" s="180" t="str">
        <f t="shared" ca="1" si="46"/>
        <v>VENCIDO</v>
      </c>
      <c r="I180" s="183">
        <f t="shared" si="49"/>
        <v>65</v>
      </c>
      <c r="J180" s="182">
        <f t="shared" si="51"/>
        <v>100</v>
      </c>
      <c r="K180" s="182">
        <f t="shared" si="47"/>
        <v>35</v>
      </c>
      <c r="L180" s="181">
        <f t="shared" si="48"/>
        <v>0.35</v>
      </c>
      <c r="M180" s="180" t="s">
        <v>777</v>
      </c>
    </row>
    <row r="181" spans="1:14" ht="18.75" customHeight="1">
      <c r="A181" s="180" t="s">
        <v>792</v>
      </c>
      <c r="B181" s="180" t="s">
        <v>792</v>
      </c>
      <c r="C181" s="180" t="s">
        <v>778</v>
      </c>
      <c r="D181" s="180">
        <f t="shared" si="43"/>
        <v>365</v>
      </c>
      <c r="E181" s="184">
        <v>45036</v>
      </c>
      <c r="F181" s="184">
        <f t="shared" si="50"/>
        <v>45401</v>
      </c>
      <c r="G181" s="184">
        <f t="shared" si="45"/>
        <v>45371</v>
      </c>
      <c r="H181" s="180" t="str">
        <f t="shared" ca="1" si="46"/>
        <v>VENCIDO</v>
      </c>
      <c r="I181" s="183">
        <f t="shared" si="49"/>
        <v>65</v>
      </c>
      <c r="J181" s="182">
        <f t="shared" si="51"/>
        <v>100</v>
      </c>
      <c r="K181" s="182">
        <f t="shared" si="47"/>
        <v>35</v>
      </c>
      <c r="L181" s="181">
        <f t="shared" si="48"/>
        <v>0.35</v>
      </c>
      <c r="M181" s="180" t="s">
        <v>777</v>
      </c>
    </row>
    <row r="182" spans="1:14" ht="18.75" customHeight="1">
      <c r="A182" s="180" t="s">
        <v>791</v>
      </c>
      <c r="B182" s="180" t="s">
        <v>680</v>
      </c>
      <c r="C182" s="180" t="s">
        <v>785</v>
      </c>
      <c r="D182" s="180">
        <f t="shared" si="43"/>
        <v>1095</v>
      </c>
      <c r="E182" s="184">
        <v>45040</v>
      </c>
      <c r="F182" s="184">
        <f t="shared" si="50"/>
        <v>46135</v>
      </c>
      <c r="G182" s="184">
        <f t="shared" si="45"/>
        <v>46105</v>
      </c>
      <c r="H182" s="180" t="str">
        <f t="shared" ca="1" si="46"/>
        <v>VÁLIDO</v>
      </c>
      <c r="I182" s="183">
        <f t="shared" si="49"/>
        <v>145</v>
      </c>
      <c r="J182" s="182">
        <f t="shared" si="51"/>
        <v>285</v>
      </c>
      <c r="K182" s="182">
        <f t="shared" si="47"/>
        <v>140</v>
      </c>
      <c r="L182" s="181">
        <f t="shared" si="48"/>
        <v>0.49122807017543857</v>
      </c>
      <c r="M182" s="180" t="s">
        <v>777</v>
      </c>
    </row>
    <row r="183" spans="1:14" ht="18.75" customHeight="1">
      <c r="A183" s="180" t="s">
        <v>165</v>
      </c>
      <c r="B183" s="180" t="s">
        <v>790</v>
      </c>
      <c r="C183" s="180" t="s">
        <v>781</v>
      </c>
      <c r="D183" s="180">
        <f t="shared" si="43"/>
        <v>365</v>
      </c>
      <c r="E183" s="184">
        <v>45040</v>
      </c>
      <c r="F183" s="184">
        <f t="shared" si="50"/>
        <v>45405</v>
      </c>
      <c r="G183" s="184">
        <f t="shared" si="45"/>
        <v>45375</v>
      </c>
      <c r="H183" s="180" t="str">
        <f t="shared" ca="1" si="46"/>
        <v>VENCIDO</v>
      </c>
      <c r="I183" s="183">
        <f t="shared" si="49"/>
        <v>95</v>
      </c>
      <c r="J183" s="182">
        <f t="shared" si="51"/>
        <v>180</v>
      </c>
      <c r="K183" s="182">
        <f t="shared" si="47"/>
        <v>85</v>
      </c>
      <c r="L183" s="181">
        <f t="shared" si="48"/>
        <v>0.47222222222222221</v>
      </c>
      <c r="M183" s="180" t="s">
        <v>777</v>
      </c>
    </row>
    <row r="184" spans="1:14" ht="18.75" customHeight="1">
      <c r="A184" s="180" t="s">
        <v>789</v>
      </c>
      <c r="B184" s="180" t="s">
        <v>789</v>
      </c>
      <c r="C184" s="180" t="s">
        <v>778</v>
      </c>
      <c r="D184" s="180">
        <f t="shared" si="43"/>
        <v>365</v>
      </c>
      <c r="E184" s="184">
        <v>45049</v>
      </c>
      <c r="F184" s="184">
        <f t="shared" si="50"/>
        <v>45414</v>
      </c>
      <c r="G184" s="184">
        <f t="shared" si="45"/>
        <v>45384</v>
      </c>
      <c r="H184" s="180" t="str">
        <f t="shared" ca="1" si="46"/>
        <v>VENCIDO</v>
      </c>
      <c r="I184" s="183">
        <f t="shared" si="49"/>
        <v>65</v>
      </c>
      <c r="J184" s="182">
        <f t="shared" si="51"/>
        <v>100</v>
      </c>
      <c r="K184" s="182">
        <f t="shared" si="47"/>
        <v>35</v>
      </c>
      <c r="L184" s="181">
        <f t="shared" si="48"/>
        <v>0.35</v>
      </c>
      <c r="M184" s="180" t="s">
        <v>777</v>
      </c>
    </row>
    <row r="185" spans="1:14" ht="18.75" customHeight="1">
      <c r="A185" s="186" t="s">
        <v>788</v>
      </c>
      <c r="B185" s="180" t="s">
        <v>788</v>
      </c>
      <c r="C185" s="180" t="s">
        <v>778</v>
      </c>
      <c r="D185" s="180">
        <f t="shared" si="43"/>
        <v>365</v>
      </c>
      <c r="E185" s="184">
        <v>45054</v>
      </c>
      <c r="F185" s="184">
        <f t="shared" si="50"/>
        <v>45419</v>
      </c>
      <c r="G185" s="184">
        <f t="shared" si="45"/>
        <v>45389</v>
      </c>
      <c r="H185" s="180" t="str">
        <f t="shared" ca="1" si="46"/>
        <v>VENCIDO</v>
      </c>
      <c r="I185" s="183">
        <f t="shared" si="49"/>
        <v>65</v>
      </c>
      <c r="J185" s="182">
        <f t="shared" si="51"/>
        <v>100</v>
      </c>
      <c r="K185" s="182">
        <f t="shared" si="47"/>
        <v>35</v>
      </c>
      <c r="L185" s="181">
        <f t="shared" si="48"/>
        <v>0.35</v>
      </c>
      <c r="M185" s="180" t="s">
        <v>777</v>
      </c>
    </row>
    <row r="186" spans="1:14" ht="18.75" customHeight="1">
      <c r="A186" s="180" t="s">
        <v>163</v>
      </c>
      <c r="B186" s="180" t="s">
        <v>163</v>
      </c>
      <c r="C186" s="180" t="s">
        <v>781</v>
      </c>
      <c r="D186" s="180">
        <f t="shared" si="43"/>
        <v>365</v>
      </c>
      <c r="E186" s="184">
        <v>45055</v>
      </c>
      <c r="F186" s="184">
        <f t="shared" si="50"/>
        <v>45420</v>
      </c>
      <c r="G186" s="184">
        <f t="shared" si="45"/>
        <v>45390</v>
      </c>
      <c r="H186" s="180" t="str">
        <f t="shared" ca="1" si="46"/>
        <v>VENCIDO</v>
      </c>
      <c r="I186" s="183">
        <f t="shared" si="49"/>
        <v>95</v>
      </c>
      <c r="J186" s="185">
        <v>150</v>
      </c>
      <c r="K186" s="182">
        <f t="shared" si="47"/>
        <v>55</v>
      </c>
      <c r="L186" s="181">
        <f t="shared" si="48"/>
        <v>0.36666666666666664</v>
      </c>
      <c r="M186" s="180" t="s">
        <v>777</v>
      </c>
    </row>
    <row r="187" spans="1:14" ht="18.75" customHeight="1">
      <c r="A187" s="180" t="s">
        <v>787</v>
      </c>
      <c r="B187" s="180" t="s">
        <v>786</v>
      </c>
      <c r="C187" s="180" t="s">
        <v>785</v>
      </c>
      <c r="D187" s="180">
        <f t="shared" si="43"/>
        <v>1095</v>
      </c>
      <c r="E187" s="184">
        <v>45064</v>
      </c>
      <c r="F187" s="184">
        <f t="shared" si="50"/>
        <v>46159</v>
      </c>
      <c r="G187" s="184">
        <f t="shared" si="45"/>
        <v>46129</v>
      </c>
      <c r="H187" s="180" t="str">
        <f t="shared" ca="1" si="46"/>
        <v>VÁLIDO</v>
      </c>
      <c r="I187" s="183">
        <f t="shared" si="49"/>
        <v>145</v>
      </c>
      <c r="J187" s="182">
        <v>340</v>
      </c>
      <c r="K187" s="182">
        <f t="shared" si="47"/>
        <v>195</v>
      </c>
      <c r="L187" s="181">
        <f t="shared" si="48"/>
        <v>0.57352941176470584</v>
      </c>
      <c r="M187" s="180" t="s">
        <v>777</v>
      </c>
      <c r="N187" s="177" t="s">
        <v>784</v>
      </c>
    </row>
    <row r="188" spans="1:14" ht="18.75" customHeight="1">
      <c r="A188" s="180" t="s">
        <v>198</v>
      </c>
      <c r="B188" s="180" t="s">
        <v>198</v>
      </c>
      <c r="C188" s="180" t="s">
        <v>778</v>
      </c>
      <c r="D188" s="180">
        <f t="shared" si="43"/>
        <v>365</v>
      </c>
      <c r="E188" s="184">
        <v>45064</v>
      </c>
      <c r="F188" s="184">
        <f t="shared" si="50"/>
        <v>45429</v>
      </c>
      <c r="G188" s="184">
        <f t="shared" si="45"/>
        <v>45399</v>
      </c>
      <c r="H188" s="180" t="str">
        <f t="shared" ca="1" si="46"/>
        <v>VENCIDO</v>
      </c>
      <c r="I188" s="183">
        <f t="shared" si="49"/>
        <v>65</v>
      </c>
      <c r="J188" s="182">
        <f>VLOOKUP(C188,$M$3:$O$6,3,0)</f>
        <v>100</v>
      </c>
      <c r="K188" s="182">
        <f t="shared" si="47"/>
        <v>35</v>
      </c>
      <c r="L188" s="181">
        <f t="shared" si="48"/>
        <v>0.35</v>
      </c>
      <c r="M188" s="180" t="s">
        <v>777</v>
      </c>
    </row>
    <row r="189" spans="1:14" ht="18.75" customHeight="1">
      <c r="A189" s="180" t="s">
        <v>783</v>
      </c>
      <c r="B189" s="180"/>
      <c r="C189" s="180" t="s">
        <v>778</v>
      </c>
      <c r="D189" s="180">
        <f t="shared" si="43"/>
        <v>365</v>
      </c>
      <c r="E189" s="184">
        <v>45077</v>
      </c>
      <c r="F189" s="184">
        <f t="shared" si="50"/>
        <v>45442</v>
      </c>
      <c r="G189" s="184">
        <f t="shared" ref="G189:G202" si="52">F189-30</f>
        <v>45412</v>
      </c>
      <c r="H189" s="180" t="str">
        <f t="shared" ref="H189:H202" ca="1" si="53">IF($A$6&lt;G189,"VÁLIDO",IF($A$6&gt;F189,"VENCIDO","A VENCER"))</f>
        <v>VENCIDO</v>
      </c>
      <c r="I189" s="183">
        <f t="shared" si="49"/>
        <v>65</v>
      </c>
      <c r="J189" s="182">
        <f>VLOOKUP(C189,$M$3:$O$6,3,0)</f>
        <v>100</v>
      </c>
      <c r="K189" s="182">
        <f t="shared" ref="K189:K202" si="54">J189-I189</f>
        <v>35</v>
      </c>
      <c r="L189" s="181">
        <f t="shared" ref="L189:L202" si="55">K189/J189</f>
        <v>0.35</v>
      </c>
      <c r="M189" s="180" t="s">
        <v>777</v>
      </c>
    </row>
    <row r="190" spans="1:14" ht="18.75" customHeight="1">
      <c r="A190" s="180" t="s">
        <v>782</v>
      </c>
      <c r="B190" s="180" t="s">
        <v>782</v>
      </c>
      <c r="C190" s="180" t="s">
        <v>781</v>
      </c>
      <c r="D190" s="180">
        <f t="shared" si="43"/>
        <v>365</v>
      </c>
      <c r="E190" s="184">
        <v>45078</v>
      </c>
      <c r="F190" s="184">
        <f t="shared" si="50"/>
        <v>45443</v>
      </c>
      <c r="G190" s="184">
        <f t="shared" si="52"/>
        <v>45413</v>
      </c>
      <c r="H190" s="180" t="str">
        <f t="shared" ca="1" si="53"/>
        <v>VENCIDO</v>
      </c>
      <c r="I190" s="183">
        <f t="shared" si="49"/>
        <v>95</v>
      </c>
      <c r="J190" s="182">
        <v>150</v>
      </c>
      <c r="K190" s="182">
        <f t="shared" si="54"/>
        <v>55</v>
      </c>
      <c r="L190" s="181">
        <f t="shared" si="55"/>
        <v>0.36666666666666664</v>
      </c>
      <c r="M190" s="180" t="s">
        <v>777</v>
      </c>
    </row>
    <row r="191" spans="1:14" ht="18.75" customHeight="1">
      <c r="A191" s="180" t="s">
        <v>590</v>
      </c>
      <c r="B191" s="180" t="s">
        <v>590</v>
      </c>
      <c r="C191" s="180" t="s">
        <v>778</v>
      </c>
      <c r="D191" s="180">
        <f t="shared" si="43"/>
        <v>365</v>
      </c>
      <c r="E191" s="184">
        <v>45082</v>
      </c>
      <c r="F191" s="184">
        <f t="shared" si="50"/>
        <v>45447</v>
      </c>
      <c r="G191" s="184">
        <f t="shared" si="52"/>
        <v>45417</v>
      </c>
      <c r="H191" s="180" t="str">
        <f t="shared" ca="1" si="53"/>
        <v>VENCIDO</v>
      </c>
      <c r="I191" s="183">
        <f t="shared" si="49"/>
        <v>65</v>
      </c>
      <c r="J191" s="182">
        <f>VLOOKUP(C191,$M$3:$O$6,3,0)</f>
        <v>100</v>
      </c>
      <c r="K191" s="182">
        <f t="shared" si="54"/>
        <v>35</v>
      </c>
      <c r="L191" s="181">
        <f t="shared" si="55"/>
        <v>0.35</v>
      </c>
      <c r="M191" s="180" t="s">
        <v>777</v>
      </c>
    </row>
    <row r="192" spans="1:14" ht="18.75" customHeight="1">
      <c r="A192" s="180" t="s">
        <v>590</v>
      </c>
      <c r="B192" s="180" t="s">
        <v>590</v>
      </c>
      <c r="C192" s="180" t="s">
        <v>781</v>
      </c>
      <c r="D192" s="180">
        <f t="shared" si="43"/>
        <v>365</v>
      </c>
      <c r="E192" s="184">
        <v>45082</v>
      </c>
      <c r="F192" s="184">
        <f t="shared" si="50"/>
        <v>45447</v>
      </c>
      <c r="G192" s="184">
        <f t="shared" si="52"/>
        <v>45417</v>
      </c>
      <c r="H192" s="180" t="str">
        <f t="shared" ca="1" si="53"/>
        <v>VENCIDO</v>
      </c>
      <c r="I192" s="183">
        <f t="shared" si="49"/>
        <v>95</v>
      </c>
      <c r="J192" s="182">
        <v>150</v>
      </c>
      <c r="K192" s="182">
        <f t="shared" si="54"/>
        <v>55</v>
      </c>
      <c r="L192" s="181">
        <f t="shared" si="55"/>
        <v>0.36666666666666664</v>
      </c>
      <c r="M192" s="180" t="s">
        <v>777</v>
      </c>
    </row>
    <row r="193" spans="1:13" ht="18.75" customHeight="1">
      <c r="A193" s="180" t="s">
        <v>780</v>
      </c>
      <c r="B193" s="180" t="s">
        <v>780</v>
      </c>
      <c r="C193" s="180" t="s">
        <v>778</v>
      </c>
      <c r="D193" s="180">
        <f t="shared" si="43"/>
        <v>365</v>
      </c>
      <c r="E193" s="184">
        <v>45083</v>
      </c>
      <c r="F193" s="184">
        <f t="shared" si="50"/>
        <v>45448</v>
      </c>
      <c r="G193" s="184">
        <f t="shared" si="52"/>
        <v>45418</v>
      </c>
      <c r="H193" s="180" t="str">
        <f t="shared" ca="1" si="53"/>
        <v>VENCIDO</v>
      </c>
      <c r="I193" s="183">
        <f t="shared" si="49"/>
        <v>65</v>
      </c>
      <c r="J193" s="182">
        <f t="shared" ref="J193:J202" si="56">VLOOKUP(C193,$M$3:$O$6,3,0)</f>
        <v>100</v>
      </c>
      <c r="K193" s="182">
        <f t="shared" si="54"/>
        <v>35</v>
      </c>
      <c r="L193" s="181">
        <f t="shared" si="55"/>
        <v>0.35</v>
      </c>
      <c r="M193" s="180" t="s">
        <v>777</v>
      </c>
    </row>
    <row r="194" spans="1:13" ht="18.75" customHeight="1">
      <c r="A194" s="180" t="s">
        <v>779</v>
      </c>
      <c r="B194" s="180" t="s">
        <v>779</v>
      </c>
      <c r="C194" s="180" t="s">
        <v>778</v>
      </c>
      <c r="D194" s="180">
        <f t="shared" si="43"/>
        <v>365</v>
      </c>
      <c r="E194" s="184">
        <v>45089</v>
      </c>
      <c r="F194" s="184">
        <f t="shared" si="50"/>
        <v>45454</v>
      </c>
      <c r="G194" s="184">
        <f t="shared" si="52"/>
        <v>45424</v>
      </c>
      <c r="H194" s="180" t="str">
        <f t="shared" ca="1" si="53"/>
        <v>VENCIDO</v>
      </c>
      <c r="I194" s="183">
        <f t="shared" si="49"/>
        <v>65</v>
      </c>
      <c r="J194" s="182">
        <f t="shared" si="56"/>
        <v>100</v>
      </c>
      <c r="K194" s="182">
        <f t="shared" si="54"/>
        <v>35</v>
      </c>
      <c r="L194" s="181">
        <f t="shared" si="55"/>
        <v>0.35</v>
      </c>
      <c r="M194" s="180" t="s">
        <v>777</v>
      </c>
    </row>
    <row r="195" spans="1:13" ht="18.75" customHeight="1">
      <c r="A195" s="180" t="s">
        <v>960</v>
      </c>
      <c r="B195" s="180" t="s">
        <v>961</v>
      </c>
      <c r="C195" s="180" t="s">
        <v>781</v>
      </c>
      <c r="D195" s="180">
        <f t="shared" si="43"/>
        <v>365</v>
      </c>
      <c r="E195" s="184">
        <v>45091</v>
      </c>
      <c r="F195" s="184">
        <f t="shared" si="50"/>
        <v>45456</v>
      </c>
      <c r="G195" s="184">
        <f t="shared" si="52"/>
        <v>45426</v>
      </c>
      <c r="H195" s="180" t="str">
        <f t="shared" ca="1" si="53"/>
        <v>VENCIDO</v>
      </c>
      <c r="I195" s="183">
        <f t="shared" si="49"/>
        <v>95</v>
      </c>
      <c r="J195" s="182">
        <v>150</v>
      </c>
      <c r="K195" s="182">
        <f t="shared" si="54"/>
        <v>55</v>
      </c>
      <c r="L195" s="181">
        <f t="shared" si="55"/>
        <v>0.36666666666666664</v>
      </c>
      <c r="M195" s="180" t="s">
        <v>777</v>
      </c>
    </row>
    <row r="196" spans="1:13" ht="18.75" customHeight="1">
      <c r="A196" s="180" t="s">
        <v>963</v>
      </c>
      <c r="B196" s="180" t="s">
        <v>962</v>
      </c>
      <c r="C196" s="180" t="s">
        <v>781</v>
      </c>
      <c r="D196" s="180">
        <f t="shared" si="43"/>
        <v>365</v>
      </c>
      <c r="E196" s="184">
        <v>45096</v>
      </c>
      <c r="F196" s="184">
        <f t="shared" si="50"/>
        <v>45461</v>
      </c>
      <c r="G196" s="184">
        <f t="shared" si="52"/>
        <v>45431</v>
      </c>
      <c r="H196" s="180" t="str">
        <f t="shared" ca="1" si="53"/>
        <v>VENCIDO</v>
      </c>
      <c r="I196" s="183">
        <f t="shared" si="49"/>
        <v>95</v>
      </c>
      <c r="J196" s="182">
        <v>150</v>
      </c>
      <c r="K196" s="182">
        <f t="shared" si="54"/>
        <v>55</v>
      </c>
      <c r="L196" s="181">
        <f t="shared" si="55"/>
        <v>0.36666666666666664</v>
      </c>
      <c r="M196" s="180" t="s">
        <v>777</v>
      </c>
    </row>
    <row r="197" spans="1:13" ht="18.75" customHeight="1">
      <c r="A197" s="180" t="s">
        <v>973</v>
      </c>
      <c r="B197" s="180" t="s">
        <v>973</v>
      </c>
      <c r="C197" s="180" t="s">
        <v>778</v>
      </c>
      <c r="D197" s="180">
        <f t="shared" si="43"/>
        <v>365</v>
      </c>
      <c r="E197" s="184">
        <v>45099</v>
      </c>
      <c r="F197" s="184">
        <f t="shared" si="50"/>
        <v>45464</v>
      </c>
      <c r="G197" s="184">
        <f t="shared" si="52"/>
        <v>45434</v>
      </c>
      <c r="H197" s="180" t="str">
        <f t="shared" ca="1" si="53"/>
        <v>VENCIDO</v>
      </c>
      <c r="I197" s="183">
        <f t="shared" si="49"/>
        <v>65</v>
      </c>
      <c r="J197" s="182">
        <f t="shared" si="56"/>
        <v>100</v>
      </c>
      <c r="K197" s="182">
        <f t="shared" si="54"/>
        <v>35</v>
      </c>
      <c r="L197" s="181">
        <f t="shared" si="55"/>
        <v>0.35</v>
      </c>
      <c r="M197" s="180" t="s">
        <v>777</v>
      </c>
    </row>
    <row r="198" spans="1:13" ht="18.75" customHeight="1">
      <c r="A198" s="180" t="s">
        <v>983</v>
      </c>
      <c r="B198" s="180" t="s">
        <v>984</v>
      </c>
      <c r="C198" s="180" t="s">
        <v>778</v>
      </c>
      <c r="D198" s="180">
        <f t="shared" si="43"/>
        <v>365</v>
      </c>
      <c r="E198" s="184">
        <v>45103</v>
      </c>
      <c r="F198" s="184">
        <f t="shared" si="50"/>
        <v>45468</v>
      </c>
      <c r="G198" s="184">
        <f t="shared" si="52"/>
        <v>45438</v>
      </c>
      <c r="H198" s="180" t="str">
        <f t="shared" ca="1" si="53"/>
        <v>VENCIDO</v>
      </c>
      <c r="I198" s="183">
        <f t="shared" si="49"/>
        <v>65</v>
      </c>
      <c r="J198" s="182">
        <f t="shared" si="56"/>
        <v>100</v>
      </c>
      <c r="K198" s="182">
        <f t="shared" si="54"/>
        <v>35</v>
      </c>
      <c r="L198" s="181">
        <f t="shared" si="55"/>
        <v>0.35</v>
      </c>
      <c r="M198" s="180" t="s">
        <v>777</v>
      </c>
    </row>
    <row r="199" spans="1:13" ht="18.75" customHeight="1">
      <c r="A199" s="180" t="s">
        <v>872</v>
      </c>
      <c r="B199" s="180" t="s">
        <v>231</v>
      </c>
      <c r="C199" s="180" t="s">
        <v>985</v>
      </c>
      <c r="D199" s="180">
        <f t="shared" si="43"/>
        <v>365</v>
      </c>
      <c r="E199" s="184">
        <v>45103</v>
      </c>
      <c r="F199" s="184">
        <f t="shared" si="50"/>
        <v>45468</v>
      </c>
      <c r="G199" s="184">
        <f t="shared" si="52"/>
        <v>45438</v>
      </c>
      <c r="H199" s="180" t="str">
        <f t="shared" ca="1" si="53"/>
        <v>VENCIDO</v>
      </c>
      <c r="I199" s="183">
        <f t="shared" si="49"/>
        <v>95</v>
      </c>
      <c r="J199" s="182">
        <v>150</v>
      </c>
      <c r="K199" s="182">
        <f t="shared" si="54"/>
        <v>55</v>
      </c>
      <c r="L199" s="181">
        <f t="shared" si="55"/>
        <v>0.36666666666666664</v>
      </c>
      <c r="M199" s="180" t="s">
        <v>777</v>
      </c>
    </row>
    <row r="200" spans="1:13" ht="18.75" customHeight="1">
      <c r="A200" s="180" t="s">
        <v>986</v>
      </c>
      <c r="B200" s="180" t="s">
        <v>986</v>
      </c>
      <c r="C200" s="180" t="s">
        <v>778</v>
      </c>
      <c r="D200" s="180">
        <f t="shared" si="43"/>
        <v>365</v>
      </c>
      <c r="E200" s="184">
        <v>45103</v>
      </c>
      <c r="F200" s="184">
        <f t="shared" si="50"/>
        <v>45468</v>
      </c>
      <c r="G200" s="184">
        <f t="shared" si="52"/>
        <v>45438</v>
      </c>
      <c r="H200" s="180" t="str">
        <f t="shared" ca="1" si="53"/>
        <v>VENCIDO</v>
      </c>
      <c r="I200" s="183">
        <f t="shared" si="49"/>
        <v>65</v>
      </c>
      <c r="J200" s="182">
        <f t="shared" si="56"/>
        <v>100</v>
      </c>
      <c r="K200" s="182">
        <f t="shared" si="54"/>
        <v>35</v>
      </c>
      <c r="L200" s="181">
        <f t="shared" si="55"/>
        <v>0.35</v>
      </c>
      <c r="M200" s="180" t="s">
        <v>777</v>
      </c>
    </row>
    <row r="201" spans="1:13" ht="18.75" customHeight="1">
      <c r="A201" s="180" t="s">
        <v>938</v>
      </c>
      <c r="B201" s="180" t="s">
        <v>938</v>
      </c>
      <c r="C201" s="180" t="s">
        <v>778</v>
      </c>
      <c r="D201" s="180">
        <f t="shared" si="43"/>
        <v>365</v>
      </c>
      <c r="E201" s="184">
        <v>45103</v>
      </c>
      <c r="F201" s="184">
        <f t="shared" si="50"/>
        <v>45468</v>
      </c>
      <c r="G201" s="184">
        <f t="shared" si="52"/>
        <v>45438</v>
      </c>
      <c r="H201" s="180" t="str">
        <f t="shared" ca="1" si="53"/>
        <v>VENCIDO</v>
      </c>
      <c r="I201" s="183">
        <f t="shared" si="49"/>
        <v>65</v>
      </c>
      <c r="J201" s="182">
        <f t="shared" si="56"/>
        <v>100</v>
      </c>
      <c r="K201" s="182">
        <f t="shared" si="54"/>
        <v>35</v>
      </c>
      <c r="L201" s="181">
        <f t="shared" si="55"/>
        <v>0.35</v>
      </c>
      <c r="M201" s="180" t="s">
        <v>777</v>
      </c>
    </row>
    <row r="202" spans="1:13" ht="18.75" customHeight="1">
      <c r="A202" s="180" t="s">
        <v>919</v>
      </c>
      <c r="B202" s="180" t="s">
        <v>919</v>
      </c>
      <c r="C202" s="180" t="s">
        <v>778</v>
      </c>
      <c r="D202" s="180">
        <f t="shared" si="43"/>
        <v>365</v>
      </c>
      <c r="E202" s="184">
        <v>45104</v>
      </c>
      <c r="F202" s="184">
        <f t="shared" si="50"/>
        <v>45469</v>
      </c>
      <c r="G202" s="184">
        <f t="shared" si="52"/>
        <v>45439</v>
      </c>
      <c r="H202" s="180" t="str">
        <f t="shared" ca="1" si="53"/>
        <v>VENCIDO</v>
      </c>
      <c r="I202" s="183">
        <f t="shared" si="49"/>
        <v>65</v>
      </c>
      <c r="J202" s="182">
        <f t="shared" si="56"/>
        <v>100</v>
      </c>
      <c r="K202" s="182">
        <f t="shared" si="54"/>
        <v>35</v>
      </c>
      <c r="L202" s="181">
        <f t="shared" si="55"/>
        <v>0.35</v>
      </c>
      <c r="M202" s="180" t="s">
        <v>777</v>
      </c>
    </row>
    <row r="203" spans="1:13" ht="18.75" customHeight="1">
      <c r="A203" s="180" t="s">
        <v>987</v>
      </c>
      <c r="B203" s="180" t="s">
        <v>988</v>
      </c>
      <c r="C203" s="180" t="s">
        <v>778</v>
      </c>
      <c r="D203" s="180">
        <f>IF(C203="A1 - 1 ano PJ",365,IF(C203="A1 - 1 ano PF",365,(365*3)))</f>
        <v>365</v>
      </c>
      <c r="E203" s="184">
        <v>45106</v>
      </c>
      <c r="F203" s="184">
        <f>E203+D203</f>
        <v>45471</v>
      </c>
      <c r="G203" s="184">
        <f>F203-30</f>
        <v>45441</v>
      </c>
      <c r="H203" s="180" t="str">
        <f ca="1">IF($A$6&lt;G203,"VÁLIDO",IF($A$6&gt;F203,"VENCIDO","A VENCER"))</f>
        <v>VENCIDO</v>
      </c>
      <c r="I203" s="183">
        <f>VLOOKUP(C203,$M$3:$O$6,2,0)</f>
        <v>65</v>
      </c>
      <c r="J203" s="182">
        <f>VLOOKUP(C203,$M$3:$O$6,3,0)</f>
        <v>100</v>
      </c>
      <c r="K203" s="182">
        <f>J203-I203</f>
        <v>35</v>
      </c>
      <c r="L203" s="181">
        <f>K203/J203</f>
        <v>0.35</v>
      </c>
      <c r="M203" s="180" t="s">
        <v>777</v>
      </c>
    </row>
    <row r="204" spans="1:13" ht="18.75" customHeight="1">
      <c r="A204" s="180" t="s">
        <v>989</v>
      </c>
      <c r="B204" s="180" t="s">
        <v>989</v>
      </c>
      <c r="C204" s="180" t="s">
        <v>778</v>
      </c>
      <c r="D204" s="180">
        <f t="shared" ref="D204:D267" si="57">IF(C204="A1 - 1 ano PJ",365,IF(C204="A1 - 1 ano PF",365,(365*3)))</f>
        <v>365</v>
      </c>
      <c r="E204" s="184">
        <v>45106</v>
      </c>
      <c r="F204" s="184">
        <f>E204+D204</f>
        <v>45471</v>
      </c>
      <c r="G204" s="184">
        <f t="shared" ref="G204:G267" si="58">F204-30</f>
        <v>45441</v>
      </c>
      <c r="H204" s="180" t="str">
        <f ca="1">IF($A$6&lt;G204,"VÁLIDO",IF($A$6&gt;F204,"VENCIDO","A VENCER"))</f>
        <v>VENCIDO</v>
      </c>
      <c r="I204" s="183">
        <f>VLOOKUP(C204,$M$3:$O$6,2,0)</f>
        <v>65</v>
      </c>
      <c r="J204" s="182">
        <f>VLOOKUP(C204,$M$3:$O$6,3,0)</f>
        <v>100</v>
      </c>
      <c r="K204" s="182">
        <f>J204-I204</f>
        <v>35</v>
      </c>
      <c r="L204" s="181">
        <f>K204/J204</f>
        <v>0.35</v>
      </c>
      <c r="M204" s="180" t="s">
        <v>777</v>
      </c>
    </row>
    <row r="205" spans="1:13" ht="18.75" customHeight="1">
      <c r="A205" s="180" t="s">
        <v>606</v>
      </c>
      <c r="B205" s="180" t="s">
        <v>606</v>
      </c>
      <c r="C205" s="180" t="s">
        <v>778</v>
      </c>
      <c r="D205" s="180">
        <f t="shared" si="57"/>
        <v>365</v>
      </c>
      <c r="E205" s="184">
        <v>45106</v>
      </c>
      <c r="F205" s="184">
        <f>E205+D205</f>
        <v>45471</v>
      </c>
      <c r="G205" s="184">
        <f t="shared" si="58"/>
        <v>45441</v>
      </c>
      <c r="H205" s="180" t="str">
        <f ca="1">IF($A$6&lt;G205,"VÁLIDO",IF($A$6&gt;F205,"VENCIDO","A VENCER"))</f>
        <v>VENCIDO</v>
      </c>
      <c r="I205" s="183">
        <f>VLOOKUP(C205,$M$3:$O$6,2,0)</f>
        <v>65</v>
      </c>
      <c r="J205" s="182">
        <f>VLOOKUP(C205,$M$3:$O$6,3,0)</f>
        <v>100</v>
      </c>
      <c r="K205" s="182">
        <f>J205-I205</f>
        <v>35</v>
      </c>
      <c r="L205" s="181">
        <f>K205/J205</f>
        <v>0.35</v>
      </c>
      <c r="M205" s="180" t="s">
        <v>777</v>
      </c>
    </row>
    <row r="206" spans="1:13" ht="18.75" customHeight="1">
      <c r="A206" s="180" t="s">
        <v>990</v>
      </c>
      <c r="B206" s="180" t="s">
        <v>990</v>
      </c>
      <c r="C206" s="180" t="s">
        <v>778</v>
      </c>
      <c r="D206" s="180">
        <f t="shared" si="57"/>
        <v>365</v>
      </c>
      <c r="E206" s="184">
        <v>45106</v>
      </c>
      <c r="F206" s="184">
        <f>E206+D206</f>
        <v>45471</v>
      </c>
      <c r="G206" s="184">
        <f t="shared" si="58"/>
        <v>45441</v>
      </c>
      <c r="H206" s="180" t="str">
        <f ca="1">IF($A$6&lt;G206,"VÁLIDO",IF($A$6&gt;F206,"VENCIDO","A VENCER"))</f>
        <v>VENCIDO</v>
      </c>
      <c r="I206" s="183">
        <f>VLOOKUP(C206,$M$3:$O$6,2,0)</f>
        <v>65</v>
      </c>
      <c r="J206" s="182">
        <f>VLOOKUP(C206,$M$3:$O$6,3,0)</f>
        <v>100</v>
      </c>
      <c r="K206" s="182">
        <f>J206-I206</f>
        <v>35</v>
      </c>
      <c r="L206" s="181">
        <f>K206/J206</f>
        <v>0.35</v>
      </c>
      <c r="M206" s="180" t="s">
        <v>777</v>
      </c>
    </row>
    <row r="207" spans="1:13" ht="18.75" customHeight="1">
      <c r="A207" s="180" t="s">
        <v>897</v>
      </c>
      <c r="B207" s="180" t="s">
        <v>897</v>
      </c>
      <c r="C207" s="180" t="s">
        <v>778</v>
      </c>
      <c r="D207" s="180">
        <f t="shared" si="57"/>
        <v>365</v>
      </c>
      <c r="E207" s="184">
        <v>45107</v>
      </c>
      <c r="F207" s="184">
        <f>E207+D207</f>
        <v>45472</v>
      </c>
      <c r="G207" s="184">
        <f t="shared" si="58"/>
        <v>45442</v>
      </c>
      <c r="H207" s="180" t="str">
        <f ca="1">IF($A$6&lt;G207,"VÁLIDO",IF($A$6&gt;F207,"VENCIDO","A VENCER"))</f>
        <v>VENCIDO</v>
      </c>
      <c r="I207" s="183">
        <f>VLOOKUP(C207,$M$3:$O$6,2,0)</f>
        <v>65</v>
      </c>
      <c r="J207" s="182">
        <f>VLOOKUP(C207,$M$3:$O$6,3,0)</f>
        <v>100</v>
      </c>
      <c r="K207" s="182">
        <f>J207-I207</f>
        <v>35</v>
      </c>
      <c r="L207" s="181">
        <f>K207/J207</f>
        <v>0.35</v>
      </c>
      <c r="M207" s="180" t="s">
        <v>777</v>
      </c>
    </row>
    <row r="208" spans="1:13" ht="18.75" customHeight="1">
      <c r="A208" s="180" t="s">
        <v>991</v>
      </c>
      <c r="B208" s="180" t="s">
        <v>991</v>
      </c>
      <c r="C208" s="180" t="s">
        <v>778</v>
      </c>
      <c r="D208" s="180">
        <f t="shared" si="57"/>
        <v>365</v>
      </c>
      <c r="E208" s="184">
        <v>45107</v>
      </c>
      <c r="F208" s="184">
        <f t="shared" ref="F208:F271" si="59">E208+D208</f>
        <v>45472</v>
      </c>
      <c r="G208" s="184">
        <f t="shared" si="58"/>
        <v>45442</v>
      </c>
      <c r="H208" s="180" t="str">
        <f t="shared" ref="H208:H271" ca="1" si="60">IF($A$6&lt;G208,"VÁLIDO",IF($A$6&gt;F208,"VENCIDO","A VENCER"))</f>
        <v>VENCIDO</v>
      </c>
      <c r="I208" s="183">
        <f t="shared" ref="I208:I271" si="61">VLOOKUP(C208,$M$3:$O$6,2,0)</f>
        <v>65</v>
      </c>
      <c r="J208" s="182">
        <f t="shared" ref="J208:J271" si="62">VLOOKUP(C208,$M$3:$O$6,3,0)</f>
        <v>100</v>
      </c>
      <c r="K208" s="182">
        <f t="shared" ref="K208:K271" si="63">J208-I208</f>
        <v>35</v>
      </c>
      <c r="L208" s="181">
        <f t="shared" ref="L208:L271" si="64">K208/J208</f>
        <v>0.35</v>
      </c>
      <c r="M208" s="180" t="s">
        <v>777</v>
      </c>
    </row>
    <row r="209" spans="1:14" ht="18.75" customHeight="1">
      <c r="A209" s="180" t="s">
        <v>992</v>
      </c>
      <c r="B209" s="180" t="s">
        <v>993</v>
      </c>
      <c r="C209" s="180" t="s">
        <v>781</v>
      </c>
      <c r="D209" s="180">
        <f t="shared" si="57"/>
        <v>365</v>
      </c>
      <c r="E209" s="184">
        <v>45106</v>
      </c>
      <c r="F209" s="184">
        <f t="shared" si="59"/>
        <v>45471</v>
      </c>
      <c r="G209" s="184">
        <f t="shared" si="58"/>
        <v>45441</v>
      </c>
      <c r="H209" s="180" t="str">
        <f t="shared" ca="1" si="60"/>
        <v>VENCIDO</v>
      </c>
      <c r="I209" s="183">
        <f t="shared" si="61"/>
        <v>95</v>
      </c>
      <c r="J209" s="182">
        <v>150</v>
      </c>
      <c r="K209" s="182">
        <f t="shared" si="63"/>
        <v>55</v>
      </c>
      <c r="L209" s="181">
        <f t="shared" si="64"/>
        <v>0.36666666666666664</v>
      </c>
      <c r="M209" s="180" t="s">
        <v>777</v>
      </c>
    </row>
    <row r="210" spans="1:14" ht="18.75" customHeight="1">
      <c r="A210" s="180" t="s">
        <v>994</v>
      </c>
      <c r="B210" s="180" t="s">
        <v>994</v>
      </c>
      <c r="C210" s="180" t="s">
        <v>778</v>
      </c>
      <c r="D210" s="180">
        <f t="shared" si="57"/>
        <v>365</v>
      </c>
      <c r="E210" s="184">
        <v>45106</v>
      </c>
      <c r="F210" s="184">
        <f t="shared" si="59"/>
        <v>45471</v>
      </c>
      <c r="G210" s="184">
        <f t="shared" si="58"/>
        <v>45441</v>
      </c>
      <c r="H210" s="180" t="str">
        <f t="shared" ca="1" si="60"/>
        <v>VENCIDO</v>
      </c>
      <c r="I210" s="183">
        <f t="shared" si="61"/>
        <v>65</v>
      </c>
      <c r="J210" s="182">
        <f t="shared" si="62"/>
        <v>100</v>
      </c>
      <c r="K210" s="182">
        <f t="shared" si="63"/>
        <v>35</v>
      </c>
      <c r="L210" s="181">
        <f t="shared" si="64"/>
        <v>0.35</v>
      </c>
      <c r="M210" s="180" t="s">
        <v>777</v>
      </c>
    </row>
    <row r="211" spans="1:14" ht="18.75" customHeight="1">
      <c r="A211" s="180" t="s">
        <v>995</v>
      </c>
      <c r="B211" s="180" t="s">
        <v>995</v>
      </c>
      <c r="C211" s="180" t="s">
        <v>778</v>
      </c>
      <c r="D211" s="180">
        <f t="shared" si="57"/>
        <v>365</v>
      </c>
      <c r="E211" s="184">
        <v>45107</v>
      </c>
      <c r="F211" s="184">
        <f t="shared" si="59"/>
        <v>45472</v>
      </c>
      <c r="G211" s="184">
        <f t="shared" si="58"/>
        <v>45442</v>
      </c>
      <c r="H211" s="180" t="str">
        <f t="shared" ca="1" si="60"/>
        <v>VENCIDO</v>
      </c>
      <c r="I211" s="183">
        <f t="shared" si="61"/>
        <v>65</v>
      </c>
      <c r="J211" s="182">
        <f t="shared" si="62"/>
        <v>100</v>
      </c>
      <c r="K211" s="182">
        <f t="shared" si="63"/>
        <v>35</v>
      </c>
      <c r="L211" s="181">
        <f t="shared" si="64"/>
        <v>0.35</v>
      </c>
      <c r="M211" s="180" t="s">
        <v>777</v>
      </c>
    </row>
    <row r="212" spans="1:14" ht="18.75" customHeight="1">
      <c r="A212" s="180" t="s">
        <v>1079</v>
      </c>
      <c r="B212" s="180" t="s">
        <v>1079</v>
      </c>
      <c r="C212" s="180" t="s">
        <v>778</v>
      </c>
      <c r="D212" s="180">
        <f t="shared" si="57"/>
        <v>365</v>
      </c>
      <c r="E212" s="184">
        <v>45107</v>
      </c>
      <c r="F212" s="184">
        <f t="shared" si="59"/>
        <v>45472</v>
      </c>
      <c r="G212" s="184">
        <f t="shared" si="58"/>
        <v>45442</v>
      </c>
      <c r="H212" s="180" t="str">
        <f t="shared" ca="1" si="60"/>
        <v>VENCIDO</v>
      </c>
      <c r="I212" s="183">
        <f t="shared" si="61"/>
        <v>65</v>
      </c>
      <c r="J212" s="182">
        <f t="shared" si="62"/>
        <v>100</v>
      </c>
      <c r="K212" s="182">
        <f t="shared" si="63"/>
        <v>35</v>
      </c>
      <c r="L212" s="181">
        <f t="shared" si="64"/>
        <v>0.35</v>
      </c>
      <c r="M212" s="180" t="s">
        <v>777</v>
      </c>
    </row>
    <row r="213" spans="1:14" ht="18.75" customHeight="1">
      <c r="A213" s="180" t="s">
        <v>941</v>
      </c>
      <c r="B213" s="180" t="s">
        <v>1080</v>
      </c>
      <c r="C213" s="180" t="s">
        <v>781</v>
      </c>
      <c r="D213" s="180">
        <f t="shared" si="57"/>
        <v>365</v>
      </c>
      <c r="E213" s="184">
        <v>45110</v>
      </c>
      <c r="F213" s="184">
        <f t="shared" si="59"/>
        <v>45475</v>
      </c>
      <c r="G213" s="184">
        <f t="shared" si="58"/>
        <v>45445</v>
      </c>
      <c r="H213" s="180" t="str">
        <f t="shared" ca="1" si="60"/>
        <v>VENCIDO</v>
      </c>
      <c r="I213" s="183">
        <f t="shared" si="61"/>
        <v>95</v>
      </c>
      <c r="J213" s="182">
        <v>150</v>
      </c>
      <c r="K213" s="182">
        <f t="shared" si="63"/>
        <v>55</v>
      </c>
      <c r="L213" s="181">
        <f t="shared" si="64"/>
        <v>0.36666666666666664</v>
      </c>
      <c r="M213" s="180" t="s">
        <v>777</v>
      </c>
    </row>
    <row r="214" spans="1:14" ht="18.75" customHeight="1">
      <c r="A214" s="180" t="s">
        <v>1081</v>
      </c>
      <c r="B214" s="180" t="s">
        <v>1082</v>
      </c>
      <c r="C214" s="180" t="s">
        <v>778</v>
      </c>
      <c r="D214" s="180">
        <f t="shared" si="57"/>
        <v>365</v>
      </c>
      <c r="E214" s="184">
        <v>45111</v>
      </c>
      <c r="F214" s="184">
        <f t="shared" si="59"/>
        <v>45476</v>
      </c>
      <c r="G214" s="184">
        <f t="shared" si="58"/>
        <v>45446</v>
      </c>
      <c r="H214" s="180" t="str">
        <f t="shared" ca="1" si="60"/>
        <v>VENCIDO</v>
      </c>
      <c r="I214" s="183">
        <f t="shared" si="61"/>
        <v>65</v>
      </c>
      <c r="J214" s="182">
        <f t="shared" si="62"/>
        <v>100</v>
      </c>
      <c r="K214" s="182">
        <f t="shared" si="63"/>
        <v>35</v>
      </c>
      <c r="L214" s="181">
        <f t="shared" si="64"/>
        <v>0.35</v>
      </c>
      <c r="M214" s="180" t="s">
        <v>777</v>
      </c>
      <c r="N214" s="233">
        <f>SUM(K148:K211)</f>
        <v>4161</v>
      </c>
    </row>
    <row r="215" spans="1:14" ht="18.75" customHeight="1">
      <c r="A215" s="180" t="s">
        <v>1083</v>
      </c>
      <c r="B215" s="180" t="s">
        <v>1083</v>
      </c>
      <c r="C215" s="180" t="s">
        <v>778</v>
      </c>
      <c r="D215" s="180">
        <f t="shared" si="57"/>
        <v>365</v>
      </c>
      <c r="E215" s="184">
        <v>45111</v>
      </c>
      <c r="F215" s="184">
        <f t="shared" si="59"/>
        <v>45476</v>
      </c>
      <c r="G215" s="184">
        <f t="shared" si="58"/>
        <v>45446</v>
      </c>
      <c r="H215" s="180" t="str">
        <f t="shared" ca="1" si="60"/>
        <v>VENCIDO</v>
      </c>
      <c r="I215" s="183">
        <f t="shared" si="61"/>
        <v>65</v>
      </c>
      <c r="J215" s="182">
        <f t="shared" si="62"/>
        <v>100</v>
      </c>
      <c r="K215" s="182">
        <f t="shared" si="63"/>
        <v>35</v>
      </c>
      <c r="L215" s="181">
        <f t="shared" si="64"/>
        <v>0.35</v>
      </c>
      <c r="M215" s="180" t="s">
        <v>777</v>
      </c>
    </row>
    <row r="216" spans="1:14" ht="18.75" customHeight="1">
      <c r="A216" s="180" t="s">
        <v>1084</v>
      </c>
      <c r="B216" s="180" t="s">
        <v>1084</v>
      </c>
      <c r="C216" s="180" t="s">
        <v>778</v>
      </c>
      <c r="D216" s="180">
        <f t="shared" si="57"/>
        <v>365</v>
      </c>
      <c r="E216" s="184">
        <v>45126</v>
      </c>
      <c r="F216" s="184">
        <f t="shared" si="59"/>
        <v>45491</v>
      </c>
      <c r="G216" s="184">
        <f t="shared" si="58"/>
        <v>45461</v>
      </c>
      <c r="H216" s="180" t="str">
        <f t="shared" ca="1" si="60"/>
        <v>VENCIDO</v>
      </c>
      <c r="I216" s="183">
        <f t="shared" si="61"/>
        <v>65</v>
      </c>
      <c r="J216" s="182">
        <f t="shared" si="62"/>
        <v>100</v>
      </c>
      <c r="K216" s="182">
        <f t="shared" si="63"/>
        <v>35</v>
      </c>
      <c r="L216" s="181">
        <f t="shared" si="64"/>
        <v>0.35</v>
      </c>
      <c r="M216" s="180" t="s">
        <v>777</v>
      </c>
    </row>
    <row r="217" spans="1:14" ht="18.75" customHeight="1">
      <c r="A217" s="180" t="s">
        <v>1086</v>
      </c>
      <c r="B217" s="180" t="s">
        <v>1086</v>
      </c>
      <c r="C217" s="180" t="s">
        <v>781</v>
      </c>
      <c r="D217" s="180">
        <f t="shared" si="57"/>
        <v>365</v>
      </c>
      <c r="E217" s="184">
        <v>45132</v>
      </c>
      <c r="F217" s="184">
        <f t="shared" si="59"/>
        <v>45497</v>
      </c>
      <c r="G217" s="184">
        <f t="shared" si="58"/>
        <v>45467</v>
      </c>
      <c r="H217" s="180" t="str">
        <f t="shared" ca="1" si="60"/>
        <v>VENCIDO</v>
      </c>
      <c r="I217" s="183">
        <f t="shared" si="61"/>
        <v>95</v>
      </c>
      <c r="J217" s="182">
        <v>150</v>
      </c>
      <c r="K217" s="182">
        <f t="shared" si="63"/>
        <v>55</v>
      </c>
      <c r="L217" s="181">
        <f t="shared" si="64"/>
        <v>0.36666666666666664</v>
      </c>
      <c r="M217" s="180" t="s">
        <v>777</v>
      </c>
    </row>
    <row r="218" spans="1:14" ht="18.75" customHeight="1">
      <c r="A218" s="180" t="s">
        <v>1087</v>
      </c>
      <c r="B218" s="180" t="s">
        <v>1087</v>
      </c>
      <c r="C218" s="180" t="s">
        <v>778</v>
      </c>
      <c r="D218" s="180">
        <f t="shared" si="57"/>
        <v>365</v>
      </c>
      <c r="E218" s="184">
        <v>45132</v>
      </c>
      <c r="F218" s="184">
        <f t="shared" si="59"/>
        <v>45497</v>
      </c>
      <c r="G218" s="184">
        <f t="shared" si="58"/>
        <v>45467</v>
      </c>
      <c r="H218" s="180" t="str">
        <f t="shared" ca="1" si="60"/>
        <v>VENCIDO</v>
      </c>
      <c r="I218" s="183">
        <f t="shared" si="61"/>
        <v>65</v>
      </c>
      <c r="J218" s="182">
        <f t="shared" si="62"/>
        <v>100</v>
      </c>
      <c r="K218" s="182">
        <f t="shared" si="63"/>
        <v>35</v>
      </c>
      <c r="L218" s="181">
        <f t="shared" si="64"/>
        <v>0.35</v>
      </c>
      <c r="M218" s="180" t="s">
        <v>777</v>
      </c>
    </row>
    <row r="219" spans="1:14" ht="18.75" customHeight="1">
      <c r="A219" s="180" t="s">
        <v>1088</v>
      </c>
      <c r="B219" s="180" t="s">
        <v>1088</v>
      </c>
      <c r="C219" s="180" t="s">
        <v>778</v>
      </c>
      <c r="D219" s="180">
        <f t="shared" si="57"/>
        <v>365</v>
      </c>
      <c r="E219" s="184">
        <v>45132</v>
      </c>
      <c r="F219" s="184">
        <f t="shared" si="59"/>
        <v>45497</v>
      </c>
      <c r="G219" s="184">
        <f t="shared" si="58"/>
        <v>45467</v>
      </c>
      <c r="H219" s="180" t="str">
        <f t="shared" ca="1" si="60"/>
        <v>VENCIDO</v>
      </c>
      <c r="I219" s="183">
        <f t="shared" si="61"/>
        <v>65</v>
      </c>
      <c r="J219" s="182">
        <f t="shared" si="62"/>
        <v>100</v>
      </c>
      <c r="K219" s="182">
        <f t="shared" si="63"/>
        <v>35</v>
      </c>
      <c r="L219" s="181">
        <f t="shared" si="64"/>
        <v>0.35</v>
      </c>
      <c r="M219" s="180" t="s">
        <v>777</v>
      </c>
    </row>
    <row r="220" spans="1:14" ht="18.75" customHeight="1">
      <c r="A220" s="180" t="s">
        <v>1097</v>
      </c>
      <c r="B220" s="180" t="s">
        <v>1097</v>
      </c>
      <c r="C220" s="180" t="s">
        <v>785</v>
      </c>
      <c r="D220" s="180">
        <f t="shared" si="57"/>
        <v>1095</v>
      </c>
      <c r="E220" s="184">
        <v>45135</v>
      </c>
      <c r="F220" s="184">
        <f t="shared" si="59"/>
        <v>46230</v>
      </c>
      <c r="G220" s="184">
        <f t="shared" si="58"/>
        <v>46200</v>
      </c>
      <c r="H220" s="180" t="str">
        <f t="shared" ca="1" si="60"/>
        <v>VÁLIDO</v>
      </c>
      <c r="I220" s="183">
        <f t="shared" si="61"/>
        <v>145</v>
      </c>
      <c r="J220" s="182">
        <v>270</v>
      </c>
      <c r="K220" s="182">
        <f t="shared" si="63"/>
        <v>125</v>
      </c>
      <c r="L220" s="181">
        <f t="shared" si="64"/>
        <v>0.46296296296296297</v>
      </c>
      <c r="M220" s="180" t="s">
        <v>777</v>
      </c>
    </row>
    <row r="221" spans="1:14" ht="18.75" customHeight="1">
      <c r="A221" s="180" t="s">
        <v>1098</v>
      </c>
      <c r="B221" s="180" t="s">
        <v>1098</v>
      </c>
      <c r="C221" s="180" t="s">
        <v>781</v>
      </c>
      <c r="D221" s="180">
        <f t="shared" si="57"/>
        <v>365</v>
      </c>
      <c r="E221" s="184">
        <v>45139</v>
      </c>
      <c r="F221" s="184">
        <f t="shared" si="59"/>
        <v>45504</v>
      </c>
      <c r="G221" s="184">
        <f t="shared" si="58"/>
        <v>45474</v>
      </c>
      <c r="H221" s="180" t="str">
        <f t="shared" ca="1" si="60"/>
        <v>VENCIDO</v>
      </c>
      <c r="I221" s="183">
        <f t="shared" si="61"/>
        <v>95</v>
      </c>
      <c r="J221" s="182">
        <v>150</v>
      </c>
      <c r="K221" s="182">
        <f t="shared" si="63"/>
        <v>55</v>
      </c>
      <c r="L221" s="181">
        <f t="shared" si="64"/>
        <v>0.36666666666666664</v>
      </c>
      <c r="M221" s="180" t="s">
        <v>777</v>
      </c>
    </row>
    <row r="222" spans="1:14" ht="18.75" customHeight="1">
      <c r="A222" s="180" t="s">
        <v>487</v>
      </c>
      <c r="B222" s="180" t="s">
        <v>487</v>
      </c>
      <c r="C222" s="180" t="s">
        <v>778</v>
      </c>
      <c r="D222" s="180">
        <f t="shared" si="57"/>
        <v>365</v>
      </c>
      <c r="E222" s="184">
        <v>45125</v>
      </c>
      <c r="F222" s="184">
        <f t="shared" si="59"/>
        <v>45490</v>
      </c>
      <c r="G222" s="184">
        <f t="shared" si="58"/>
        <v>45460</v>
      </c>
      <c r="H222" s="180" t="str">
        <f t="shared" ca="1" si="60"/>
        <v>VENCIDO</v>
      </c>
      <c r="I222" s="183">
        <f t="shared" si="61"/>
        <v>65</v>
      </c>
      <c r="J222" s="182">
        <f t="shared" si="62"/>
        <v>100</v>
      </c>
      <c r="K222" s="182">
        <f t="shared" si="63"/>
        <v>35</v>
      </c>
      <c r="L222" s="181">
        <f t="shared" si="64"/>
        <v>0.35</v>
      </c>
      <c r="M222" s="180" t="s">
        <v>777</v>
      </c>
    </row>
    <row r="223" spans="1:14" ht="18.75" customHeight="1">
      <c r="A223" s="180" t="s">
        <v>500</v>
      </c>
      <c r="B223" s="180" t="s">
        <v>500</v>
      </c>
      <c r="C223" s="180" t="s">
        <v>778</v>
      </c>
      <c r="D223" s="180">
        <f t="shared" si="57"/>
        <v>365</v>
      </c>
      <c r="E223" s="184">
        <v>45140</v>
      </c>
      <c r="F223" s="184">
        <f t="shared" si="59"/>
        <v>45505</v>
      </c>
      <c r="G223" s="184">
        <f t="shared" si="58"/>
        <v>45475</v>
      </c>
      <c r="H223" s="180" t="str">
        <f t="shared" ca="1" si="60"/>
        <v>VENCIDO</v>
      </c>
      <c r="I223" s="183">
        <f t="shared" si="61"/>
        <v>65</v>
      </c>
      <c r="J223" s="182">
        <f t="shared" si="62"/>
        <v>100</v>
      </c>
      <c r="K223" s="182">
        <f t="shared" si="63"/>
        <v>35</v>
      </c>
      <c r="L223" s="181">
        <f t="shared" si="64"/>
        <v>0.35</v>
      </c>
      <c r="M223" s="180" t="s">
        <v>777</v>
      </c>
    </row>
    <row r="224" spans="1:14" ht="18.75" customHeight="1">
      <c r="A224" s="180" t="s">
        <v>1125</v>
      </c>
      <c r="B224" s="180" t="s">
        <v>1125</v>
      </c>
      <c r="C224" s="180" t="s">
        <v>778</v>
      </c>
      <c r="D224" s="180">
        <f t="shared" si="57"/>
        <v>365</v>
      </c>
      <c r="E224" s="184">
        <v>45142</v>
      </c>
      <c r="F224" s="184">
        <f t="shared" si="59"/>
        <v>45507</v>
      </c>
      <c r="G224" s="184">
        <f t="shared" si="58"/>
        <v>45477</v>
      </c>
      <c r="H224" s="180" t="str">
        <f t="shared" ca="1" si="60"/>
        <v>VENCIDO</v>
      </c>
      <c r="I224" s="183">
        <f t="shared" si="61"/>
        <v>65</v>
      </c>
      <c r="J224" s="182">
        <f t="shared" si="62"/>
        <v>100</v>
      </c>
      <c r="K224" s="182">
        <f t="shared" si="63"/>
        <v>35</v>
      </c>
      <c r="L224" s="181">
        <f t="shared" si="64"/>
        <v>0.35</v>
      </c>
      <c r="M224" s="180" t="s">
        <v>777</v>
      </c>
    </row>
    <row r="225" spans="1:14" ht="18.75" customHeight="1">
      <c r="A225" s="180" t="s">
        <v>618</v>
      </c>
      <c r="B225" s="180" t="s">
        <v>618</v>
      </c>
      <c r="C225" s="180" t="s">
        <v>778</v>
      </c>
      <c r="D225" s="180">
        <f t="shared" si="57"/>
        <v>365</v>
      </c>
      <c r="E225" s="184">
        <v>45145</v>
      </c>
      <c r="F225" s="184">
        <f t="shared" si="59"/>
        <v>45510</v>
      </c>
      <c r="G225" s="184">
        <f t="shared" si="58"/>
        <v>45480</v>
      </c>
      <c r="H225" s="180" t="str">
        <f t="shared" ca="1" si="60"/>
        <v>VENCIDO</v>
      </c>
      <c r="I225" s="183">
        <f t="shared" si="61"/>
        <v>65</v>
      </c>
      <c r="J225" s="182">
        <f t="shared" si="62"/>
        <v>100</v>
      </c>
      <c r="K225" s="182">
        <f t="shared" si="63"/>
        <v>35</v>
      </c>
      <c r="L225" s="181">
        <f t="shared" si="64"/>
        <v>0.35</v>
      </c>
      <c r="M225" s="180" t="s">
        <v>777</v>
      </c>
    </row>
    <row r="226" spans="1:14" ht="18.75" customHeight="1">
      <c r="A226" s="54" t="s">
        <v>277</v>
      </c>
      <c r="B226" s="180" t="s">
        <v>277</v>
      </c>
      <c r="C226" s="180" t="s">
        <v>778</v>
      </c>
      <c r="D226" s="180">
        <f t="shared" si="57"/>
        <v>365</v>
      </c>
      <c r="E226" s="184">
        <v>45147</v>
      </c>
      <c r="F226" s="184">
        <f t="shared" si="59"/>
        <v>45512</v>
      </c>
      <c r="G226" s="184">
        <f t="shared" si="58"/>
        <v>45482</v>
      </c>
      <c r="H226" s="180" t="str">
        <f t="shared" ca="1" si="60"/>
        <v>VENCIDO</v>
      </c>
      <c r="I226" s="183">
        <f t="shared" si="61"/>
        <v>65</v>
      </c>
      <c r="J226" s="182">
        <f t="shared" si="62"/>
        <v>100</v>
      </c>
      <c r="K226" s="182">
        <f t="shared" si="63"/>
        <v>35</v>
      </c>
      <c r="L226" s="181">
        <f t="shared" si="64"/>
        <v>0.35</v>
      </c>
      <c r="M226" s="180" t="s">
        <v>777</v>
      </c>
    </row>
    <row r="227" spans="1:14" ht="18.75" customHeight="1">
      <c r="A227" s="180" t="s">
        <v>1128</v>
      </c>
      <c r="B227" s="180" t="s">
        <v>26</v>
      </c>
      <c r="C227" s="180" t="s">
        <v>781</v>
      </c>
      <c r="D227" s="180">
        <f t="shared" si="57"/>
        <v>365</v>
      </c>
      <c r="E227" s="184">
        <v>45149</v>
      </c>
      <c r="F227" s="184">
        <f t="shared" si="59"/>
        <v>45514</v>
      </c>
      <c r="G227" s="184">
        <f t="shared" si="58"/>
        <v>45484</v>
      </c>
      <c r="H227" s="180" t="str">
        <f t="shared" ca="1" si="60"/>
        <v>VENCIDO</v>
      </c>
      <c r="I227" s="183">
        <f t="shared" si="61"/>
        <v>95</v>
      </c>
      <c r="J227" s="182">
        <v>150</v>
      </c>
      <c r="K227" s="182">
        <f t="shared" si="63"/>
        <v>55</v>
      </c>
      <c r="L227" s="181">
        <f t="shared" si="64"/>
        <v>0.36666666666666664</v>
      </c>
      <c r="M227" s="180" t="s">
        <v>777</v>
      </c>
    </row>
    <row r="228" spans="1:14" ht="18.75" customHeight="1">
      <c r="A228" s="180" t="s">
        <v>1129</v>
      </c>
      <c r="B228" s="180" t="s">
        <v>1129</v>
      </c>
      <c r="C228" s="180" t="s">
        <v>781</v>
      </c>
      <c r="D228" s="180">
        <f t="shared" si="57"/>
        <v>365</v>
      </c>
      <c r="E228" s="184">
        <v>45149</v>
      </c>
      <c r="F228" s="184">
        <f t="shared" si="59"/>
        <v>45514</v>
      </c>
      <c r="G228" s="184">
        <f t="shared" si="58"/>
        <v>45484</v>
      </c>
      <c r="H228" s="180" t="str">
        <f t="shared" ca="1" si="60"/>
        <v>VENCIDO</v>
      </c>
      <c r="I228" s="183">
        <f t="shared" si="61"/>
        <v>95</v>
      </c>
      <c r="J228" s="182">
        <v>150</v>
      </c>
      <c r="K228" s="182">
        <f t="shared" si="63"/>
        <v>55</v>
      </c>
      <c r="L228" s="181">
        <f t="shared" si="64"/>
        <v>0.36666666666666664</v>
      </c>
      <c r="M228" s="180" t="s">
        <v>777</v>
      </c>
    </row>
    <row r="229" spans="1:14" ht="18.75" customHeight="1">
      <c r="A229" s="180" t="s">
        <v>1130</v>
      </c>
      <c r="B229" s="180" t="s">
        <v>1130</v>
      </c>
      <c r="C229" s="180" t="s">
        <v>781</v>
      </c>
      <c r="D229" s="180">
        <f t="shared" si="57"/>
        <v>365</v>
      </c>
      <c r="E229" s="184">
        <v>45149</v>
      </c>
      <c r="F229" s="184">
        <f t="shared" si="59"/>
        <v>45514</v>
      </c>
      <c r="G229" s="184">
        <f t="shared" si="58"/>
        <v>45484</v>
      </c>
      <c r="H229" s="180" t="str">
        <f t="shared" ca="1" si="60"/>
        <v>VENCIDO</v>
      </c>
      <c r="I229" s="183">
        <f t="shared" si="61"/>
        <v>95</v>
      </c>
      <c r="J229" s="182">
        <v>150</v>
      </c>
      <c r="K229" s="182">
        <f t="shared" si="63"/>
        <v>55</v>
      </c>
      <c r="L229" s="181">
        <f t="shared" si="64"/>
        <v>0.36666666666666664</v>
      </c>
      <c r="M229" s="180" t="s">
        <v>777</v>
      </c>
    </row>
    <row r="230" spans="1:14" ht="18.75" customHeight="1">
      <c r="A230" s="180" t="s">
        <v>1132</v>
      </c>
      <c r="B230" s="180" t="s">
        <v>1131</v>
      </c>
      <c r="C230" s="180" t="s">
        <v>781</v>
      </c>
      <c r="D230" s="180">
        <f t="shared" si="57"/>
        <v>365</v>
      </c>
      <c r="E230" s="184">
        <v>45153</v>
      </c>
      <c r="F230" s="184">
        <f t="shared" si="59"/>
        <v>45518</v>
      </c>
      <c r="G230" s="184">
        <f t="shared" si="58"/>
        <v>45488</v>
      </c>
      <c r="H230" s="180" t="str">
        <f t="shared" ca="1" si="60"/>
        <v>VENCIDO</v>
      </c>
      <c r="I230" s="183">
        <f t="shared" si="61"/>
        <v>95</v>
      </c>
      <c r="J230" s="182">
        <v>150</v>
      </c>
      <c r="K230" s="182">
        <f t="shared" si="63"/>
        <v>55</v>
      </c>
      <c r="L230" s="181">
        <f t="shared" si="64"/>
        <v>0.36666666666666664</v>
      </c>
      <c r="M230" s="180" t="s">
        <v>777</v>
      </c>
    </row>
    <row r="231" spans="1:14" ht="18.75" customHeight="1">
      <c r="A231" s="180" t="s">
        <v>870</v>
      </c>
      <c r="B231" s="180" t="s">
        <v>934</v>
      </c>
      <c r="C231" s="180" t="s">
        <v>781</v>
      </c>
      <c r="D231" s="180">
        <f t="shared" si="57"/>
        <v>365</v>
      </c>
      <c r="E231" s="184">
        <v>45153</v>
      </c>
      <c r="F231" s="184">
        <f t="shared" si="59"/>
        <v>45518</v>
      </c>
      <c r="G231" s="184">
        <f t="shared" si="58"/>
        <v>45488</v>
      </c>
      <c r="H231" s="180" t="str">
        <f t="shared" ca="1" si="60"/>
        <v>VENCIDO</v>
      </c>
      <c r="I231" s="183">
        <f t="shared" si="61"/>
        <v>95</v>
      </c>
      <c r="J231" s="182">
        <v>150</v>
      </c>
      <c r="K231" s="182">
        <f t="shared" si="63"/>
        <v>55</v>
      </c>
      <c r="L231" s="181">
        <f t="shared" si="64"/>
        <v>0.36666666666666664</v>
      </c>
      <c r="M231" s="180" t="s">
        <v>777</v>
      </c>
    </row>
    <row r="232" spans="1:14" ht="18.75" customHeight="1">
      <c r="A232" s="180" t="s">
        <v>1140</v>
      </c>
      <c r="B232" s="180" t="s">
        <v>1140</v>
      </c>
      <c r="C232" s="180" t="s">
        <v>778</v>
      </c>
      <c r="D232" s="180">
        <f t="shared" si="57"/>
        <v>365</v>
      </c>
      <c r="E232" s="184">
        <v>45161</v>
      </c>
      <c r="F232" s="184">
        <f t="shared" si="59"/>
        <v>45526</v>
      </c>
      <c r="G232" s="184">
        <f t="shared" si="58"/>
        <v>45496</v>
      </c>
      <c r="H232" s="180" t="str">
        <f t="shared" ca="1" si="60"/>
        <v>VENCIDO</v>
      </c>
      <c r="I232" s="183">
        <f t="shared" si="61"/>
        <v>65</v>
      </c>
      <c r="J232" s="182">
        <f t="shared" si="62"/>
        <v>100</v>
      </c>
      <c r="K232" s="182">
        <f t="shared" si="63"/>
        <v>35</v>
      </c>
      <c r="L232" s="181">
        <f t="shared" si="64"/>
        <v>0.35</v>
      </c>
      <c r="M232" s="180" t="s">
        <v>777</v>
      </c>
    </row>
    <row r="233" spans="1:14" ht="18.75" customHeight="1">
      <c r="A233" s="180" t="s">
        <v>863</v>
      </c>
      <c r="B233" s="180" t="s">
        <v>848</v>
      </c>
      <c r="C233" s="180" t="s">
        <v>781</v>
      </c>
      <c r="D233" s="180">
        <f t="shared" si="57"/>
        <v>365</v>
      </c>
      <c r="E233" s="184">
        <v>45161</v>
      </c>
      <c r="F233" s="184">
        <f t="shared" si="59"/>
        <v>45526</v>
      </c>
      <c r="G233" s="184">
        <f t="shared" si="58"/>
        <v>45496</v>
      </c>
      <c r="H233" s="180" t="str">
        <f t="shared" ca="1" si="60"/>
        <v>VENCIDO</v>
      </c>
      <c r="I233" s="183">
        <f t="shared" si="61"/>
        <v>95</v>
      </c>
      <c r="J233" s="182">
        <v>150</v>
      </c>
      <c r="K233" s="182">
        <f t="shared" si="63"/>
        <v>55</v>
      </c>
      <c r="L233" s="181">
        <f t="shared" si="64"/>
        <v>0.36666666666666664</v>
      </c>
      <c r="M233" s="180" t="s">
        <v>777</v>
      </c>
    </row>
    <row r="234" spans="1:14" ht="18.75" customHeight="1">
      <c r="A234" s="180" t="s">
        <v>1141</v>
      </c>
      <c r="B234" s="180" t="s">
        <v>1142</v>
      </c>
      <c r="C234" s="180" t="s">
        <v>781</v>
      </c>
      <c r="D234" s="180">
        <f t="shared" si="57"/>
        <v>365</v>
      </c>
      <c r="E234" s="184">
        <v>45161</v>
      </c>
      <c r="F234" s="184">
        <f t="shared" si="59"/>
        <v>45526</v>
      </c>
      <c r="G234" s="184">
        <f t="shared" si="58"/>
        <v>45496</v>
      </c>
      <c r="H234" s="180" t="str">
        <f t="shared" ca="1" si="60"/>
        <v>VENCIDO</v>
      </c>
      <c r="I234" s="183">
        <f t="shared" si="61"/>
        <v>95</v>
      </c>
      <c r="J234" s="182">
        <v>150</v>
      </c>
      <c r="K234" s="182">
        <f t="shared" si="63"/>
        <v>55</v>
      </c>
      <c r="L234" s="181">
        <f t="shared" si="64"/>
        <v>0.36666666666666664</v>
      </c>
      <c r="M234" s="180" t="s">
        <v>777</v>
      </c>
    </row>
    <row r="235" spans="1:14" ht="18.75" customHeight="1">
      <c r="A235" s="180" t="s">
        <v>183</v>
      </c>
      <c r="B235" s="180" t="s">
        <v>618</v>
      </c>
      <c r="C235" s="180" t="s">
        <v>781</v>
      </c>
      <c r="D235" s="180">
        <f t="shared" si="57"/>
        <v>365</v>
      </c>
      <c r="E235" s="184">
        <v>45162</v>
      </c>
      <c r="F235" s="184">
        <f t="shared" si="59"/>
        <v>45527</v>
      </c>
      <c r="G235" s="184">
        <f t="shared" si="58"/>
        <v>45497</v>
      </c>
      <c r="H235" s="180" t="str">
        <f t="shared" ca="1" si="60"/>
        <v>VENCIDO</v>
      </c>
      <c r="I235" s="183">
        <f t="shared" si="61"/>
        <v>95</v>
      </c>
      <c r="J235" s="182">
        <v>150</v>
      </c>
      <c r="K235" s="182">
        <f t="shared" si="63"/>
        <v>55</v>
      </c>
      <c r="L235" s="181">
        <f t="shared" si="64"/>
        <v>0.36666666666666664</v>
      </c>
      <c r="M235" s="180" t="s">
        <v>777</v>
      </c>
      <c r="N235" s="233">
        <f>SUM(K9:K233)</f>
        <v>15948</v>
      </c>
    </row>
    <row r="236" spans="1:14" ht="18.75" customHeight="1">
      <c r="A236" s="180" t="s">
        <v>1143</v>
      </c>
      <c r="B236" s="180"/>
      <c r="C236" s="180" t="s">
        <v>1144</v>
      </c>
      <c r="D236" s="180">
        <f t="shared" si="57"/>
        <v>1095</v>
      </c>
      <c r="E236" s="184">
        <v>45162</v>
      </c>
      <c r="F236" s="184">
        <f t="shared" si="59"/>
        <v>46257</v>
      </c>
      <c r="G236" s="184">
        <f t="shared" si="58"/>
        <v>46227</v>
      </c>
      <c r="H236" s="180" t="str">
        <f t="shared" ca="1" si="60"/>
        <v>VÁLIDO</v>
      </c>
      <c r="I236" s="183">
        <f t="shared" si="61"/>
        <v>145</v>
      </c>
      <c r="J236" s="182">
        <v>270</v>
      </c>
      <c r="K236" s="182">
        <f t="shared" si="63"/>
        <v>125</v>
      </c>
      <c r="L236" s="181">
        <f t="shared" si="64"/>
        <v>0.46296296296296297</v>
      </c>
      <c r="M236" s="180" t="s">
        <v>777</v>
      </c>
    </row>
    <row r="237" spans="1:14" ht="18.75" customHeight="1">
      <c r="A237" s="180" t="s">
        <v>1147</v>
      </c>
      <c r="B237" s="180" t="s">
        <v>1147</v>
      </c>
      <c r="C237" s="180" t="s">
        <v>778</v>
      </c>
      <c r="D237" s="180">
        <f t="shared" si="57"/>
        <v>365</v>
      </c>
      <c r="E237" s="184">
        <v>45163</v>
      </c>
      <c r="F237" s="184">
        <f t="shared" si="59"/>
        <v>45528</v>
      </c>
      <c r="G237" s="184">
        <f t="shared" si="58"/>
        <v>45498</v>
      </c>
      <c r="H237" s="180" t="str">
        <f t="shared" ca="1" si="60"/>
        <v>VENCIDO</v>
      </c>
      <c r="I237" s="183">
        <f t="shared" si="61"/>
        <v>65</v>
      </c>
      <c r="J237" s="182">
        <f t="shared" si="62"/>
        <v>100</v>
      </c>
      <c r="K237" s="182">
        <f t="shared" si="63"/>
        <v>35</v>
      </c>
      <c r="L237" s="181">
        <f t="shared" si="64"/>
        <v>0.35</v>
      </c>
      <c r="M237" s="180" t="s">
        <v>777</v>
      </c>
    </row>
    <row r="238" spans="1:14" ht="18.75" customHeight="1">
      <c r="A238" s="180" t="s">
        <v>1148</v>
      </c>
      <c r="B238" s="180" t="s">
        <v>1148</v>
      </c>
      <c r="C238" s="180" t="s">
        <v>781</v>
      </c>
      <c r="D238" s="180">
        <f t="shared" si="57"/>
        <v>365</v>
      </c>
      <c r="E238" s="184">
        <v>45163</v>
      </c>
      <c r="F238" s="184">
        <f t="shared" si="59"/>
        <v>45528</v>
      </c>
      <c r="G238" s="184">
        <f t="shared" si="58"/>
        <v>45498</v>
      </c>
      <c r="H238" s="180" t="str">
        <f t="shared" ca="1" si="60"/>
        <v>VENCIDO</v>
      </c>
      <c r="I238" s="183">
        <f t="shared" si="61"/>
        <v>95</v>
      </c>
      <c r="J238" s="182">
        <v>150</v>
      </c>
      <c r="K238" s="182">
        <f t="shared" si="63"/>
        <v>55</v>
      </c>
      <c r="L238" s="181">
        <f t="shared" si="64"/>
        <v>0.36666666666666664</v>
      </c>
      <c r="M238" s="180" t="s">
        <v>777</v>
      </c>
    </row>
    <row r="239" spans="1:14" ht="18.75" customHeight="1">
      <c r="A239" s="180" t="s">
        <v>1149</v>
      </c>
      <c r="B239" s="180" t="s">
        <v>1150</v>
      </c>
      <c r="C239" s="180" t="s">
        <v>785</v>
      </c>
      <c r="D239" s="180">
        <f t="shared" si="57"/>
        <v>1095</v>
      </c>
      <c r="E239" s="184">
        <v>45163</v>
      </c>
      <c r="F239" s="184">
        <f t="shared" si="59"/>
        <v>46258</v>
      </c>
      <c r="G239" s="184">
        <f t="shared" si="58"/>
        <v>46228</v>
      </c>
      <c r="H239" s="180" t="str">
        <f t="shared" ca="1" si="60"/>
        <v>VÁLIDO</v>
      </c>
      <c r="I239" s="183">
        <f t="shared" si="61"/>
        <v>145</v>
      </c>
      <c r="J239" s="182">
        <v>270</v>
      </c>
      <c r="K239" s="182">
        <f t="shared" si="63"/>
        <v>125</v>
      </c>
      <c r="L239" s="181">
        <f t="shared" si="64"/>
        <v>0.46296296296296297</v>
      </c>
      <c r="M239" s="180" t="s">
        <v>1153</v>
      </c>
    </row>
    <row r="240" spans="1:14" ht="18.75" customHeight="1">
      <c r="A240" s="180" t="s">
        <v>1151</v>
      </c>
      <c r="B240" s="180" t="s">
        <v>1152</v>
      </c>
      <c r="C240" s="180" t="s">
        <v>785</v>
      </c>
      <c r="D240" s="180">
        <f t="shared" si="57"/>
        <v>1095</v>
      </c>
      <c r="E240" s="184">
        <v>45166</v>
      </c>
      <c r="F240" s="184">
        <f t="shared" si="59"/>
        <v>46261</v>
      </c>
      <c r="G240" s="184">
        <f t="shared" si="58"/>
        <v>46231</v>
      </c>
      <c r="H240" s="180" t="str">
        <f t="shared" ca="1" si="60"/>
        <v>VÁLIDO</v>
      </c>
      <c r="I240" s="183">
        <f t="shared" si="61"/>
        <v>145</v>
      </c>
      <c r="J240" s="182">
        <v>270</v>
      </c>
      <c r="K240" s="182">
        <f t="shared" si="63"/>
        <v>125</v>
      </c>
      <c r="L240" s="181">
        <f t="shared" si="64"/>
        <v>0.46296296296296297</v>
      </c>
      <c r="M240" s="180" t="s">
        <v>777</v>
      </c>
    </row>
    <row r="241" spans="1:13" ht="18.75" customHeight="1">
      <c r="A241" s="180" t="s">
        <v>936</v>
      </c>
      <c r="B241" s="180" t="s">
        <v>936</v>
      </c>
      <c r="C241" s="180" t="s">
        <v>778</v>
      </c>
      <c r="D241" s="180">
        <f t="shared" si="57"/>
        <v>365</v>
      </c>
      <c r="E241" s="184">
        <v>45166</v>
      </c>
      <c r="F241" s="184">
        <f t="shared" si="59"/>
        <v>45531</v>
      </c>
      <c r="G241" s="184">
        <f t="shared" si="58"/>
        <v>45501</v>
      </c>
      <c r="H241" s="180" t="str">
        <f t="shared" ca="1" si="60"/>
        <v>VENCIDO</v>
      </c>
      <c r="I241" s="183">
        <f t="shared" si="61"/>
        <v>65</v>
      </c>
      <c r="J241" s="182">
        <f t="shared" si="62"/>
        <v>100</v>
      </c>
      <c r="K241" s="182">
        <f t="shared" si="63"/>
        <v>35</v>
      </c>
      <c r="L241" s="181">
        <f t="shared" si="64"/>
        <v>0.35</v>
      </c>
      <c r="M241" s="180" t="s">
        <v>777</v>
      </c>
    </row>
    <row r="242" spans="1:13" ht="18.75" customHeight="1">
      <c r="A242" s="180" t="s">
        <v>1154</v>
      </c>
      <c r="B242" s="180" t="s">
        <v>1156</v>
      </c>
      <c r="C242" s="180" t="s">
        <v>781</v>
      </c>
      <c r="D242" s="180">
        <f t="shared" si="57"/>
        <v>365</v>
      </c>
      <c r="E242" s="184">
        <v>45167</v>
      </c>
      <c r="F242" s="184">
        <f t="shared" si="59"/>
        <v>45532</v>
      </c>
      <c r="G242" s="184">
        <f t="shared" si="58"/>
        <v>45502</v>
      </c>
      <c r="H242" s="180" t="str">
        <f t="shared" ca="1" si="60"/>
        <v>VENCIDO</v>
      </c>
      <c r="I242" s="183">
        <f t="shared" si="61"/>
        <v>95</v>
      </c>
      <c r="J242" s="182">
        <v>150</v>
      </c>
      <c r="K242" s="182">
        <f t="shared" si="63"/>
        <v>55</v>
      </c>
      <c r="L242" s="181">
        <f t="shared" si="64"/>
        <v>0.36666666666666664</v>
      </c>
      <c r="M242" s="180" t="s">
        <v>777</v>
      </c>
    </row>
    <row r="243" spans="1:13" ht="18.75" customHeight="1">
      <c r="A243" s="180" t="s">
        <v>1157</v>
      </c>
      <c r="B243" s="180" t="s">
        <v>1155</v>
      </c>
      <c r="C243" s="180" t="s">
        <v>781</v>
      </c>
      <c r="D243" s="180">
        <f t="shared" si="57"/>
        <v>365</v>
      </c>
      <c r="E243" s="184">
        <v>45167</v>
      </c>
      <c r="F243" s="184">
        <f t="shared" si="59"/>
        <v>45532</v>
      </c>
      <c r="G243" s="184">
        <f t="shared" si="58"/>
        <v>45502</v>
      </c>
      <c r="H243" s="180" t="str">
        <f t="shared" ca="1" si="60"/>
        <v>VENCIDO</v>
      </c>
      <c r="I243" s="183">
        <f t="shared" si="61"/>
        <v>95</v>
      </c>
      <c r="J243" s="182">
        <v>150</v>
      </c>
      <c r="K243" s="182">
        <f t="shared" si="63"/>
        <v>55</v>
      </c>
      <c r="L243" s="181">
        <f t="shared" si="64"/>
        <v>0.36666666666666664</v>
      </c>
      <c r="M243" s="180" t="s">
        <v>777</v>
      </c>
    </row>
    <row r="244" spans="1:13" ht="18.75" customHeight="1">
      <c r="A244" s="180" t="s">
        <v>182</v>
      </c>
      <c r="B244" s="180" t="s">
        <v>1165</v>
      </c>
      <c r="C244" s="180" t="s">
        <v>781</v>
      </c>
      <c r="D244" s="180">
        <f t="shared" si="57"/>
        <v>365</v>
      </c>
      <c r="E244" s="184">
        <v>45168</v>
      </c>
      <c r="F244" s="184">
        <f t="shared" si="59"/>
        <v>45533</v>
      </c>
      <c r="G244" s="184">
        <f t="shared" si="58"/>
        <v>45503</v>
      </c>
      <c r="H244" s="180" t="str">
        <f t="shared" ca="1" si="60"/>
        <v>VENCIDO</v>
      </c>
      <c r="I244" s="183">
        <f t="shared" si="61"/>
        <v>95</v>
      </c>
      <c r="J244" s="182">
        <v>150</v>
      </c>
      <c r="K244" s="182">
        <f t="shared" si="63"/>
        <v>55</v>
      </c>
      <c r="L244" s="181">
        <f t="shared" si="64"/>
        <v>0.36666666666666664</v>
      </c>
      <c r="M244" s="180" t="s">
        <v>1153</v>
      </c>
    </row>
    <row r="245" spans="1:13" ht="18.75" customHeight="1">
      <c r="A245" s="180" t="s">
        <v>1166</v>
      </c>
      <c r="B245" s="180" t="s">
        <v>1165</v>
      </c>
      <c r="C245" s="180" t="s">
        <v>781</v>
      </c>
      <c r="D245" s="180">
        <f t="shared" si="57"/>
        <v>365</v>
      </c>
      <c r="E245" s="184">
        <v>45168</v>
      </c>
      <c r="F245" s="184">
        <f t="shared" si="59"/>
        <v>45533</v>
      </c>
      <c r="G245" s="184">
        <f t="shared" si="58"/>
        <v>45503</v>
      </c>
      <c r="H245" s="180" t="str">
        <f t="shared" ca="1" si="60"/>
        <v>VENCIDO</v>
      </c>
      <c r="I245" s="183">
        <f t="shared" si="61"/>
        <v>95</v>
      </c>
      <c r="J245" s="182">
        <v>150</v>
      </c>
      <c r="K245" s="182">
        <f t="shared" si="63"/>
        <v>55</v>
      </c>
      <c r="L245" s="181">
        <f t="shared" si="64"/>
        <v>0.36666666666666664</v>
      </c>
      <c r="M245" s="180" t="s">
        <v>1153</v>
      </c>
    </row>
    <row r="246" spans="1:13" ht="18.75" customHeight="1">
      <c r="A246" s="180" t="s">
        <v>1167</v>
      </c>
      <c r="B246" s="180" t="s">
        <v>1167</v>
      </c>
      <c r="C246" s="180" t="s">
        <v>778</v>
      </c>
      <c r="D246" s="180">
        <f t="shared" si="57"/>
        <v>365</v>
      </c>
      <c r="E246" s="184">
        <v>45173</v>
      </c>
      <c r="F246" s="184">
        <f t="shared" si="59"/>
        <v>45538</v>
      </c>
      <c r="G246" s="184">
        <f t="shared" si="58"/>
        <v>45508</v>
      </c>
      <c r="H246" s="180" t="str">
        <f t="shared" ca="1" si="60"/>
        <v>VENCIDO</v>
      </c>
      <c r="I246" s="183">
        <f t="shared" si="61"/>
        <v>65</v>
      </c>
      <c r="J246" s="182">
        <f t="shared" si="62"/>
        <v>100</v>
      </c>
      <c r="K246" s="182">
        <f t="shared" si="63"/>
        <v>35</v>
      </c>
      <c r="L246" s="181">
        <f t="shared" si="64"/>
        <v>0.35</v>
      </c>
      <c r="M246" s="180" t="s">
        <v>777</v>
      </c>
    </row>
    <row r="247" spans="1:13" ht="18.75" customHeight="1">
      <c r="A247" s="180" t="s">
        <v>1168</v>
      </c>
      <c r="B247" s="180" t="s">
        <v>1168</v>
      </c>
      <c r="C247" s="180" t="s">
        <v>778</v>
      </c>
      <c r="D247" s="180">
        <f t="shared" si="57"/>
        <v>365</v>
      </c>
      <c r="E247" s="184">
        <v>45173</v>
      </c>
      <c r="F247" s="184">
        <f t="shared" si="59"/>
        <v>45538</v>
      </c>
      <c r="G247" s="184">
        <f t="shared" si="58"/>
        <v>45508</v>
      </c>
      <c r="H247" s="180" t="str">
        <f t="shared" ca="1" si="60"/>
        <v>VENCIDO</v>
      </c>
      <c r="I247" s="183">
        <f t="shared" si="61"/>
        <v>65</v>
      </c>
      <c r="J247" s="182">
        <f t="shared" si="62"/>
        <v>100</v>
      </c>
      <c r="K247" s="182">
        <f t="shared" si="63"/>
        <v>35</v>
      </c>
      <c r="L247" s="181">
        <f t="shared" si="64"/>
        <v>0.35</v>
      </c>
      <c r="M247" s="180" t="s">
        <v>777</v>
      </c>
    </row>
    <row r="248" spans="1:13" ht="18.75" customHeight="1">
      <c r="A248" s="180" t="s">
        <v>1171</v>
      </c>
      <c r="B248" s="180" t="s">
        <v>1172</v>
      </c>
      <c r="C248" s="180" t="s">
        <v>785</v>
      </c>
      <c r="D248" s="180">
        <f t="shared" si="57"/>
        <v>1095</v>
      </c>
      <c r="E248" s="184">
        <v>45173</v>
      </c>
      <c r="F248" s="184">
        <f t="shared" si="59"/>
        <v>46268</v>
      </c>
      <c r="G248" s="184">
        <f t="shared" si="58"/>
        <v>46238</v>
      </c>
      <c r="H248" s="180" t="str">
        <f t="shared" ca="1" si="60"/>
        <v>VÁLIDO</v>
      </c>
      <c r="I248" s="183">
        <f t="shared" si="61"/>
        <v>145</v>
      </c>
      <c r="J248" s="182">
        <v>270</v>
      </c>
      <c r="K248" s="182">
        <f t="shared" si="63"/>
        <v>125</v>
      </c>
      <c r="L248" s="181">
        <f t="shared" si="64"/>
        <v>0.46296296296296297</v>
      </c>
      <c r="M248" s="180" t="s">
        <v>777</v>
      </c>
    </row>
    <row r="249" spans="1:13" ht="18.75" customHeight="1">
      <c r="A249" s="180" t="s">
        <v>1173</v>
      </c>
      <c r="B249" s="180" t="s">
        <v>1173</v>
      </c>
      <c r="C249" s="180" t="s">
        <v>778</v>
      </c>
      <c r="D249" s="180">
        <f t="shared" si="57"/>
        <v>365</v>
      </c>
      <c r="E249" s="184">
        <v>45174</v>
      </c>
      <c r="F249" s="184">
        <f t="shared" si="59"/>
        <v>45539</v>
      </c>
      <c r="G249" s="184">
        <f t="shared" si="58"/>
        <v>45509</v>
      </c>
      <c r="H249" s="180" t="str">
        <f t="shared" ca="1" si="60"/>
        <v>VENCIDO</v>
      </c>
      <c r="I249" s="183">
        <f t="shared" si="61"/>
        <v>65</v>
      </c>
      <c r="J249" s="182">
        <f t="shared" si="62"/>
        <v>100</v>
      </c>
      <c r="K249" s="182">
        <f t="shared" si="63"/>
        <v>35</v>
      </c>
      <c r="L249" s="181">
        <f t="shared" si="64"/>
        <v>0.35</v>
      </c>
      <c r="M249" s="180" t="s">
        <v>777</v>
      </c>
    </row>
    <row r="250" spans="1:13" ht="18.75" customHeight="1">
      <c r="A250" s="180" t="s">
        <v>237</v>
      </c>
      <c r="B250" s="180" t="s">
        <v>237</v>
      </c>
      <c r="C250" s="180" t="s">
        <v>778</v>
      </c>
      <c r="D250" s="180">
        <f t="shared" si="57"/>
        <v>365</v>
      </c>
      <c r="E250" s="184">
        <v>45177</v>
      </c>
      <c r="F250" s="184">
        <f t="shared" si="59"/>
        <v>45542</v>
      </c>
      <c r="G250" s="184">
        <f t="shared" si="58"/>
        <v>45512</v>
      </c>
      <c r="H250" s="180" t="str">
        <f t="shared" ca="1" si="60"/>
        <v>VENCIDO</v>
      </c>
      <c r="I250" s="183">
        <f t="shared" si="61"/>
        <v>65</v>
      </c>
      <c r="J250" s="182">
        <f t="shared" si="62"/>
        <v>100</v>
      </c>
      <c r="K250" s="182">
        <f t="shared" si="63"/>
        <v>35</v>
      </c>
      <c r="L250" s="181">
        <f t="shared" si="64"/>
        <v>0.35</v>
      </c>
      <c r="M250" s="180" t="s">
        <v>777</v>
      </c>
    </row>
    <row r="251" spans="1:13" ht="18.75" customHeight="1">
      <c r="A251" s="180" t="s">
        <v>861</v>
      </c>
      <c r="B251" s="180" t="s">
        <v>860</v>
      </c>
      <c r="C251" s="180" t="s">
        <v>781</v>
      </c>
      <c r="D251" s="180">
        <f t="shared" si="57"/>
        <v>365</v>
      </c>
      <c r="E251" s="184">
        <v>45187</v>
      </c>
      <c r="F251" s="184">
        <f t="shared" si="59"/>
        <v>45552</v>
      </c>
      <c r="G251" s="184">
        <f t="shared" si="58"/>
        <v>45522</v>
      </c>
      <c r="H251" s="180" t="str">
        <f t="shared" ca="1" si="60"/>
        <v>VENCIDO</v>
      </c>
      <c r="I251" s="183">
        <f t="shared" si="61"/>
        <v>95</v>
      </c>
      <c r="J251" s="182">
        <v>150</v>
      </c>
      <c r="K251" s="182">
        <f t="shared" si="63"/>
        <v>55</v>
      </c>
      <c r="L251" s="181">
        <f t="shared" si="64"/>
        <v>0.36666666666666664</v>
      </c>
      <c r="M251" s="180" t="s">
        <v>1153</v>
      </c>
    </row>
    <row r="252" spans="1:13" ht="18.75" customHeight="1">
      <c r="A252" s="54" t="s">
        <v>1183</v>
      </c>
      <c r="B252" s="54" t="s">
        <v>1183</v>
      </c>
      <c r="C252" s="180" t="s">
        <v>778</v>
      </c>
      <c r="D252" s="180">
        <f t="shared" si="57"/>
        <v>365</v>
      </c>
      <c r="E252" s="184">
        <v>45187</v>
      </c>
      <c r="F252" s="184">
        <f t="shared" si="59"/>
        <v>45552</v>
      </c>
      <c r="G252" s="184">
        <f t="shared" si="58"/>
        <v>45522</v>
      </c>
      <c r="H252" s="180" t="str">
        <f t="shared" ca="1" si="60"/>
        <v>VENCIDO</v>
      </c>
      <c r="I252" s="183">
        <f t="shared" si="61"/>
        <v>65</v>
      </c>
      <c r="J252" s="182">
        <f t="shared" si="62"/>
        <v>100</v>
      </c>
      <c r="K252" s="182">
        <f t="shared" si="63"/>
        <v>35</v>
      </c>
      <c r="L252" s="181">
        <f t="shared" si="64"/>
        <v>0.35</v>
      </c>
      <c r="M252" s="180" t="s">
        <v>777</v>
      </c>
    </row>
    <row r="253" spans="1:13" ht="18.75" customHeight="1">
      <c r="A253" s="180" t="s">
        <v>1184</v>
      </c>
      <c r="B253" s="180" t="s">
        <v>1184</v>
      </c>
      <c r="C253" s="180" t="s">
        <v>778</v>
      </c>
      <c r="D253" s="180">
        <f t="shared" si="57"/>
        <v>365</v>
      </c>
      <c r="E253" s="184">
        <v>45187</v>
      </c>
      <c r="F253" s="184">
        <f t="shared" si="59"/>
        <v>45552</v>
      </c>
      <c r="G253" s="184">
        <f t="shared" si="58"/>
        <v>45522</v>
      </c>
      <c r="H253" s="180" t="str">
        <f t="shared" ca="1" si="60"/>
        <v>VENCIDO</v>
      </c>
      <c r="I253" s="183">
        <f t="shared" si="61"/>
        <v>65</v>
      </c>
      <c r="J253" s="182">
        <f t="shared" si="62"/>
        <v>100</v>
      </c>
      <c r="K253" s="182">
        <f t="shared" si="63"/>
        <v>35</v>
      </c>
      <c r="L253" s="181">
        <f t="shared" si="64"/>
        <v>0.35</v>
      </c>
      <c r="M253" s="180" t="s">
        <v>777</v>
      </c>
    </row>
    <row r="254" spans="1:13" ht="18.75" customHeight="1">
      <c r="A254" s="180" t="s">
        <v>756</v>
      </c>
      <c r="B254" s="180" t="s">
        <v>756</v>
      </c>
      <c r="C254" s="180" t="s">
        <v>781</v>
      </c>
      <c r="D254" s="180">
        <f t="shared" si="57"/>
        <v>365</v>
      </c>
      <c r="E254" s="184">
        <v>45188</v>
      </c>
      <c r="F254" s="184">
        <f t="shared" si="59"/>
        <v>45553</v>
      </c>
      <c r="G254" s="184">
        <f t="shared" si="58"/>
        <v>45523</v>
      </c>
      <c r="H254" s="180" t="str">
        <f t="shared" ca="1" si="60"/>
        <v>VENCIDO</v>
      </c>
      <c r="I254" s="183">
        <f t="shared" si="61"/>
        <v>95</v>
      </c>
      <c r="J254" s="182">
        <v>150</v>
      </c>
      <c r="K254" s="182">
        <f t="shared" si="63"/>
        <v>55</v>
      </c>
      <c r="L254" s="181">
        <f t="shared" si="64"/>
        <v>0.36666666666666664</v>
      </c>
      <c r="M254" s="180" t="s">
        <v>777</v>
      </c>
    </row>
    <row r="255" spans="1:13" ht="18.75" customHeight="1">
      <c r="A255" s="180" t="s">
        <v>896</v>
      </c>
      <c r="B255" s="180" t="s">
        <v>896</v>
      </c>
      <c r="C255" s="180" t="s">
        <v>778</v>
      </c>
      <c r="D255" s="180">
        <f t="shared" si="57"/>
        <v>365</v>
      </c>
      <c r="E255" s="184">
        <v>45188</v>
      </c>
      <c r="F255" s="184">
        <f t="shared" si="59"/>
        <v>45553</v>
      </c>
      <c r="G255" s="184">
        <f t="shared" si="58"/>
        <v>45523</v>
      </c>
      <c r="H255" s="180" t="str">
        <f t="shared" ca="1" si="60"/>
        <v>VENCIDO</v>
      </c>
      <c r="I255" s="183">
        <f t="shared" si="61"/>
        <v>65</v>
      </c>
      <c r="J255" s="182">
        <f t="shared" si="62"/>
        <v>100</v>
      </c>
      <c r="K255" s="182">
        <f t="shared" si="63"/>
        <v>35</v>
      </c>
      <c r="L255" s="181">
        <f t="shared" si="64"/>
        <v>0.35</v>
      </c>
      <c r="M255" s="180" t="s">
        <v>777</v>
      </c>
    </row>
    <row r="256" spans="1:13" ht="18.75" customHeight="1">
      <c r="A256" s="180" t="s">
        <v>1197</v>
      </c>
      <c r="B256" s="180" t="s">
        <v>1197</v>
      </c>
      <c r="C256" s="180" t="s">
        <v>778</v>
      </c>
      <c r="D256" s="180">
        <f t="shared" si="57"/>
        <v>365</v>
      </c>
      <c r="E256" s="184">
        <v>45189</v>
      </c>
      <c r="F256" s="184">
        <f t="shared" si="59"/>
        <v>45554</v>
      </c>
      <c r="G256" s="184">
        <f t="shared" si="58"/>
        <v>45524</v>
      </c>
      <c r="H256" s="180" t="str">
        <f t="shared" ca="1" si="60"/>
        <v>VENCIDO</v>
      </c>
      <c r="I256" s="183">
        <f t="shared" si="61"/>
        <v>65</v>
      </c>
      <c r="J256" s="182">
        <f t="shared" si="62"/>
        <v>100</v>
      </c>
      <c r="K256" s="182">
        <f t="shared" si="63"/>
        <v>35</v>
      </c>
      <c r="L256" s="181">
        <f t="shared" si="64"/>
        <v>0.35</v>
      </c>
      <c r="M256" s="180" t="s">
        <v>777</v>
      </c>
    </row>
    <row r="257" spans="1:13" ht="18.75" customHeight="1">
      <c r="A257" s="54" t="s">
        <v>463</v>
      </c>
      <c r="B257" s="54" t="s">
        <v>1198</v>
      </c>
      <c r="C257" s="180" t="s">
        <v>778</v>
      </c>
      <c r="D257" s="180">
        <f t="shared" si="57"/>
        <v>365</v>
      </c>
      <c r="E257" s="184">
        <v>45189</v>
      </c>
      <c r="F257" s="184">
        <f t="shared" si="59"/>
        <v>45554</v>
      </c>
      <c r="G257" s="184">
        <f t="shared" si="58"/>
        <v>45524</v>
      </c>
      <c r="H257" s="180" t="str">
        <f t="shared" ca="1" si="60"/>
        <v>VENCIDO</v>
      </c>
      <c r="I257" s="183">
        <f t="shared" si="61"/>
        <v>65</v>
      </c>
      <c r="J257" s="182">
        <f t="shared" si="62"/>
        <v>100</v>
      </c>
      <c r="K257" s="182">
        <f t="shared" si="63"/>
        <v>35</v>
      </c>
      <c r="L257" s="181">
        <f t="shared" si="64"/>
        <v>0.35</v>
      </c>
      <c r="M257" s="180" t="s">
        <v>1153</v>
      </c>
    </row>
    <row r="258" spans="1:13" ht="18.75" customHeight="1">
      <c r="A258" s="180" t="s">
        <v>1199</v>
      </c>
      <c r="B258" s="180" t="s">
        <v>1199</v>
      </c>
      <c r="C258" s="180" t="s">
        <v>781</v>
      </c>
      <c r="D258" s="180">
        <f t="shared" si="57"/>
        <v>365</v>
      </c>
      <c r="E258" s="184">
        <v>45194</v>
      </c>
      <c r="F258" s="184">
        <f t="shared" si="59"/>
        <v>45559</v>
      </c>
      <c r="G258" s="184">
        <f t="shared" si="58"/>
        <v>45529</v>
      </c>
      <c r="H258" s="180" t="str">
        <f t="shared" ca="1" si="60"/>
        <v>VENCIDO</v>
      </c>
      <c r="I258" s="183">
        <f t="shared" si="61"/>
        <v>95</v>
      </c>
      <c r="J258" s="182">
        <v>150</v>
      </c>
      <c r="K258" s="182">
        <f t="shared" si="63"/>
        <v>55</v>
      </c>
      <c r="L258" s="181">
        <f t="shared" si="64"/>
        <v>0.36666666666666664</v>
      </c>
      <c r="M258" s="180" t="s">
        <v>777</v>
      </c>
    </row>
    <row r="259" spans="1:13" ht="18.75" customHeight="1">
      <c r="A259" s="180" t="s">
        <v>1200</v>
      </c>
      <c r="B259" s="180" t="s">
        <v>1200</v>
      </c>
      <c r="C259" s="180" t="s">
        <v>781</v>
      </c>
      <c r="D259" s="180">
        <f t="shared" si="57"/>
        <v>365</v>
      </c>
      <c r="E259" s="184">
        <v>45201</v>
      </c>
      <c r="F259" s="184">
        <f t="shared" si="59"/>
        <v>45566</v>
      </c>
      <c r="G259" s="184">
        <f t="shared" si="58"/>
        <v>45536</v>
      </c>
      <c r="H259" s="180" t="str">
        <f t="shared" ca="1" si="60"/>
        <v>VENCIDO</v>
      </c>
      <c r="I259" s="183">
        <f t="shared" si="61"/>
        <v>95</v>
      </c>
      <c r="J259" s="182">
        <v>150</v>
      </c>
      <c r="K259" s="182">
        <f t="shared" si="63"/>
        <v>55</v>
      </c>
      <c r="L259" s="181">
        <f t="shared" si="64"/>
        <v>0.36666666666666664</v>
      </c>
      <c r="M259" s="180" t="s">
        <v>777</v>
      </c>
    </row>
    <row r="260" spans="1:13" ht="18.75" customHeight="1">
      <c r="A260" s="180" t="s">
        <v>1201</v>
      </c>
      <c r="B260" s="180" t="s">
        <v>1201</v>
      </c>
      <c r="C260" s="180" t="s">
        <v>778</v>
      </c>
      <c r="D260" s="180">
        <f t="shared" si="57"/>
        <v>365</v>
      </c>
      <c r="E260" s="184">
        <v>45202</v>
      </c>
      <c r="F260" s="184">
        <f t="shared" si="59"/>
        <v>45567</v>
      </c>
      <c r="G260" s="184">
        <f t="shared" si="58"/>
        <v>45537</v>
      </c>
      <c r="H260" s="180" t="str">
        <f t="shared" ca="1" si="60"/>
        <v>VENCIDO</v>
      </c>
      <c r="I260" s="183">
        <f t="shared" si="61"/>
        <v>65</v>
      </c>
      <c r="J260" s="182">
        <f t="shared" si="62"/>
        <v>100</v>
      </c>
      <c r="K260" s="182">
        <f t="shared" si="63"/>
        <v>35</v>
      </c>
      <c r="L260" s="181">
        <f t="shared" si="64"/>
        <v>0.35</v>
      </c>
      <c r="M260" s="180" t="s">
        <v>1153</v>
      </c>
    </row>
    <row r="261" spans="1:13" ht="18.75" customHeight="1">
      <c r="A261" s="180" t="s">
        <v>1202</v>
      </c>
      <c r="B261" s="180" t="s">
        <v>658</v>
      </c>
      <c r="C261" s="180" t="s">
        <v>781</v>
      </c>
      <c r="D261" s="180">
        <f t="shared" si="57"/>
        <v>365</v>
      </c>
      <c r="E261" s="184">
        <v>45205</v>
      </c>
      <c r="F261" s="184">
        <f t="shared" si="59"/>
        <v>45570</v>
      </c>
      <c r="G261" s="184">
        <f t="shared" si="58"/>
        <v>45540</v>
      </c>
      <c r="H261" s="180" t="str">
        <f t="shared" ca="1" si="60"/>
        <v>VENCIDO</v>
      </c>
      <c r="I261" s="183">
        <f t="shared" si="61"/>
        <v>95</v>
      </c>
      <c r="J261" s="182">
        <v>150</v>
      </c>
      <c r="K261" s="182">
        <f t="shared" si="63"/>
        <v>55</v>
      </c>
      <c r="L261" s="181">
        <f t="shared" si="64"/>
        <v>0.36666666666666664</v>
      </c>
      <c r="M261" s="180" t="s">
        <v>1153</v>
      </c>
    </row>
    <row r="262" spans="1:13" ht="18.75" customHeight="1">
      <c r="A262" s="180" t="s">
        <v>1231</v>
      </c>
      <c r="B262" s="180" t="s">
        <v>1231</v>
      </c>
      <c r="C262" s="180" t="s">
        <v>781</v>
      </c>
      <c r="D262" s="180">
        <f t="shared" si="57"/>
        <v>365</v>
      </c>
      <c r="E262" s="184">
        <v>45209</v>
      </c>
      <c r="F262" s="184">
        <f t="shared" si="59"/>
        <v>45574</v>
      </c>
      <c r="G262" s="184">
        <f t="shared" si="58"/>
        <v>45544</v>
      </c>
      <c r="H262" s="180" t="str">
        <f t="shared" ca="1" si="60"/>
        <v>VENCIDO</v>
      </c>
      <c r="I262" s="183">
        <f t="shared" si="61"/>
        <v>95</v>
      </c>
      <c r="J262" s="182">
        <v>150</v>
      </c>
      <c r="K262" s="182">
        <f t="shared" si="63"/>
        <v>55</v>
      </c>
      <c r="L262" s="181">
        <f t="shared" si="64"/>
        <v>0.36666666666666664</v>
      </c>
      <c r="M262" s="180" t="s">
        <v>777</v>
      </c>
    </row>
    <row r="263" spans="1:13" ht="18.75" customHeight="1">
      <c r="A263" s="180" t="s">
        <v>1232</v>
      </c>
      <c r="B263" s="180" t="s">
        <v>1232</v>
      </c>
      <c r="C263" s="180" t="s">
        <v>778</v>
      </c>
      <c r="D263" s="180">
        <f t="shared" si="57"/>
        <v>365</v>
      </c>
      <c r="E263" s="184">
        <v>45210</v>
      </c>
      <c r="F263" s="184">
        <f t="shared" si="59"/>
        <v>45575</v>
      </c>
      <c r="G263" s="184">
        <f t="shared" si="58"/>
        <v>45545</v>
      </c>
      <c r="H263" s="180" t="str">
        <f t="shared" ca="1" si="60"/>
        <v>VENCIDO</v>
      </c>
      <c r="I263" s="183">
        <f t="shared" si="61"/>
        <v>65</v>
      </c>
      <c r="J263" s="182">
        <f t="shared" si="62"/>
        <v>100</v>
      </c>
      <c r="K263" s="182">
        <f t="shared" si="63"/>
        <v>35</v>
      </c>
      <c r="L263" s="181">
        <f t="shared" si="64"/>
        <v>0.35</v>
      </c>
      <c r="M263" s="180" t="s">
        <v>777</v>
      </c>
    </row>
    <row r="264" spans="1:13" ht="18.75" customHeight="1">
      <c r="A264" s="180" t="s">
        <v>43</v>
      </c>
      <c r="B264" s="180" t="s">
        <v>1233</v>
      </c>
      <c r="C264" s="180" t="s">
        <v>781</v>
      </c>
      <c r="D264" s="180">
        <f t="shared" si="57"/>
        <v>365</v>
      </c>
      <c r="E264" s="184">
        <v>45218</v>
      </c>
      <c r="F264" s="184">
        <f t="shared" si="59"/>
        <v>45583</v>
      </c>
      <c r="G264" s="184">
        <f t="shared" si="58"/>
        <v>45553</v>
      </c>
      <c r="H264" s="180" t="str">
        <f t="shared" ca="1" si="60"/>
        <v>VENCIDO</v>
      </c>
      <c r="I264" s="183">
        <f t="shared" si="61"/>
        <v>95</v>
      </c>
      <c r="J264" s="182">
        <v>150</v>
      </c>
      <c r="K264" s="182">
        <f t="shared" si="63"/>
        <v>55</v>
      </c>
      <c r="L264" s="181">
        <f t="shared" si="64"/>
        <v>0.36666666666666664</v>
      </c>
      <c r="M264" s="180" t="s">
        <v>1153</v>
      </c>
    </row>
    <row r="265" spans="1:13" ht="18.75" customHeight="1">
      <c r="A265" s="180" t="s">
        <v>1234</v>
      </c>
      <c r="B265" s="180" t="s">
        <v>1234</v>
      </c>
      <c r="C265" s="180" t="s">
        <v>778</v>
      </c>
      <c r="D265" s="180">
        <f t="shared" si="57"/>
        <v>365</v>
      </c>
      <c r="E265" s="184">
        <v>45223</v>
      </c>
      <c r="F265" s="184">
        <f t="shared" si="59"/>
        <v>45588</v>
      </c>
      <c r="G265" s="184">
        <f t="shared" si="58"/>
        <v>45558</v>
      </c>
      <c r="H265" s="180" t="str">
        <f t="shared" ca="1" si="60"/>
        <v>VENCIDO</v>
      </c>
      <c r="I265" s="183">
        <f t="shared" si="61"/>
        <v>65</v>
      </c>
      <c r="J265" s="182">
        <f t="shared" si="62"/>
        <v>100</v>
      </c>
      <c r="K265" s="182">
        <f t="shared" si="63"/>
        <v>35</v>
      </c>
      <c r="L265" s="181">
        <f t="shared" si="64"/>
        <v>0.35</v>
      </c>
      <c r="M265" s="180" t="s">
        <v>777</v>
      </c>
    </row>
    <row r="266" spans="1:13" ht="18.75" customHeight="1">
      <c r="A266" s="180" t="s">
        <v>741</v>
      </c>
      <c r="B266" s="180" t="s">
        <v>741</v>
      </c>
      <c r="C266" s="180" t="s">
        <v>778</v>
      </c>
      <c r="D266" s="180">
        <f t="shared" si="57"/>
        <v>365</v>
      </c>
      <c r="E266" s="184">
        <v>45223</v>
      </c>
      <c r="F266" s="184">
        <f t="shared" si="59"/>
        <v>45588</v>
      </c>
      <c r="G266" s="184">
        <f t="shared" si="58"/>
        <v>45558</v>
      </c>
      <c r="H266" s="180" t="str">
        <f t="shared" ca="1" si="60"/>
        <v>VENCIDO</v>
      </c>
      <c r="I266" s="183">
        <f t="shared" si="61"/>
        <v>65</v>
      </c>
      <c r="J266" s="182">
        <f t="shared" si="62"/>
        <v>100</v>
      </c>
      <c r="K266" s="182">
        <f t="shared" si="63"/>
        <v>35</v>
      </c>
      <c r="L266" s="181">
        <f t="shared" si="64"/>
        <v>0.35</v>
      </c>
      <c r="M266" s="180" t="s">
        <v>777</v>
      </c>
    </row>
    <row r="267" spans="1:13" ht="18.75" customHeight="1">
      <c r="A267" s="180" t="s">
        <v>1235</v>
      </c>
      <c r="B267" s="180" t="s">
        <v>1235</v>
      </c>
      <c r="C267" s="180" t="s">
        <v>778</v>
      </c>
      <c r="D267" s="180">
        <f t="shared" si="57"/>
        <v>365</v>
      </c>
      <c r="E267" s="184">
        <v>45224</v>
      </c>
      <c r="F267" s="184">
        <f t="shared" si="59"/>
        <v>45589</v>
      </c>
      <c r="G267" s="184">
        <f t="shared" si="58"/>
        <v>45559</v>
      </c>
      <c r="H267" s="180" t="str">
        <f t="shared" ca="1" si="60"/>
        <v>VENCIDO</v>
      </c>
      <c r="I267" s="183">
        <f t="shared" si="61"/>
        <v>65</v>
      </c>
      <c r="J267" s="182">
        <f t="shared" si="62"/>
        <v>100</v>
      </c>
      <c r="K267" s="182">
        <f t="shared" si="63"/>
        <v>35</v>
      </c>
      <c r="L267" s="181">
        <f t="shared" si="64"/>
        <v>0.35</v>
      </c>
      <c r="M267" s="180" t="s">
        <v>777</v>
      </c>
    </row>
    <row r="268" spans="1:13" ht="18.75" customHeight="1">
      <c r="A268" s="180" t="s">
        <v>1236</v>
      </c>
      <c r="B268" s="180" t="s">
        <v>1236</v>
      </c>
      <c r="C268" s="180" t="s">
        <v>778</v>
      </c>
      <c r="D268" s="180">
        <f t="shared" ref="D268:D332" si="65">IF(C268="A1 - 1 ano PJ",365,IF(C268="A1 - 1 ano PF",365,(365*3)))</f>
        <v>365</v>
      </c>
      <c r="E268" s="184">
        <v>45225</v>
      </c>
      <c r="F268" s="184">
        <f t="shared" si="59"/>
        <v>45590</v>
      </c>
      <c r="G268" s="184">
        <f t="shared" ref="G268:G332" si="66">F268-30</f>
        <v>45560</v>
      </c>
      <c r="H268" s="180" t="str">
        <f t="shared" ca="1" si="60"/>
        <v>VENCIDO</v>
      </c>
      <c r="I268" s="183">
        <f t="shared" si="61"/>
        <v>65</v>
      </c>
      <c r="J268" s="182">
        <f t="shared" si="62"/>
        <v>100</v>
      </c>
      <c r="K268" s="182">
        <f t="shared" si="63"/>
        <v>35</v>
      </c>
      <c r="L268" s="181">
        <f t="shared" si="64"/>
        <v>0.35</v>
      </c>
      <c r="M268" s="180" t="s">
        <v>777</v>
      </c>
    </row>
    <row r="269" spans="1:13" ht="18.75" customHeight="1">
      <c r="A269" s="180" t="s">
        <v>1237</v>
      </c>
      <c r="B269" s="180" t="s">
        <v>1237</v>
      </c>
      <c r="C269" s="180" t="s">
        <v>778</v>
      </c>
      <c r="D269" s="180">
        <f t="shared" si="65"/>
        <v>365</v>
      </c>
      <c r="E269" s="184">
        <v>45230</v>
      </c>
      <c r="F269" s="184">
        <f t="shared" si="59"/>
        <v>45595</v>
      </c>
      <c r="G269" s="184">
        <f t="shared" si="66"/>
        <v>45565</v>
      </c>
      <c r="H269" s="180" t="str">
        <f t="shared" ca="1" si="60"/>
        <v>VENCIDO</v>
      </c>
      <c r="I269" s="183">
        <f t="shared" si="61"/>
        <v>65</v>
      </c>
      <c r="J269" s="182">
        <f t="shared" si="62"/>
        <v>100</v>
      </c>
      <c r="K269" s="182">
        <f t="shared" si="63"/>
        <v>35</v>
      </c>
      <c r="L269" s="181">
        <f t="shared" si="64"/>
        <v>0.35</v>
      </c>
      <c r="M269" s="180" t="s">
        <v>777</v>
      </c>
    </row>
    <row r="270" spans="1:13" ht="18.75" customHeight="1">
      <c r="A270" s="180" t="s">
        <v>1238</v>
      </c>
      <c r="B270" s="180" t="s">
        <v>1238</v>
      </c>
      <c r="C270" s="180" t="s">
        <v>781</v>
      </c>
      <c r="D270" s="180">
        <f t="shared" si="65"/>
        <v>365</v>
      </c>
      <c r="E270" s="184">
        <v>45230</v>
      </c>
      <c r="F270" s="184">
        <f t="shared" si="59"/>
        <v>45595</v>
      </c>
      <c r="G270" s="184">
        <f t="shared" si="66"/>
        <v>45565</v>
      </c>
      <c r="H270" s="180" t="str">
        <f t="shared" ca="1" si="60"/>
        <v>VENCIDO</v>
      </c>
      <c r="I270" s="183">
        <f t="shared" si="61"/>
        <v>95</v>
      </c>
      <c r="J270" s="182">
        <v>150</v>
      </c>
      <c r="K270" s="182">
        <f t="shared" si="63"/>
        <v>55</v>
      </c>
      <c r="L270" s="181">
        <f t="shared" si="64"/>
        <v>0.36666666666666664</v>
      </c>
      <c r="M270" s="180" t="s">
        <v>777</v>
      </c>
    </row>
    <row r="271" spans="1:13" ht="18.75" customHeight="1">
      <c r="A271" s="180" t="s">
        <v>1239</v>
      </c>
      <c r="B271" s="180" t="s">
        <v>1239</v>
      </c>
      <c r="C271" s="180" t="s">
        <v>778</v>
      </c>
      <c r="D271" s="180">
        <f t="shared" si="65"/>
        <v>365</v>
      </c>
      <c r="E271" s="184">
        <v>45236</v>
      </c>
      <c r="F271" s="184">
        <f t="shared" si="59"/>
        <v>45601</v>
      </c>
      <c r="G271" s="184">
        <f t="shared" si="66"/>
        <v>45571</v>
      </c>
      <c r="H271" s="180" t="str">
        <f t="shared" ca="1" si="60"/>
        <v>VENCIDO</v>
      </c>
      <c r="I271" s="183">
        <f t="shared" si="61"/>
        <v>65</v>
      </c>
      <c r="J271" s="182">
        <f t="shared" si="62"/>
        <v>100</v>
      </c>
      <c r="K271" s="182">
        <f t="shared" si="63"/>
        <v>35</v>
      </c>
      <c r="L271" s="181">
        <f t="shared" si="64"/>
        <v>0.35</v>
      </c>
      <c r="M271" s="180" t="s">
        <v>777</v>
      </c>
    </row>
    <row r="272" spans="1:13" ht="18.75" customHeight="1">
      <c r="A272" s="180" t="s">
        <v>1250</v>
      </c>
      <c r="B272" s="180" t="s">
        <v>1165</v>
      </c>
      <c r="C272" s="180" t="s">
        <v>781</v>
      </c>
      <c r="D272" s="180">
        <f t="shared" si="65"/>
        <v>365</v>
      </c>
      <c r="E272" s="184">
        <v>45247</v>
      </c>
      <c r="F272" s="184">
        <f t="shared" ref="F272:F336" si="67">E272+D272</f>
        <v>45612</v>
      </c>
      <c r="G272" s="184">
        <f t="shared" si="66"/>
        <v>45582</v>
      </c>
      <c r="H272" s="180" t="str">
        <f t="shared" ref="H272:H336" ca="1" si="68">IF($A$6&lt;G272,"VÁLIDO",IF($A$6&gt;F272,"VENCIDO","A VENCER"))</f>
        <v>VENCIDO</v>
      </c>
      <c r="I272" s="183">
        <f>VLOOKUP(C272,$M$3:$O$6,2,0)</f>
        <v>95</v>
      </c>
      <c r="J272" s="182">
        <v>150</v>
      </c>
      <c r="K272" s="182">
        <f t="shared" ref="K272:K336" si="69">J272-I272</f>
        <v>55</v>
      </c>
      <c r="L272" s="181">
        <f t="shared" ref="L272:L336" si="70">K272/J272</f>
        <v>0.36666666666666664</v>
      </c>
      <c r="M272" s="180" t="s">
        <v>1153</v>
      </c>
    </row>
    <row r="273" spans="1:15" ht="18.75" customHeight="1">
      <c r="A273" s="456" t="s">
        <v>1294</v>
      </c>
      <c r="B273" s="457"/>
      <c r="C273" s="457"/>
      <c r="D273" s="457"/>
      <c r="E273" s="457"/>
      <c r="F273" s="457"/>
      <c r="G273" s="457"/>
      <c r="H273" s="457"/>
      <c r="I273" s="457"/>
      <c r="J273" s="457"/>
      <c r="K273" s="457"/>
      <c r="L273" s="457"/>
      <c r="M273" s="458"/>
    </row>
    <row r="274" spans="1:15" ht="18.75" customHeight="1">
      <c r="A274" s="459"/>
      <c r="B274" s="460"/>
      <c r="C274" s="460"/>
      <c r="D274" s="460"/>
      <c r="E274" s="460"/>
      <c r="F274" s="460"/>
      <c r="G274" s="460"/>
      <c r="H274" s="460"/>
      <c r="I274" s="460"/>
      <c r="J274" s="460"/>
      <c r="K274" s="460"/>
      <c r="L274" s="460"/>
      <c r="M274" s="461"/>
    </row>
    <row r="275" spans="1:15" ht="18.75" customHeight="1">
      <c r="A275" s="180" t="s">
        <v>639</v>
      </c>
      <c r="B275" s="180" t="s">
        <v>639</v>
      </c>
      <c r="C275" s="180" t="s">
        <v>778</v>
      </c>
      <c r="D275" s="180">
        <f t="shared" si="65"/>
        <v>365</v>
      </c>
      <c r="E275" s="184">
        <v>45275</v>
      </c>
      <c r="F275" s="184">
        <f t="shared" si="67"/>
        <v>45640</v>
      </c>
      <c r="G275" s="184">
        <f t="shared" si="66"/>
        <v>45610</v>
      </c>
      <c r="H275" s="180" t="str">
        <f t="shared" ca="1" si="68"/>
        <v>VENCIDO</v>
      </c>
      <c r="I275" s="183">
        <v>75</v>
      </c>
      <c r="J275" s="182">
        <f t="shared" ref="J275:J336" si="71">VLOOKUP(C275,$M$3:$O$6,3,0)</f>
        <v>100</v>
      </c>
      <c r="K275" s="182">
        <f t="shared" si="69"/>
        <v>25</v>
      </c>
      <c r="L275" s="181">
        <f t="shared" si="70"/>
        <v>0.25</v>
      </c>
      <c r="M275" s="180" t="s">
        <v>777</v>
      </c>
    </row>
    <row r="276" spans="1:15" ht="18.75" customHeight="1">
      <c r="A276" s="180" t="s">
        <v>54</v>
      </c>
      <c r="B276" s="180"/>
      <c r="C276" s="180" t="s">
        <v>785</v>
      </c>
      <c r="D276" s="180">
        <f t="shared" si="65"/>
        <v>1095</v>
      </c>
      <c r="E276" s="184">
        <v>45275</v>
      </c>
      <c r="F276" s="184">
        <f t="shared" si="67"/>
        <v>46370</v>
      </c>
      <c r="G276" s="184">
        <f t="shared" si="66"/>
        <v>46340</v>
      </c>
      <c r="H276" s="180" t="str">
        <f t="shared" ca="1" si="68"/>
        <v>VÁLIDO</v>
      </c>
      <c r="I276" s="183">
        <v>95</v>
      </c>
      <c r="J276" s="182">
        <f t="shared" si="71"/>
        <v>285</v>
      </c>
      <c r="K276" s="182">
        <f t="shared" si="69"/>
        <v>190</v>
      </c>
      <c r="L276" s="181">
        <f t="shared" si="70"/>
        <v>0.66666666666666663</v>
      </c>
      <c r="M276" s="180" t="s">
        <v>777</v>
      </c>
    </row>
    <row r="277" spans="1:15" ht="18.75" customHeight="1">
      <c r="A277" s="180" t="s">
        <v>231</v>
      </c>
      <c r="B277" s="180" t="s">
        <v>231</v>
      </c>
      <c r="C277" s="180" t="s">
        <v>778</v>
      </c>
      <c r="D277" s="180">
        <f t="shared" si="65"/>
        <v>365</v>
      </c>
      <c r="E277" s="184">
        <v>45275</v>
      </c>
      <c r="F277" s="184">
        <f t="shared" si="67"/>
        <v>45640</v>
      </c>
      <c r="G277" s="184">
        <f t="shared" si="66"/>
        <v>45610</v>
      </c>
      <c r="H277" s="180" t="str">
        <f t="shared" ca="1" si="68"/>
        <v>VENCIDO</v>
      </c>
      <c r="I277" s="183">
        <v>75</v>
      </c>
      <c r="J277" s="182">
        <f t="shared" si="71"/>
        <v>100</v>
      </c>
      <c r="K277" s="182">
        <f t="shared" si="69"/>
        <v>25</v>
      </c>
      <c r="L277" s="181">
        <f t="shared" si="70"/>
        <v>0.25</v>
      </c>
      <c r="M277" s="180" t="s">
        <v>777</v>
      </c>
    </row>
    <row r="278" spans="1:15" ht="18.75" customHeight="1">
      <c r="A278" s="180" t="s">
        <v>1286</v>
      </c>
      <c r="B278" s="180" t="s">
        <v>7</v>
      </c>
      <c r="C278" s="180" t="s">
        <v>781</v>
      </c>
      <c r="D278" s="180">
        <f t="shared" si="65"/>
        <v>365</v>
      </c>
      <c r="E278" s="184">
        <v>45275</v>
      </c>
      <c r="F278" s="184">
        <f t="shared" si="67"/>
        <v>45640</v>
      </c>
      <c r="G278" s="184">
        <f t="shared" si="66"/>
        <v>45610</v>
      </c>
      <c r="H278" s="180" t="str">
        <f t="shared" ca="1" si="68"/>
        <v>VENCIDO</v>
      </c>
      <c r="I278" s="183">
        <v>85</v>
      </c>
      <c r="J278" s="182">
        <f t="shared" si="71"/>
        <v>180</v>
      </c>
      <c r="K278" s="182">
        <f t="shared" si="69"/>
        <v>95</v>
      </c>
      <c r="L278" s="181">
        <f t="shared" si="70"/>
        <v>0.52777777777777779</v>
      </c>
      <c r="M278" s="180" t="s">
        <v>777</v>
      </c>
    </row>
    <row r="279" spans="1:15" ht="18.75" customHeight="1">
      <c r="A279" s="180" t="s">
        <v>1287</v>
      </c>
      <c r="B279" s="180"/>
      <c r="C279" s="180" t="s">
        <v>781</v>
      </c>
      <c r="D279" s="180">
        <f t="shared" si="65"/>
        <v>365</v>
      </c>
      <c r="E279" s="184">
        <v>45281</v>
      </c>
      <c r="F279" s="184">
        <f t="shared" si="67"/>
        <v>45646</v>
      </c>
      <c r="G279" s="184">
        <f t="shared" si="66"/>
        <v>45616</v>
      </c>
      <c r="H279" s="180" t="str">
        <f t="shared" ca="1" si="68"/>
        <v>VENCIDO</v>
      </c>
      <c r="I279" s="183">
        <v>85</v>
      </c>
      <c r="J279" s="182">
        <f t="shared" si="71"/>
        <v>180</v>
      </c>
      <c r="K279" s="182">
        <f t="shared" si="69"/>
        <v>95</v>
      </c>
      <c r="L279" s="181">
        <f t="shared" si="70"/>
        <v>0.52777777777777779</v>
      </c>
      <c r="M279" s="180" t="s">
        <v>777</v>
      </c>
    </row>
    <row r="280" spans="1:15" ht="18.75" customHeight="1">
      <c r="A280" s="180" t="s">
        <v>519</v>
      </c>
      <c r="B280" s="180" t="s">
        <v>519</v>
      </c>
      <c r="C280" s="180" t="s">
        <v>778</v>
      </c>
      <c r="D280" s="180">
        <f t="shared" si="65"/>
        <v>365</v>
      </c>
      <c r="E280" s="184">
        <v>45282</v>
      </c>
      <c r="F280" s="184">
        <f t="shared" si="67"/>
        <v>45647</v>
      </c>
      <c r="G280" s="184">
        <f t="shared" si="66"/>
        <v>45617</v>
      </c>
      <c r="H280" s="180" t="str">
        <f t="shared" ca="1" si="68"/>
        <v>VENCIDO</v>
      </c>
      <c r="I280" s="183">
        <v>75</v>
      </c>
      <c r="J280" s="182">
        <f t="shared" si="71"/>
        <v>100</v>
      </c>
      <c r="K280" s="182">
        <f t="shared" si="69"/>
        <v>25</v>
      </c>
      <c r="L280" s="181">
        <f t="shared" si="70"/>
        <v>0.25</v>
      </c>
      <c r="M280" s="180" t="s">
        <v>777</v>
      </c>
    </row>
    <row r="281" spans="1:15" ht="18.75" customHeight="1">
      <c r="A281" s="180" t="s">
        <v>1288</v>
      </c>
      <c r="B281" s="180"/>
      <c r="C281" s="180" t="s">
        <v>781</v>
      </c>
      <c r="D281" s="180">
        <f t="shared" si="65"/>
        <v>365</v>
      </c>
      <c r="E281" s="184">
        <v>45286</v>
      </c>
      <c r="F281" s="184">
        <f t="shared" si="67"/>
        <v>45651</v>
      </c>
      <c r="G281" s="184">
        <f t="shared" si="66"/>
        <v>45621</v>
      </c>
      <c r="H281" s="180" t="str">
        <f t="shared" ca="1" si="68"/>
        <v>VENCIDO</v>
      </c>
      <c r="I281" s="183">
        <v>85</v>
      </c>
      <c r="J281" s="182">
        <f t="shared" si="71"/>
        <v>180</v>
      </c>
      <c r="K281" s="182">
        <f t="shared" si="69"/>
        <v>95</v>
      </c>
      <c r="L281" s="181">
        <f t="shared" si="70"/>
        <v>0.52777777777777779</v>
      </c>
      <c r="M281" s="180" t="s">
        <v>777</v>
      </c>
    </row>
    <row r="282" spans="1:15" ht="18.75" customHeight="1">
      <c r="A282" s="180" t="s">
        <v>1289</v>
      </c>
      <c r="B282" s="180" t="s">
        <v>1289</v>
      </c>
      <c r="C282" s="180" t="s">
        <v>778</v>
      </c>
      <c r="D282" s="180">
        <f t="shared" si="65"/>
        <v>365</v>
      </c>
      <c r="E282" s="184">
        <v>45287</v>
      </c>
      <c r="F282" s="184">
        <f t="shared" si="67"/>
        <v>45652</v>
      </c>
      <c r="G282" s="184">
        <f t="shared" si="66"/>
        <v>45622</v>
      </c>
      <c r="H282" s="180" t="str">
        <f t="shared" ca="1" si="68"/>
        <v>VENCIDO</v>
      </c>
      <c r="I282" s="183">
        <v>75</v>
      </c>
      <c r="J282" s="182">
        <f t="shared" si="71"/>
        <v>100</v>
      </c>
      <c r="K282" s="182">
        <f t="shared" si="69"/>
        <v>25</v>
      </c>
      <c r="L282" s="181">
        <f t="shared" si="70"/>
        <v>0.25</v>
      </c>
      <c r="M282" s="180" t="s">
        <v>777</v>
      </c>
    </row>
    <row r="283" spans="1:15" ht="18.75" customHeight="1">
      <c r="A283" s="180" t="s">
        <v>598</v>
      </c>
      <c r="B283" s="180" t="s">
        <v>598</v>
      </c>
      <c r="C283" s="180" t="s">
        <v>778</v>
      </c>
      <c r="D283" s="180">
        <f t="shared" si="65"/>
        <v>365</v>
      </c>
      <c r="E283" s="184">
        <v>45288</v>
      </c>
      <c r="F283" s="184">
        <f t="shared" si="67"/>
        <v>45653</v>
      </c>
      <c r="G283" s="184">
        <f t="shared" si="66"/>
        <v>45623</v>
      </c>
      <c r="H283" s="180" t="str">
        <f t="shared" ca="1" si="68"/>
        <v>VENCIDO</v>
      </c>
      <c r="I283" s="183">
        <v>75</v>
      </c>
      <c r="J283" s="182">
        <f t="shared" si="71"/>
        <v>100</v>
      </c>
      <c r="K283" s="182">
        <f t="shared" si="69"/>
        <v>25</v>
      </c>
      <c r="L283" s="181">
        <f t="shared" si="70"/>
        <v>0.25</v>
      </c>
      <c r="M283" s="180" t="s">
        <v>777</v>
      </c>
    </row>
    <row r="284" spans="1:15" ht="21.75" customHeight="1">
      <c r="A284" s="451" t="s">
        <v>1295</v>
      </c>
      <c r="B284" s="452"/>
      <c r="C284" s="452"/>
      <c r="D284" s="452"/>
      <c r="E284" s="452"/>
      <c r="F284" s="452"/>
      <c r="G284" s="452"/>
      <c r="H284" s="452"/>
      <c r="I284" s="452"/>
      <c r="J284" s="452"/>
      <c r="K284" s="452"/>
      <c r="L284" s="452"/>
      <c r="M284" s="453"/>
    </row>
    <row r="285" spans="1:15" ht="18.75" customHeight="1">
      <c r="A285" s="180" t="s">
        <v>1290</v>
      </c>
      <c r="B285" s="180" t="s">
        <v>1257</v>
      </c>
      <c r="C285" s="180" t="s">
        <v>778</v>
      </c>
      <c r="D285" s="180">
        <f t="shared" si="65"/>
        <v>365</v>
      </c>
      <c r="E285" s="184">
        <v>45294</v>
      </c>
      <c r="F285" s="184">
        <f t="shared" si="67"/>
        <v>45659</v>
      </c>
      <c r="G285" s="184">
        <f t="shared" si="66"/>
        <v>45629</v>
      </c>
      <c r="H285" s="180" t="str">
        <f t="shared" ca="1" si="68"/>
        <v>VENCIDO</v>
      </c>
      <c r="I285" s="183">
        <v>75</v>
      </c>
      <c r="J285" s="182">
        <f t="shared" si="71"/>
        <v>100</v>
      </c>
      <c r="K285" s="182">
        <f>J285-I285</f>
        <v>25</v>
      </c>
      <c r="L285" s="181">
        <f t="shared" si="70"/>
        <v>0.25</v>
      </c>
      <c r="M285" s="180" t="s">
        <v>777</v>
      </c>
    </row>
    <row r="286" spans="1:15" ht="18.75" customHeight="1">
      <c r="A286" s="180" t="s">
        <v>191</v>
      </c>
      <c r="B286" s="180" t="s">
        <v>1235</v>
      </c>
      <c r="C286" s="180" t="s">
        <v>781</v>
      </c>
      <c r="D286" s="180">
        <f t="shared" si="65"/>
        <v>365</v>
      </c>
      <c r="E286" s="184">
        <v>45295</v>
      </c>
      <c r="F286" s="184">
        <f t="shared" si="67"/>
        <v>45660</v>
      </c>
      <c r="G286" s="184">
        <f t="shared" si="66"/>
        <v>45630</v>
      </c>
      <c r="H286" s="180" t="str">
        <f t="shared" ca="1" si="68"/>
        <v>VENCIDO</v>
      </c>
      <c r="I286" s="183">
        <v>85</v>
      </c>
      <c r="J286" s="182">
        <v>150</v>
      </c>
      <c r="K286" s="182">
        <f t="shared" si="69"/>
        <v>65</v>
      </c>
      <c r="L286" s="181">
        <f t="shared" si="70"/>
        <v>0.43333333333333335</v>
      </c>
      <c r="M286" s="180" t="s">
        <v>777</v>
      </c>
    </row>
    <row r="287" spans="1:15" ht="18.75" customHeight="1">
      <c r="A287" s="180" t="s">
        <v>787</v>
      </c>
      <c r="B287" s="180" t="s">
        <v>786</v>
      </c>
      <c r="C287" s="180" t="s">
        <v>781</v>
      </c>
      <c r="D287" s="180">
        <f t="shared" si="65"/>
        <v>365</v>
      </c>
      <c r="E287" s="184">
        <v>45300</v>
      </c>
      <c r="F287" s="184">
        <f t="shared" si="67"/>
        <v>45665</v>
      </c>
      <c r="G287" s="184">
        <f t="shared" si="66"/>
        <v>45635</v>
      </c>
      <c r="H287" s="180" t="str">
        <f t="shared" ca="1" si="68"/>
        <v>VENCIDO</v>
      </c>
      <c r="I287" s="183">
        <v>85</v>
      </c>
      <c r="J287" s="182">
        <v>150</v>
      </c>
      <c r="K287" s="182">
        <f t="shared" si="69"/>
        <v>65</v>
      </c>
      <c r="L287" s="181">
        <f t="shared" si="70"/>
        <v>0.43333333333333335</v>
      </c>
      <c r="M287" s="180" t="s">
        <v>777</v>
      </c>
    </row>
    <row r="288" spans="1:15" ht="18.75" customHeight="1">
      <c r="A288" s="180" t="s">
        <v>1291</v>
      </c>
      <c r="B288" s="180" t="s">
        <v>1293</v>
      </c>
      <c r="C288" s="180" t="s">
        <v>785</v>
      </c>
      <c r="D288" s="180">
        <f t="shared" si="65"/>
        <v>1095</v>
      </c>
      <c r="E288" s="184">
        <v>45302</v>
      </c>
      <c r="F288" s="184">
        <f t="shared" si="67"/>
        <v>46397</v>
      </c>
      <c r="G288" s="184">
        <f t="shared" si="66"/>
        <v>46367</v>
      </c>
      <c r="H288" s="180" t="str">
        <f t="shared" ca="1" si="68"/>
        <v>VÁLIDO</v>
      </c>
      <c r="I288" s="183">
        <v>95</v>
      </c>
      <c r="J288" s="182">
        <v>270</v>
      </c>
      <c r="K288" s="182">
        <f t="shared" si="69"/>
        <v>175</v>
      </c>
      <c r="L288" s="181">
        <f t="shared" si="70"/>
        <v>0.64814814814814814</v>
      </c>
      <c r="M288" s="180" t="s">
        <v>777</v>
      </c>
      <c r="N288" s="177" t="s">
        <v>1322</v>
      </c>
      <c r="O288" s="233">
        <f>SUM(J285:J301)</f>
        <v>2650</v>
      </c>
    </row>
    <row r="289" spans="1:15" ht="18.75" customHeight="1">
      <c r="A289" s="180" t="s">
        <v>1292</v>
      </c>
      <c r="B289" s="180" t="s">
        <v>1292</v>
      </c>
      <c r="C289" s="180" t="s">
        <v>778</v>
      </c>
      <c r="D289" s="180">
        <f t="shared" si="65"/>
        <v>365</v>
      </c>
      <c r="E289" s="184">
        <v>45302</v>
      </c>
      <c r="F289" s="184">
        <f t="shared" si="67"/>
        <v>45667</v>
      </c>
      <c r="G289" s="184">
        <f t="shared" si="66"/>
        <v>45637</v>
      </c>
      <c r="H289" s="180" t="str">
        <f t="shared" ca="1" si="68"/>
        <v>VENCIDO</v>
      </c>
      <c r="I289" s="183">
        <v>75</v>
      </c>
      <c r="J289" s="182">
        <f t="shared" si="71"/>
        <v>100</v>
      </c>
      <c r="K289" s="182">
        <f t="shared" si="69"/>
        <v>25</v>
      </c>
      <c r="L289" s="181">
        <f t="shared" si="70"/>
        <v>0.25</v>
      </c>
      <c r="M289" s="180" t="s">
        <v>777</v>
      </c>
      <c r="N289" s="177" t="s">
        <v>948</v>
      </c>
      <c r="O289" s="233">
        <f>SUM(K285:K301)</f>
        <v>1255</v>
      </c>
    </row>
    <row r="290" spans="1:15" ht="18.75" customHeight="1">
      <c r="A290" s="180" t="s">
        <v>913</v>
      </c>
      <c r="B290" s="180" t="s">
        <v>913</v>
      </c>
      <c r="C290" s="180" t="s">
        <v>778</v>
      </c>
      <c r="D290" s="180">
        <f t="shared" si="65"/>
        <v>365</v>
      </c>
      <c r="E290" s="184">
        <v>45306</v>
      </c>
      <c r="F290" s="184">
        <f t="shared" si="67"/>
        <v>45671</v>
      </c>
      <c r="G290" s="184">
        <f t="shared" si="66"/>
        <v>45641</v>
      </c>
      <c r="H290" s="180" t="str">
        <f t="shared" ca="1" si="68"/>
        <v>VENCIDO</v>
      </c>
      <c r="I290" s="183">
        <v>75</v>
      </c>
      <c r="J290" s="182">
        <f t="shared" si="71"/>
        <v>100</v>
      </c>
      <c r="K290" s="182">
        <f t="shared" si="69"/>
        <v>25</v>
      </c>
      <c r="L290" s="181">
        <f t="shared" si="70"/>
        <v>0.25</v>
      </c>
      <c r="M290" s="180" t="s">
        <v>777</v>
      </c>
      <c r="N290" s="177" t="s">
        <v>950</v>
      </c>
      <c r="O290" s="233">
        <f>SUM(I285:I301)</f>
        <v>1395</v>
      </c>
    </row>
    <row r="291" spans="1:15" ht="18.75" customHeight="1">
      <c r="A291" s="180" t="s">
        <v>1296</v>
      </c>
      <c r="B291" s="180" t="s">
        <v>1296</v>
      </c>
      <c r="C291" s="180" t="s">
        <v>785</v>
      </c>
      <c r="D291" s="180">
        <f t="shared" si="65"/>
        <v>1095</v>
      </c>
      <c r="E291" s="184">
        <v>45307</v>
      </c>
      <c r="F291" s="184">
        <f t="shared" si="67"/>
        <v>46402</v>
      </c>
      <c r="G291" s="184">
        <f t="shared" si="66"/>
        <v>46372</v>
      </c>
      <c r="H291" s="180" t="str">
        <f t="shared" ca="1" si="68"/>
        <v>VÁLIDO</v>
      </c>
      <c r="I291" s="183">
        <v>95</v>
      </c>
      <c r="J291" s="182">
        <v>340</v>
      </c>
      <c r="K291" s="182">
        <f t="shared" si="69"/>
        <v>245</v>
      </c>
      <c r="L291" s="181">
        <f t="shared" si="70"/>
        <v>0.72058823529411764</v>
      </c>
      <c r="M291" s="180" t="s">
        <v>777</v>
      </c>
    </row>
    <row r="292" spans="1:15" ht="18.75" customHeight="1">
      <c r="A292" s="180" t="s">
        <v>1299</v>
      </c>
      <c r="B292" s="180" t="s">
        <v>1300</v>
      </c>
      <c r="C292" s="180" t="s">
        <v>778</v>
      </c>
      <c r="D292" s="180">
        <f t="shared" si="65"/>
        <v>365</v>
      </c>
      <c r="E292" s="184">
        <v>45308</v>
      </c>
      <c r="F292" s="184">
        <f t="shared" si="67"/>
        <v>45673</v>
      </c>
      <c r="G292" s="184">
        <f t="shared" si="66"/>
        <v>45643</v>
      </c>
      <c r="H292" s="180" t="str">
        <f t="shared" ca="1" si="68"/>
        <v>VENCIDO</v>
      </c>
      <c r="I292" s="183">
        <v>75</v>
      </c>
      <c r="J292" s="182">
        <f t="shared" si="71"/>
        <v>100</v>
      </c>
      <c r="K292" s="182">
        <f t="shared" si="69"/>
        <v>25</v>
      </c>
      <c r="L292" s="181">
        <f t="shared" si="70"/>
        <v>0.25</v>
      </c>
      <c r="M292" s="180" t="s">
        <v>777</v>
      </c>
    </row>
    <row r="293" spans="1:15" ht="18.75" customHeight="1">
      <c r="A293" s="180" t="s">
        <v>1301</v>
      </c>
      <c r="B293" s="180" t="s">
        <v>1302</v>
      </c>
      <c r="C293" s="180" t="s">
        <v>781</v>
      </c>
      <c r="D293" s="180">
        <f t="shared" si="65"/>
        <v>365</v>
      </c>
      <c r="E293" s="184">
        <v>45309</v>
      </c>
      <c r="F293" s="184">
        <f t="shared" si="67"/>
        <v>45674</v>
      </c>
      <c r="G293" s="184">
        <f t="shared" si="66"/>
        <v>45644</v>
      </c>
      <c r="H293" s="180" t="str">
        <f t="shared" ca="1" si="68"/>
        <v>VENCIDO</v>
      </c>
      <c r="I293" s="183">
        <v>85</v>
      </c>
      <c r="J293" s="182">
        <v>150</v>
      </c>
      <c r="K293" s="182">
        <f t="shared" si="69"/>
        <v>65</v>
      </c>
      <c r="L293" s="181">
        <f t="shared" si="70"/>
        <v>0.43333333333333335</v>
      </c>
      <c r="M293" s="180" t="s">
        <v>777</v>
      </c>
    </row>
    <row r="294" spans="1:15" ht="18.75" customHeight="1">
      <c r="A294" s="180" t="s">
        <v>1303</v>
      </c>
      <c r="B294" s="180" t="s">
        <v>1303</v>
      </c>
      <c r="C294" s="180" t="s">
        <v>778</v>
      </c>
      <c r="D294" s="180">
        <f t="shared" si="65"/>
        <v>365</v>
      </c>
      <c r="E294" s="184">
        <v>45309</v>
      </c>
      <c r="F294" s="184">
        <f t="shared" si="67"/>
        <v>45674</v>
      </c>
      <c r="G294" s="184">
        <f t="shared" si="66"/>
        <v>45644</v>
      </c>
      <c r="H294" s="180" t="str">
        <f t="shared" ca="1" si="68"/>
        <v>VENCIDO</v>
      </c>
      <c r="I294" s="183">
        <v>75</v>
      </c>
      <c r="J294" s="182">
        <f t="shared" si="71"/>
        <v>100</v>
      </c>
      <c r="K294" s="182">
        <f t="shared" si="69"/>
        <v>25</v>
      </c>
      <c r="L294" s="181">
        <f t="shared" si="70"/>
        <v>0.25</v>
      </c>
      <c r="M294" s="180" t="s">
        <v>1328</v>
      </c>
    </row>
    <row r="295" spans="1:15" ht="18.75" customHeight="1">
      <c r="A295" s="180" t="s">
        <v>1304</v>
      </c>
      <c r="B295" s="180" t="s">
        <v>1304</v>
      </c>
      <c r="C295" s="180" t="s">
        <v>778</v>
      </c>
      <c r="D295" s="180">
        <f t="shared" si="65"/>
        <v>365</v>
      </c>
      <c r="E295" s="184">
        <v>45309</v>
      </c>
      <c r="F295" s="184">
        <f t="shared" si="67"/>
        <v>45674</v>
      </c>
      <c r="G295" s="184">
        <f t="shared" si="66"/>
        <v>45644</v>
      </c>
      <c r="H295" s="180" t="str">
        <f t="shared" ca="1" si="68"/>
        <v>VENCIDO</v>
      </c>
      <c r="I295" s="183">
        <v>75</v>
      </c>
      <c r="J295" s="182">
        <v>100</v>
      </c>
      <c r="K295" s="182">
        <f t="shared" si="69"/>
        <v>25</v>
      </c>
      <c r="L295" s="181">
        <f t="shared" si="70"/>
        <v>0.25</v>
      </c>
      <c r="M295" s="180" t="s">
        <v>777</v>
      </c>
    </row>
    <row r="296" spans="1:15" ht="18.75" customHeight="1">
      <c r="A296" s="180" t="s">
        <v>921</v>
      </c>
      <c r="B296" s="180" t="s">
        <v>921</v>
      </c>
      <c r="C296" s="180" t="s">
        <v>778</v>
      </c>
      <c r="D296" s="180">
        <f t="shared" si="65"/>
        <v>365</v>
      </c>
      <c r="E296" s="184">
        <v>45310</v>
      </c>
      <c r="F296" s="184">
        <f t="shared" si="67"/>
        <v>45675</v>
      </c>
      <c r="G296" s="184">
        <f t="shared" si="66"/>
        <v>45645</v>
      </c>
      <c r="H296" s="180" t="str">
        <f t="shared" ca="1" si="68"/>
        <v>VENCIDO</v>
      </c>
      <c r="I296" s="183">
        <v>75</v>
      </c>
      <c r="J296" s="182">
        <f t="shared" si="71"/>
        <v>100</v>
      </c>
      <c r="K296" s="182">
        <f t="shared" si="69"/>
        <v>25</v>
      </c>
      <c r="L296" s="181">
        <f t="shared" si="70"/>
        <v>0.25</v>
      </c>
      <c r="M296" s="180" t="s">
        <v>777</v>
      </c>
    </row>
    <row r="297" spans="1:15" ht="18.75" customHeight="1">
      <c r="A297" s="180" t="s">
        <v>1311</v>
      </c>
      <c r="B297" s="180" t="s">
        <v>1312</v>
      </c>
      <c r="C297" s="180" t="s">
        <v>778</v>
      </c>
      <c r="D297" s="180">
        <f t="shared" si="65"/>
        <v>365</v>
      </c>
      <c r="E297" s="184">
        <v>45314</v>
      </c>
      <c r="F297" s="184">
        <f t="shared" si="67"/>
        <v>45679</v>
      </c>
      <c r="G297" s="184">
        <f t="shared" si="66"/>
        <v>45649</v>
      </c>
      <c r="H297" s="180" t="str">
        <f t="shared" ca="1" si="68"/>
        <v>VENCIDO</v>
      </c>
      <c r="I297" s="183">
        <v>75</v>
      </c>
      <c r="J297" s="182">
        <f t="shared" si="71"/>
        <v>100</v>
      </c>
      <c r="K297" s="182">
        <f t="shared" si="69"/>
        <v>25</v>
      </c>
      <c r="L297" s="181">
        <f t="shared" si="70"/>
        <v>0.25</v>
      </c>
      <c r="M297" s="180" t="s">
        <v>777</v>
      </c>
    </row>
    <row r="298" spans="1:15" ht="18.75" customHeight="1">
      <c r="A298" s="180" t="s">
        <v>822</v>
      </c>
      <c r="B298" s="180" t="s">
        <v>822</v>
      </c>
      <c r="C298" s="180" t="s">
        <v>785</v>
      </c>
      <c r="D298" s="180">
        <f t="shared" si="65"/>
        <v>1095</v>
      </c>
      <c r="E298" s="184">
        <v>45314</v>
      </c>
      <c r="F298" s="184">
        <f t="shared" si="67"/>
        <v>46409</v>
      </c>
      <c r="G298" s="184">
        <f t="shared" si="66"/>
        <v>46379</v>
      </c>
      <c r="H298" s="180" t="str">
        <f t="shared" ca="1" si="68"/>
        <v>VÁLIDO</v>
      </c>
      <c r="I298" s="183">
        <v>95</v>
      </c>
      <c r="J298" s="182">
        <v>270</v>
      </c>
      <c r="K298" s="182">
        <f t="shared" si="69"/>
        <v>175</v>
      </c>
      <c r="L298" s="181">
        <f t="shared" si="70"/>
        <v>0.64814814814814814</v>
      </c>
      <c r="M298" s="180" t="s">
        <v>777</v>
      </c>
    </row>
    <row r="299" spans="1:15" ht="18.75" customHeight="1">
      <c r="A299" s="180" t="s">
        <v>103</v>
      </c>
      <c r="B299" s="180" t="s">
        <v>1314</v>
      </c>
      <c r="C299" s="180" t="s">
        <v>785</v>
      </c>
      <c r="D299" s="180">
        <f t="shared" si="65"/>
        <v>1095</v>
      </c>
      <c r="E299" s="184">
        <v>45316</v>
      </c>
      <c r="F299" s="184">
        <f t="shared" si="67"/>
        <v>46411</v>
      </c>
      <c r="G299" s="184">
        <f t="shared" si="66"/>
        <v>46381</v>
      </c>
      <c r="H299" s="180" t="str">
        <f t="shared" ca="1" si="68"/>
        <v>VÁLIDO</v>
      </c>
      <c r="I299" s="183">
        <v>95</v>
      </c>
      <c r="J299" s="182">
        <v>270</v>
      </c>
      <c r="K299" s="182">
        <f t="shared" si="69"/>
        <v>175</v>
      </c>
      <c r="L299" s="181">
        <f t="shared" si="70"/>
        <v>0.64814814814814814</v>
      </c>
      <c r="M299" s="180" t="s">
        <v>777</v>
      </c>
    </row>
    <row r="300" spans="1:15" ht="18.75" customHeight="1">
      <c r="A300" s="180" t="s">
        <v>1318</v>
      </c>
      <c r="B300" s="180" t="s">
        <v>1318</v>
      </c>
      <c r="C300" s="180" t="s">
        <v>781</v>
      </c>
      <c r="D300" s="180">
        <f t="shared" si="65"/>
        <v>365</v>
      </c>
      <c r="E300" s="184">
        <v>45320</v>
      </c>
      <c r="F300" s="184">
        <f t="shared" si="67"/>
        <v>45685</v>
      </c>
      <c r="G300" s="184">
        <f t="shared" si="66"/>
        <v>45655</v>
      </c>
      <c r="H300" s="180" t="str">
        <f t="shared" ca="1" si="68"/>
        <v>VENCIDO</v>
      </c>
      <c r="I300" s="183">
        <v>85</v>
      </c>
      <c r="J300" s="182">
        <v>150</v>
      </c>
      <c r="K300" s="182">
        <f t="shared" si="69"/>
        <v>65</v>
      </c>
      <c r="L300" s="181">
        <f t="shared" si="70"/>
        <v>0.43333333333333335</v>
      </c>
      <c r="M300" s="180" t="s">
        <v>777</v>
      </c>
    </row>
    <row r="301" spans="1:15" ht="18.75" customHeight="1">
      <c r="A301" s="180" t="s">
        <v>1320</v>
      </c>
      <c r="B301" s="180" t="s">
        <v>1320</v>
      </c>
      <c r="C301" s="180" t="s">
        <v>778</v>
      </c>
      <c r="D301" s="180">
        <f t="shared" si="65"/>
        <v>365</v>
      </c>
      <c r="E301" s="184">
        <v>45322</v>
      </c>
      <c r="F301" s="184">
        <f t="shared" si="67"/>
        <v>45687</v>
      </c>
      <c r="G301" s="184">
        <f t="shared" si="66"/>
        <v>45657</v>
      </c>
      <c r="H301" s="180" t="str">
        <f t="shared" ca="1" si="68"/>
        <v>VENCIDO</v>
      </c>
      <c r="I301" s="183">
        <v>75</v>
      </c>
      <c r="J301" s="182">
        <f t="shared" si="71"/>
        <v>100</v>
      </c>
      <c r="K301" s="182">
        <f t="shared" si="69"/>
        <v>25</v>
      </c>
      <c r="L301" s="181">
        <f t="shared" si="70"/>
        <v>0.25</v>
      </c>
      <c r="M301" s="180" t="s">
        <v>777</v>
      </c>
    </row>
    <row r="302" spans="1:15" ht="18.75" customHeight="1">
      <c r="A302" s="451" t="s">
        <v>1321</v>
      </c>
      <c r="B302" s="452"/>
      <c r="C302" s="452"/>
      <c r="D302" s="452"/>
      <c r="E302" s="452"/>
      <c r="F302" s="452"/>
      <c r="G302" s="452"/>
      <c r="H302" s="452"/>
      <c r="I302" s="452"/>
      <c r="J302" s="452"/>
      <c r="K302" s="452"/>
      <c r="L302" s="452"/>
      <c r="M302" s="453"/>
    </row>
    <row r="303" spans="1:15" ht="18.75" customHeight="1">
      <c r="A303" s="180" t="s">
        <v>1326</v>
      </c>
      <c r="B303" s="180"/>
      <c r="C303" s="180" t="s">
        <v>781</v>
      </c>
      <c r="D303" s="180">
        <f t="shared" si="65"/>
        <v>365</v>
      </c>
      <c r="E303" s="184">
        <v>45323</v>
      </c>
      <c r="F303" s="184">
        <f t="shared" si="67"/>
        <v>45688</v>
      </c>
      <c r="G303" s="184">
        <f t="shared" si="66"/>
        <v>45658</v>
      </c>
      <c r="H303" s="180" t="str">
        <f t="shared" ca="1" si="68"/>
        <v>VENCIDO</v>
      </c>
      <c r="I303" s="183">
        <v>75</v>
      </c>
      <c r="J303" s="182">
        <v>150</v>
      </c>
      <c r="K303" s="182">
        <f t="shared" si="69"/>
        <v>75</v>
      </c>
      <c r="L303" s="181">
        <f t="shared" si="70"/>
        <v>0.5</v>
      </c>
      <c r="M303" s="180" t="s">
        <v>777</v>
      </c>
    </row>
    <row r="304" spans="1:15" ht="18.75" customHeight="1">
      <c r="A304" s="180" t="s">
        <v>1327</v>
      </c>
      <c r="B304" s="180" t="s">
        <v>1327</v>
      </c>
      <c r="C304" s="180" t="s">
        <v>781</v>
      </c>
      <c r="D304" s="180">
        <f t="shared" si="65"/>
        <v>365</v>
      </c>
      <c r="E304" s="184">
        <v>45336</v>
      </c>
      <c r="F304" s="184">
        <f t="shared" si="67"/>
        <v>45701</v>
      </c>
      <c r="G304" s="184">
        <f t="shared" si="66"/>
        <v>45671</v>
      </c>
      <c r="H304" s="180" t="str">
        <f t="shared" ca="1" si="68"/>
        <v>VENCIDO</v>
      </c>
      <c r="I304" s="183">
        <v>75</v>
      </c>
      <c r="J304" s="182">
        <v>150</v>
      </c>
      <c r="K304" s="182">
        <f t="shared" si="69"/>
        <v>75</v>
      </c>
      <c r="L304" s="181">
        <f t="shared" si="70"/>
        <v>0.5</v>
      </c>
      <c r="M304" s="180" t="s">
        <v>1328</v>
      </c>
    </row>
    <row r="305" spans="1:13" ht="18.75" customHeight="1">
      <c r="A305" s="180" t="s">
        <v>1329</v>
      </c>
      <c r="B305" s="180" t="s">
        <v>1329</v>
      </c>
      <c r="C305" s="180" t="s">
        <v>802</v>
      </c>
      <c r="D305" s="180">
        <f t="shared" si="65"/>
        <v>1095</v>
      </c>
      <c r="E305" s="184">
        <v>45336</v>
      </c>
      <c r="F305" s="184">
        <f t="shared" si="67"/>
        <v>46431</v>
      </c>
      <c r="G305" s="184">
        <f t="shared" si="66"/>
        <v>46401</v>
      </c>
      <c r="H305" s="180" t="str">
        <f t="shared" ca="1" si="68"/>
        <v>VÁLIDO</v>
      </c>
      <c r="I305" s="183">
        <v>95</v>
      </c>
      <c r="J305" s="182">
        <v>270</v>
      </c>
      <c r="K305" s="182">
        <f t="shared" si="69"/>
        <v>175</v>
      </c>
      <c r="L305" s="181">
        <f t="shared" si="70"/>
        <v>0.64814814814814814</v>
      </c>
      <c r="M305" s="180" t="s">
        <v>777</v>
      </c>
    </row>
    <row r="306" spans="1:13" ht="18.75" customHeight="1">
      <c r="A306" s="180" t="s">
        <v>1329</v>
      </c>
      <c r="B306" s="180" t="s">
        <v>1329</v>
      </c>
      <c r="C306" s="180" t="s">
        <v>802</v>
      </c>
      <c r="D306" s="180">
        <f t="shared" si="65"/>
        <v>1095</v>
      </c>
      <c r="E306" s="184">
        <v>45336</v>
      </c>
      <c r="F306" s="184">
        <f t="shared" si="67"/>
        <v>46431</v>
      </c>
      <c r="G306" s="184">
        <f t="shared" si="66"/>
        <v>46401</v>
      </c>
      <c r="H306" s="180" t="str">
        <f t="shared" ca="1" si="68"/>
        <v>VÁLIDO</v>
      </c>
      <c r="I306" s="183">
        <v>95</v>
      </c>
      <c r="J306" s="182">
        <v>270</v>
      </c>
      <c r="K306" s="182">
        <f t="shared" si="69"/>
        <v>175</v>
      </c>
      <c r="L306" s="181">
        <f t="shared" si="70"/>
        <v>0.64814814814814814</v>
      </c>
      <c r="M306" s="180" t="s">
        <v>777</v>
      </c>
    </row>
    <row r="307" spans="1:13" ht="18.75" customHeight="1">
      <c r="A307" s="180" t="s">
        <v>1329</v>
      </c>
      <c r="B307" s="180" t="s">
        <v>1329</v>
      </c>
      <c r="C307" s="180" t="s">
        <v>802</v>
      </c>
      <c r="D307" s="180">
        <f t="shared" si="65"/>
        <v>1095</v>
      </c>
      <c r="E307" s="184">
        <v>45336</v>
      </c>
      <c r="F307" s="184">
        <f t="shared" si="67"/>
        <v>46431</v>
      </c>
      <c r="G307" s="184">
        <f t="shared" si="66"/>
        <v>46401</v>
      </c>
      <c r="H307" s="180" t="str">
        <f t="shared" ca="1" si="68"/>
        <v>VÁLIDO</v>
      </c>
      <c r="I307" s="183">
        <v>95</v>
      </c>
      <c r="J307" s="182">
        <v>270</v>
      </c>
      <c r="K307" s="182">
        <f t="shared" si="69"/>
        <v>175</v>
      </c>
      <c r="L307" s="181">
        <f t="shared" si="70"/>
        <v>0.64814814814814814</v>
      </c>
      <c r="M307" s="180" t="s">
        <v>777</v>
      </c>
    </row>
    <row r="308" spans="1:13" ht="18.75" customHeight="1">
      <c r="A308" s="180" t="s">
        <v>176</v>
      </c>
      <c r="B308" s="180" t="s">
        <v>814</v>
      </c>
      <c r="C308" s="180" t="s">
        <v>781</v>
      </c>
      <c r="D308" s="180">
        <f t="shared" si="65"/>
        <v>365</v>
      </c>
      <c r="E308" s="184">
        <v>45338</v>
      </c>
      <c r="F308" s="184">
        <f t="shared" si="67"/>
        <v>45703</v>
      </c>
      <c r="G308" s="184">
        <f t="shared" si="66"/>
        <v>45673</v>
      </c>
      <c r="H308" s="180" t="str">
        <f t="shared" ca="1" si="68"/>
        <v>VENCIDO</v>
      </c>
      <c r="I308" s="183">
        <v>75</v>
      </c>
      <c r="J308" s="182">
        <v>139</v>
      </c>
      <c r="K308" s="182">
        <f t="shared" si="69"/>
        <v>64</v>
      </c>
      <c r="L308" s="181">
        <f t="shared" si="70"/>
        <v>0.46043165467625902</v>
      </c>
      <c r="M308" s="180" t="s">
        <v>777</v>
      </c>
    </row>
    <row r="309" spans="1:13" ht="18.75" customHeight="1">
      <c r="A309" s="180" t="s">
        <v>1330</v>
      </c>
      <c r="B309" s="180" t="s">
        <v>1330</v>
      </c>
      <c r="C309" s="180" t="s">
        <v>778</v>
      </c>
      <c r="D309" s="180">
        <f t="shared" si="65"/>
        <v>365</v>
      </c>
      <c r="E309" s="184">
        <v>45338</v>
      </c>
      <c r="F309" s="184">
        <f t="shared" si="67"/>
        <v>45703</v>
      </c>
      <c r="G309" s="184">
        <f t="shared" si="66"/>
        <v>45673</v>
      </c>
      <c r="H309" s="180" t="str">
        <f t="shared" ca="1" si="68"/>
        <v>VENCIDO</v>
      </c>
      <c r="I309" s="183">
        <v>65</v>
      </c>
      <c r="J309" s="182">
        <f t="shared" si="71"/>
        <v>100</v>
      </c>
      <c r="K309" s="182">
        <f t="shared" si="69"/>
        <v>35</v>
      </c>
      <c r="L309" s="181">
        <f t="shared" si="70"/>
        <v>0.35</v>
      </c>
      <c r="M309" s="180" t="s">
        <v>777</v>
      </c>
    </row>
    <row r="310" spans="1:13" ht="18.75" customHeight="1">
      <c r="A310" s="180" t="s">
        <v>1331</v>
      </c>
      <c r="B310" s="180" t="s">
        <v>1331</v>
      </c>
      <c r="C310" s="180" t="s">
        <v>778</v>
      </c>
      <c r="D310" s="180">
        <f t="shared" si="65"/>
        <v>365</v>
      </c>
      <c r="E310" s="184">
        <v>45338</v>
      </c>
      <c r="F310" s="184">
        <f t="shared" si="67"/>
        <v>45703</v>
      </c>
      <c r="G310" s="184">
        <f t="shared" si="66"/>
        <v>45673</v>
      </c>
      <c r="H310" s="180" t="str">
        <f t="shared" ca="1" si="68"/>
        <v>VENCIDO</v>
      </c>
      <c r="I310" s="183">
        <v>65</v>
      </c>
      <c r="J310" s="182">
        <f t="shared" si="71"/>
        <v>100</v>
      </c>
      <c r="K310" s="182">
        <f t="shared" si="69"/>
        <v>35</v>
      </c>
      <c r="L310" s="181">
        <f t="shared" si="70"/>
        <v>0.35</v>
      </c>
      <c r="M310" s="180" t="s">
        <v>777</v>
      </c>
    </row>
    <row r="311" spans="1:13" ht="18.75" customHeight="1">
      <c r="A311" s="180" t="s">
        <v>1332</v>
      </c>
      <c r="B311" s="180" t="s">
        <v>1333</v>
      </c>
      <c r="C311" s="180" t="s">
        <v>781</v>
      </c>
      <c r="D311" s="180">
        <f t="shared" si="65"/>
        <v>365</v>
      </c>
      <c r="E311" s="184">
        <v>45341</v>
      </c>
      <c r="F311" s="184">
        <f t="shared" si="67"/>
        <v>45706</v>
      </c>
      <c r="G311" s="184">
        <f t="shared" si="66"/>
        <v>45676</v>
      </c>
      <c r="H311" s="180" t="str">
        <f t="shared" ca="1" si="68"/>
        <v>VENCIDO</v>
      </c>
      <c r="I311" s="183">
        <v>75</v>
      </c>
      <c r="J311" s="182">
        <v>139</v>
      </c>
      <c r="K311" s="182">
        <f t="shared" si="69"/>
        <v>64</v>
      </c>
      <c r="L311" s="181">
        <f t="shared" si="70"/>
        <v>0.46043165467625902</v>
      </c>
      <c r="M311" s="180" t="s">
        <v>777</v>
      </c>
    </row>
    <row r="312" spans="1:13" ht="18.75" customHeight="1">
      <c r="A312" s="180" t="s">
        <v>76</v>
      </c>
      <c r="B312" s="180" t="s">
        <v>1340</v>
      </c>
      <c r="C312" s="180" t="s">
        <v>785</v>
      </c>
      <c r="D312" s="180">
        <f t="shared" si="65"/>
        <v>1095</v>
      </c>
      <c r="E312" s="184">
        <v>45343</v>
      </c>
      <c r="F312" s="184">
        <f t="shared" si="67"/>
        <v>46438</v>
      </c>
      <c r="G312" s="184">
        <f t="shared" si="66"/>
        <v>46408</v>
      </c>
      <c r="H312" s="180" t="str">
        <f t="shared" ca="1" si="68"/>
        <v>VÁLIDO</v>
      </c>
      <c r="I312" s="183">
        <v>95</v>
      </c>
      <c r="J312" s="182">
        <v>249</v>
      </c>
      <c r="K312" s="182">
        <f t="shared" si="69"/>
        <v>154</v>
      </c>
      <c r="L312" s="181">
        <f t="shared" si="70"/>
        <v>0.61847389558232935</v>
      </c>
      <c r="M312" s="180" t="s">
        <v>1153</v>
      </c>
    </row>
    <row r="313" spans="1:13" ht="18.75" customHeight="1">
      <c r="A313" s="180" t="s">
        <v>1341</v>
      </c>
      <c r="B313" s="180" t="s">
        <v>1341</v>
      </c>
      <c r="C313" s="180" t="s">
        <v>778</v>
      </c>
      <c r="D313" s="180">
        <f t="shared" si="65"/>
        <v>365</v>
      </c>
      <c r="E313" s="184">
        <v>45343</v>
      </c>
      <c r="F313" s="184">
        <f t="shared" si="67"/>
        <v>45708</v>
      </c>
      <c r="G313" s="184">
        <f t="shared" si="66"/>
        <v>45678</v>
      </c>
      <c r="H313" s="180" t="str">
        <f t="shared" ca="1" si="68"/>
        <v>VENCIDO</v>
      </c>
      <c r="I313" s="183">
        <v>65</v>
      </c>
      <c r="J313" s="182">
        <f t="shared" si="71"/>
        <v>100</v>
      </c>
      <c r="K313" s="182">
        <f t="shared" si="69"/>
        <v>35</v>
      </c>
      <c r="L313" s="181">
        <f t="shared" si="70"/>
        <v>0.35</v>
      </c>
      <c r="M313" s="180" t="s">
        <v>777</v>
      </c>
    </row>
    <row r="314" spans="1:13" ht="18.75" customHeight="1">
      <c r="A314" s="180" t="s">
        <v>106</v>
      </c>
      <c r="B314" s="180" t="s">
        <v>106</v>
      </c>
      <c r="C314" s="180" t="s">
        <v>778</v>
      </c>
      <c r="D314" s="180">
        <f t="shared" si="65"/>
        <v>365</v>
      </c>
      <c r="E314" s="184">
        <v>45343</v>
      </c>
      <c r="F314" s="184">
        <f t="shared" si="67"/>
        <v>45708</v>
      </c>
      <c r="G314" s="184">
        <f t="shared" si="66"/>
        <v>45678</v>
      </c>
      <c r="H314" s="180" t="str">
        <f t="shared" ca="1" si="68"/>
        <v>VENCIDO</v>
      </c>
      <c r="I314" s="183">
        <v>65</v>
      </c>
      <c r="J314" s="182">
        <f t="shared" si="71"/>
        <v>100</v>
      </c>
      <c r="K314" s="182">
        <f t="shared" si="69"/>
        <v>35</v>
      </c>
      <c r="L314" s="181">
        <f t="shared" si="70"/>
        <v>0.35</v>
      </c>
      <c r="M314" s="180" t="s">
        <v>777</v>
      </c>
    </row>
    <row r="315" spans="1:13" ht="18.75" customHeight="1">
      <c r="A315" s="180" t="s">
        <v>610</v>
      </c>
      <c r="B315" s="180" t="s">
        <v>610</v>
      </c>
      <c r="C315" s="180" t="s">
        <v>778</v>
      </c>
      <c r="D315" s="180">
        <f t="shared" si="65"/>
        <v>365</v>
      </c>
      <c r="E315" s="184">
        <v>45343</v>
      </c>
      <c r="F315" s="184">
        <f t="shared" si="67"/>
        <v>45708</v>
      </c>
      <c r="G315" s="184">
        <f t="shared" si="66"/>
        <v>45678</v>
      </c>
      <c r="H315" s="180" t="str">
        <f t="shared" ca="1" si="68"/>
        <v>VENCIDO</v>
      </c>
      <c r="I315" s="183">
        <v>65</v>
      </c>
      <c r="J315" s="182">
        <f t="shared" si="71"/>
        <v>100</v>
      </c>
      <c r="K315" s="182">
        <f t="shared" si="69"/>
        <v>35</v>
      </c>
      <c r="L315" s="181">
        <f t="shared" si="70"/>
        <v>0.35</v>
      </c>
      <c r="M315" s="180" t="s">
        <v>1328</v>
      </c>
    </row>
    <row r="316" spans="1:13" ht="18.75" customHeight="1">
      <c r="A316" s="180" t="s">
        <v>1342</v>
      </c>
      <c r="B316" s="180" t="s">
        <v>1342</v>
      </c>
      <c r="C316" s="180" t="s">
        <v>778</v>
      </c>
      <c r="D316" s="180">
        <f t="shared" si="65"/>
        <v>365</v>
      </c>
      <c r="E316" s="184">
        <v>45343</v>
      </c>
      <c r="F316" s="184">
        <f t="shared" si="67"/>
        <v>45708</v>
      </c>
      <c r="G316" s="184">
        <f t="shared" si="66"/>
        <v>45678</v>
      </c>
      <c r="H316" s="180" t="str">
        <f t="shared" ca="1" si="68"/>
        <v>VENCIDO</v>
      </c>
      <c r="I316" s="183">
        <v>65</v>
      </c>
      <c r="J316" s="182">
        <f t="shared" si="71"/>
        <v>100</v>
      </c>
      <c r="K316" s="182">
        <f t="shared" si="69"/>
        <v>35</v>
      </c>
      <c r="L316" s="181">
        <f t="shared" si="70"/>
        <v>0.35</v>
      </c>
      <c r="M316" s="180" t="s">
        <v>1328</v>
      </c>
    </row>
    <row r="317" spans="1:13" ht="18.75" customHeight="1">
      <c r="A317" s="180" t="s">
        <v>1345</v>
      </c>
      <c r="B317" s="180" t="s">
        <v>1345</v>
      </c>
      <c r="C317" s="180" t="s">
        <v>778</v>
      </c>
      <c r="D317" s="180">
        <f t="shared" si="65"/>
        <v>365</v>
      </c>
      <c r="E317" s="184">
        <v>45348</v>
      </c>
      <c r="F317" s="184">
        <f t="shared" si="67"/>
        <v>45713</v>
      </c>
      <c r="G317" s="184">
        <f t="shared" si="66"/>
        <v>45683</v>
      </c>
      <c r="H317" s="180" t="str">
        <f t="shared" ca="1" si="68"/>
        <v>VENCIDO</v>
      </c>
      <c r="I317" s="183">
        <f>VLOOKUP(C317,$M$3:$O$6,2,0)</f>
        <v>65</v>
      </c>
      <c r="J317" s="182">
        <f t="shared" si="71"/>
        <v>100</v>
      </c>
      <c r="K317" s="182">
        <f t="shared" si="69"/>
        <v>35</v>
      </c>
      <c r="L317" s="181">
        <f t="shared" si="70"/>
        <v>0.35</v>
      </c>
      <c r="M317" s="180" t="s">
        <v>777</v>
      </c>
    </row>
    <row r="318" spans="1:13" ht="18.75" customHeight="1">
      <c r="A318" s="180" t="s">
        <v>1346</v>
      </c>
      <c r="B318" s="180" t="s">
        <v>1347</v>
      </c>
      <c r="C318" s="180" t="s">
        <v>781</v>
      </c>
      <c r="D318" s="180">
        <f t="shared" si="65"/>
        <v>365</v>
      </c>
      <c r="E318" s="184">
        <v>45348</v>
      </c>
      <c r="F318" s="184">
        <f t="shared" si="67"/>
        <v>45713</v>
      </c>
      <c r="G318" s="184">
        <f t="shared" si="66"/>
        <v>45683</v>
      </c>
      <c r="H318" s="180" t="str">
        <f t="shared" ca="1" si="68"/>
        <v>VENCIDO</v>
      </c>
      <c r="I318" s="183">
        <v>75</v>
      </c>
      <c r="J318" s="182">
        <v>139</v>
      </c>
      <c r="K318" s="182">
        <v>139</v>
      </c>
      <c r="L318" s="181">
        <f t="shared" si="70"/>
        <v>1</v>
      </c>
      <c r="M318" s="180" t="s">
        <v>777</v>
      </c>
    </row>
    <row r="319" spans="1:13" ht="18.75" customHeight="1">
      <c r="A319" s="180" t="s">
        <v>863</v>
      </c>
      <c r="B319" s="180" t="s">
        <v>1348</v>
      </c>
      <c r="C319" s="180" t="s">
        <v>781</v>
      </c>
      <c r="D319" s="180">
        <f t="shared" si="65"/>
        <v>365</v>
      </c>
      <c r="E319" s="184">
        <v>45348</v>
      </c>
      <c r="F319" s="184">
        <f t="shared" si="67"/>
        <v>45713</v>
      </c>
      <c r="G319" s="184">
        <f t="shared" si="66"/>
        <v>45683</v>
      </c>
      <c r="H319" s="180" t="str">
        <f t="shared" ca="1" si="68"/>
        <v>VENCIDO</v>
      </c>
      <c r="I319" s="183">
        <v>75</v>
      </c>
      <c r="J319" s="182">
        <v>139</v>
      </c>
      <c r="K319" s="182">
        <v>139</v>
      </c>
      <c r="L319" s="181">
        <f t="shared" si="70"/>
        <v>1</v>
      </c>
      <c r="M319" s="180" t="s">
        <v>777</v>
      </c>
    </row>
    <row r="320" spans="1:13" ht="18.75" customHeight="1">
      <c r="A320" s="180" t="s">
        <v>21</v>
      </c>
      <c r="B320" s="180" t="s">
        <v>1349</v>
      </c>
      <c r="C320" s="180" t="s">
        <v>781</v>
      </c>
      <c r="D320" s="180">
        <f t="shared" si="65"/>
        <v>365</v>
      </c>
      <c r="E320" s="184">
        <v>45349</v>
      </c>
      <c r="F320" s="184">
        <f t="shared" si="67"/>
        <v>45714</v>
      </c>
      <c r="G320" s="184">
        <f t="shared" si="66"/>
        <v>45684</v>
      </c>
      <c r="H320" s="180" t="str">
        <f t="shared" ca="1" si="68"/>
        <v>VENCIDO</v>
      </c>
      <c r="I320" s="183">
        <v>75</v>
      </c>
      <c r="J320" s="182">
        <v>139</v>
      </c>
      <c r="K320" s="182">
        <v>139</v>
      </c>
      <c r="L320" s="181">
        <f t="shared" si="70"/>
        <v>1</v>
      </c>
      <c r="M320" s="180" t="s">
        <v>777</v>
      </c>
    </row>
    <row r="321" spans="1:13" ht="18.75" customHeight="1">
      <c r="A321" s="180" t="s">
        <v>1350</v>
      </c>
      <c r="B321" s="180" t="s">
        <v>1350</v>
      </c>
      <c r="C321" s="180" t="s">
        <v>778</v>
      </c>
      <c r="D321" s="180">
        <f t="shared" si="65"/>
        <v>365</v>
      </c>
      <c r="E321" s="184">
        <v>45349</v>
      </c>
      <c r="F321" s="184">
        <f t="shared" si="67"/>
        <v>45714</v>
      </c>
      <c r="G321" s="184">
        <f t="shared" si="66"/>
        <v>45684</v>
      </c>
      <c r="H321" s="180" t="str">
        <f t="shared" ca="1" si="68"/>
        <v>VENCIDO</v>
      </c>
      <c r="I321" s="183">
        <v>65</v>
      </c>
      <c r="J321" s="182">
        <v>100</v>
      </c>
      <c r="K321" s="182">
        <f t="shared" si="69"/>
        <v>35</v>
      </c>
      <c r="L321" s="181">
        <f t="shared" si="70"/>
        <v>0.35</v>
      </c>
      <c r="M321" s="180" t="s">
        <v>777</v>
      </c>
    </row>
    <row r="322" spans="1:13" ht="18.75" customHeight="1">
      <c r="A322" s="180" t="s">
        <v>1351</v>
      </c>
      <c r="B322" s="180" t="s">
        <v>1351</v>
      </c>
      <c r="C322" s="180" t="s">
        <v>778</v>
      </c>
      <c r="D322" s="180">
        <f t="shared" si="65"/>
        <v>365</v>
      </c>
      <c r="E322" s="184">
        <v>45350</v>
      </c>
      <c r="F322" s="184">
        <f t="shared" si="67"/>
        <v>45715</v>
      </c>
      <c r="G322" s="184">
        <f t="shared" si="66"/>
        <v>45685</v>
      </c>
      <c r="H322" s="180" t="str">
        <f t="shared" ca="1" si="68"/>
        <v>VENCIDO</v>
      </c>
      <c r="I322" s="183">
        <f>VLOOKUP(C322,$M$3:$O$6,2,0)</f>
        <v>65</v>
      </c>
      <c r="J322" s="182">
        <f t="shared" si="71"/>
        <v>100</v>
      </c>
      <c r="K322" s="182">
        <f t="shared" si="69"/>
        <v>35</v>
      </c>
      <c r="L322" s="181">
        <f t="shared" si="70"/>
        <v>0.35</v>
      </c>
      <c r="M322" s="180" t="s">
        <v>777</v>
      </c>
    </row>
    <row r="323" spans="1:13" ht="18.75" customHeight="1">
      <c r="A323" s="180" t="s">
        <v>1346</v>
      </c>
      <c r="B323" s="180" t="s">
        <v>1347</v>
      </c>
      <c r="C323" s="180" t="s">
        <v>778</v>
      </c>
      <c r="D323" s="180">
        <f t="shared" si="65"/>
        <v>365</v>
      </c>
      <c r="E323" s="184">
        <v>45351</v>
      </c>
      <c r="F323" s="184">
        <f t="shared" si="67"/>
        <v>45716</v>
      </c>
      <c r="G323" s="184">
        <f t="shared" si="66"/>
        <v>45686</v>
      </c>
      <c r="H323" s="180" t="str">
        <f t="shared" ca="1" si="68"/>
        <v>VENCIDO</v>
      </c>
      <c r="I323" s="183">
        <f>VLOOKUP(C323,$M$3:$O$6,2,0)</f>
        <v>65</v>
      </c>
      <c r="J323" s="182">
        <f t="shared" si="71"/>
        <v>100</v>
      </c>
      <c r="K323" s="182">
        <f t="shared" si="69"/>
        <v>35</v>
      </c>
      <c r="L323" s="181">
        <f t="shared" si="70"/>
        <v>0.35</v>
      </c>
      <c r="M323" s="180" t="s">
        <v>1328</v>
      </c>
    </row>
    <row r="324" spans="1:13" ht="18.75" customHeight="1">
      <c r="A324" s="180" t="s">
        <v>1352</v>
      </c>
      <c r="B324" s="180" t="s">
        <v>1353</v>
      </c>
      <c r="C324" s="180" t="s">
        <v>778</v>
      </c>
      <c r="D324" s="180">
        <f t="shared" si="65"/>
        <v>365</v>
      </c>
      <c r="E324" s="184">
        <v>45351</v>
      </c>
      <c r="F324" s="184">
        <f t="shared" si="67"/>
        <v>45716</v>
      </c>
      <c r="G324" s="184">
        <f t="shared" si="66"/>
        <v>45686</v>
      </c>
      <c r="H324" s="180" t="str">
        <f t="shared" ca="1" si="68"/>
        <v>VENCIDO</v>
      </c>
      <c r="I324" s="183">
        <f>VLOOKUP(C324,$M$3:$O$6,2,0)</f>
        <v>65</v>
      </c>
      <c r="J324" s="182">
        <f t="shared" si="71"/>
        <v>100</v>
      </c>
      <c r="K324" s="182">
        <f t="shared" si="69"/>
        <v>35</v>
      </c>
      <c r="L324" s="181">
        <f t="shared" si="70"/>
        <v>0.35</v>
      </c>
      <c r="M324" s="180" t="s">
        <v>1328</v>
      </c>
    </row>
    <row r="325" spans="1:13" ht="18.75" customHeight="1">
      <c r="A325" s="451" t="s">
        <v>1356</v>
      </c>
      <c r="B325" s="452"/>
      <c r="C325" s="452"/>
      <c r="D325" s="452"/>
      <c r="E325" s="452"/>
      <c r="F325" s="452"/>
      <c r="G325" s="452"/>
      <c r="H325" s="452"/>
      <c r="I325" s="452"/>
      <c r="J325" s="452"/>
      <c r="K325" s="452"/>
      <c r="L325" s="452"/>
      <c r="M325" s="453"/>
    </row>
    <row r="326" spans="1:13" ht="18.75" customHeight="1">
      <c r="A326" s="180" t="s">
        <v>1357</v>
      </c>
      <c r="B326" s="180" t="s">
        <v>1358</v>
      </c>
      <c r="C326" s="180" t="s">
        <v>781</v>
      </c>
      <c r="D326" s="180">
        <f t="shared" si="65"/>
        <v>365</v>
      </c>
      <c r="E326" s="184">
        <v>45355</v>
      </c>
      <c r="F326" s="184">
        <f t="shared" si="67"/>
        <v>45720</v>
      </c>
      <c r="G326" s="184">
        <f t="shared" si="66"/>
        <v>45690</v>
      </c>
      <c r="H326" s="180" t="str">
        <f t="shared" ca="1" si="68"/>
        <v>VENCIDO</v>
      </c>
      <c r="I326" s="183">
        <v>75</v>
      </c>
      <c r="J326" s="182">
        <v>150</v>
      </c>
      <c r="K326" s="182">
        <f>J326-I326</f>
        <v>75</v>
      </c>
      <c r="L326" s="181">
        <f t="shared" si="70"/>
        <v>0.5</v>
      </c>
      <c r="M326" s="180" t="s">
        <v>777</v>
      </c>
    </row>
    <row r="327" spans="1:13" ht="18.75" customHeight="1">
      <c r="A327" s="180" t="s">
        <v>1130</v>
      </c>
      <c r="B327" s="180" t="s">
        <v>1130</v>
      </c>
      <c r="C327" s="180" t="s">
        <v>781</v>
      </c>
      <c r="D327" s="180">
        <f t="shared" si="65"/>
        <v>365</v>
      </c>
      <c r="E327" s="184">
        <v>45355</v>
      </c>
      <c r="F327" s="184">
        <f t="shared" si="67"/>
        <v>45720</v>
      </c>
      <c r="G327" s="184">
        <f t="shared" si="66"/>
        <v>45690</v>
      </c>
      <c r="H327" s="180" t="str">
        <f t="shared" ca="1" si="68"/>
        <v>VENCIDO</v>
      </c>
      <c r="I327" s="183">
        <v>75</v>
      </c>
      <c r="J327" s="182">
        <v>150</v>
      </c>
      <c r="K327" s="182">
        <f t="shared" si="69"/>
        <v>75</v>
      </c>
      <c r="L327" s="181">
        <f t="shared" si="70"/>
        <v>0.5</v>
      </c>
      <c r="M327" s="180" t="s">
        <v>777</v>
      </c>
    </row>
    <row r="328" spans="1:13" ht="18.75" customHeight="1">
      <c r="A328" s="180" t="s">
        <v>858</v>
      </c>
      <c r="B328" s="180"/>
      <c r="C328" s="180" t="s">
        <v>781</v>
      </c>
      <c r="D328" s="180">
        <f t="shared" si="65"/>
        <v>365</v>
      </c>
      <c r="E328" s="184">
        <v>45356</v>
      </c>
      <c r="F328" s="184">
        <f t="shared" si="67"/>
        <v>45721</v>
      </c>
      <c r="G328" s="184">
        <f t="shared" si="66"/>
        <v>45691</v>
      </c>
      <c r="H328" s="180" t="str">
        <f t="shared" ca="1" si="68"/>
        <v>VENCIDO</v>
      </c>
      <c r="I328" s="183">
        <v>75</v>
      </c>
      <c r="J328" s="182">
        <v>150</v>
      </c>
      <c r="K328" s="182">
        <f t="shared" si="69"/>
        <v>75</v>
      </c>
      <c r="L328" s="181">
        <f t="shared" si="70"/>
        <v>0.5</v>
      </c>
      <c r="M328" s="180" t="s">
        <v>777</v>
      </c>
    </row>
    <row r="329" spans="1:13" ht="18.75" customHeight="1">
      <c r="A329" s="180" t="s">
        <v>1359</v>
      </c>
      <c r="B329" s="180" t="s">
        <v>1359</v>
      </c>
      <c r="C329" s="180" t="s">
        <v>778</v>
      </c>
      <c r="D329" s="180">
        <f t="shared" si="65"/>
        <v>365</v>
      </c>
      <c r="E329" s="184">
        <v>45356</v>
      </c>
      <c r="F329" s="184">
        <f t="shared" si="67"/>
        <v>45721</v>
      </c>
      <c r="G329" s="184">
        <f t="shared" si="66"/>
        <v>45691</v>
      </c>
      <c r="H329" s="180" t="str">
        <f t="shared" ca="1" si="68"/>
        <v>VENCIDO</v>
      </c>
      <c r="I329" s="183">
        <f>VLOOKUP(C329,$M$3:$O$6,2,0)</f>
        <v>65</v>
      </c>
      <c r="J329" s="182">
        <f t="shared" si="71"/>
        <v>100</v>
      </c>
      <c r="K329" s="182">
        <f t="shared" si="69"/>
        <v>35</v>
      </c>
      <c r="L329" s="181">
        <f t="shared" si="70"/>
        <v>0.35</v>
      </c>
      <c r="M329" s="180" t="s">
        <v>777</v>
      </c>
    </row>
    <row r="330" spans="1:13" ht="18.75" customHeight="1">
      <c r="A330" s="180" t="s">
        <v>1360</v>
      </c>
      <c r="B330" s="180"/>
      <c r="C330" s="180" t="s">
        <v>781</v>
      </c>
      <c r="D330" s="180">
        <f t="shared" si="65"/>
        <v>365</v>
      </c>
      <c r="E330" s="184">
        <v>45356</v>
      </c>
      <c r="F330" s="184">
        <f t="shared" si="67"/>
        <v>45721</v>
      </c>
      <c r="G330" s="184">
        <f t="shared" si="66"/>
        <v>45691</v>
      </c>
      <c r="H330" s="180" t="str">
        <f t="shared" ca="1" si="68"/>
        <v>VENCIDO</v>
      </c>
      <c r="I330" s="183">
        <v>75</v>
      </c>
      <c r="J330" s="182">
        <v>150</v>
      </c>
      <c r="K330" s="182">
        <f t="shared" si="69"/>
        <v>75</v>
      </c>
      <c r="L330" s="181">
        <f t="shared" si="70"/>
        <v>0.5</v>
      </c>
      <c r="M330" s="180" t="s">
        <v>777</v>
      </c>
    </row>
    <row r="331" spans="1:13" ht="18.75" customHeight="1">
      <c r="A331" s="180" t="s">
        <v>1361</v>
      </c>
      <c r="B331" s="180" t="s">
        <v>1361</v>
      </c>
      <c r="C331" s="180" t="s">
        <v>778</v>
      </c>
      <c r="D331" s="180">
        <f t="shared" si="65"/>
        <v>365</v>
      </c>
      <c r="E331" s="184">
        <v>45357</v>
      </c>
      <c r="F331" s="184">
        <f t="shared" si="67"/>
        <v>45722</v>
      </c>
      <c r="G331" s="184">
        <f t="shared" si="66"/>
        <v>45692</v>
      </c>
      <c r="H331" s="180" t="str">
        <f t="shared" ca="1" si="68"/>
        <v>VENCIDO</v>
      </c>
      <c r="I331" s="183">
        <f>VLOOKUP(C331,$M$3:$O$6,2,0)</f>
        <v>65</v>
      </c>
      <c r="J331" s="182">
        <f t="shared" si="71"/>
        <v>100</v>
      </c>
      <c r="K331" s="182">
        <f t="shared" si="69"/>
        <v>35</v>
      </c>
      <c r="L331" s="181">
        <f t="shared" si="70"/>
        <v>0.35</v>
      </c>
      <c r="M331" s="180" t="s">
        <v>777</v>
      </c>
    </row>
    <row r="332" spans="1:13" ht="18.75" customHeight="1">
      <c r="A332" s="180" t="s">
        <v>1362</v>
      </c>
      <c r="B332" s="180"/>
      <c r="C332" s="180" t="s">
        <v>781</v>
      </c>
      <c r="D332" s="180">
        <f t="shared" si="65"/>
        <v>365</v>
      </c>
      <c r="E332" s="184">
        <v>45357</v>
      </c>
      <c r="F332" s="184">
        <f t="shared" si="67"/>
        <v>45722</v>
      </c>
      <c r="G332" s="184">
        <f t="shared" si="66"/>
        <v>45692</v>
      </c>
      <c r="H332" s="180" t="str">
        <f t="shared" ca="1" si="68"/>
        <v>VENCIDO</v>
      </c>
      <c r="I332" s="183">
        <v>75</v>
      </c>
      <c r="J332" s="182">
        <v>150</v>
      </c>
      <c r="K332" s="182">
        <f t="shared" si="69"/>
        <v>75</v>
      </c>
      <c r="L332" s="181">
        <f t="shared" si="70"/>
        <v>0.5</v>
      </c>
      <c r="M332" s="180" t="s">
        <v>777</v>
      </c>
    </row>
    <row r="333" spans="1:13" ht="18.75" customHeight="1">
      <c r="A333" s="180" t="s">
        <v>1363</v>
      </c>
      <c r="B333" s="180" t="s">
        <v>1363</v>
      </c>
      <c r="C333" s="180" t="s">
        <v>778</v>
      </c>
      <c r="D333" s="180">
        <f t="shared" ref="D333:D353" si="72">IF(C333="A1 - 1 ano PJ",365,IF(C333="A1 - 1 ano PF",365,(365*3)))</f>
        <v>365</v>
      </c>
      <c r="E333" s="184">
        <v>45357</v>
      </c>
      <c r="F333" s="184">
        <f t="shared" si="67"/>
        <v>45722</v>
      </c>
      <c r="G333" s="184">
        <f t="shared" ref="G333:G353" si="73">F333-30</f>
        <v>45692</v>
      </c>
      <c r="H333" s="180" t="str">
        <f t="shared" ca="1" si="68"/>
        <v>VENCIDO</v>
      </c>
      <c r="I333" s="183">
        <f>VLOOKUP(C333,$M$3:$O$6,2,0)</f>
        <v>65</v>
      </c>
      <c r="J333" s="182">
        <f t="shared" si="71"/>
        <v>100</v>
      </c>
      <c r="K333" s="182">
        <f t="shared" si="69"/>
        <v>35</v>
      </c>
      <c r="L333" s="181">
        <f t="shared" si="70"/>
        <v>0.35</v>
      </c>
      <c r="M333" s="180" t="s">
        <v>777</v>
      </c>
    </row>
    <row r="334" spans="1:13" ht="18.75" customHeight="1">
      <c r="A334" s="180" t="s">
        <v>1364</v>
      </c>
      <c r="B334" s="180"/>
      <c r="C334" s="180" t="s">
        <v>778</v>
      </c>
      <c r="D334" s="180">
        <f t="shared" si="72"/>
        <v>365</v>
      </c>
      <c r="E334" s="184">
        <v>45357</v>
      </c>
      <c r="F334" s="184">
        <f t="shared" si="67"/>
        <v>45722</v>
      </c>
      <c r="G334" s="184">
        <f t="shared" si="73"/>
        <v>45692</v>
      </c>
      <c r="H334" s="180" t="str">
        <f t="shared" ca="1" si="68"/>
        <v>VENCIDO</v>
      </c>
      <c r="I334" s="183">
        <f>VLOOKUP(C334,$M$3:$O$6,2,0)</f>
        <v>65</v>
      </c>
      <c r="J334" s="182">
        <f t="shared" si="71"/>
        <v>100</v>
      </c>
      <c r="K334" s="182">
        <f t="shared" si="69"/>
        <v>35</v>
      </c>
      <c r="L334" s="181">
        <f t="shared" si="70"/>
        <v>0.35</v>
      </c>
      <c r="M334" s="180" t="s">
        <v>777</v>
      </c>
    </row>
    <row r="335" spans="1:13" ht="18.75" customHeight="1">
      <c r="A335" s="180" t="s">
        <v>1365</v>
      </c>
      <c r="B335" s="180"/>
      <c r="C335" s="180" t="s">
        <v>781</v>
      </c>
      <c r="D335" s="180">
        <f t="shared" si="72"/>
        <v>365</v>
      </c>
      <c r="E335" s="184">
        <v>45357</v>
      </c>
      <c r="F335" s="184">
        <f t="shared" si="67"/>
        <v>45722</v>
      </c>
      <c r="G335" s="184">
        <f t="shared" si="73"/>
        <v>45692</v>
      </c>
      <c r="H335" s="180" t="str">
        <f t="shared" ca="1" si="68"/>
        <v>VENCIDO</v>
      </c>
      <c r="I335" s="183">
        <v>75</v>
      </c>
      <c r="J335" s="182">
        <v>150</v>
      </c>
      <c r="K335" s="182">
        <f t="shared" si="69"/>
        <v>75</v>
      </c>
      <c r="L335" s="181">
        <f t="shared" si="70"/>
        <v>0.5</v>
      </c>
      <c r="M335" s="180" t="s">
        <v>777</v>
      </c>
    </row>
    <row r="336" spans="1:13" ht="18.75" customHeight="1">
      <c r="A336" s="180" t="s">
        <v>1366</v>
      </c>
      <c r="B336" s="180"/>
      <c r="C336" s="180" t="s">
        <v>778</v>
      </c>
      <c r="D336" s="180">
        <f t="shared" si="72"/>
        <v>365</v>
      </c>
      <c r="E336" s="184">
        <v>45357</v>
      </c>
      <c r="F336" s="184">
        <f t="shared" si="67"/>
        <v>45722</v>
      </c>
      <c r="G336" s="184">
        <f t="shared" si="73"/>
        <v>45692</v>
      </c>
      <c r="H336" s="180" t="str">
        <f t="shared" ca="1" si="68"/>
        <v>VENCIDO</v>
      </c>
      <c r="I336" s="183">
        <f>VLOOKUP(C336,$M$3:$O$6,2,0)</f>
        <v>65</v>
      </c>
      <c r="J336" s="182">
        <f t="shared" si="71"/>
        <v>100</v>
      </c>
      <c r="K336" s="182">
        <f t="shared" si="69"/>
        <v>35</v>
      </c>
      <c r="L336" s="181">
        <f t="shared" si="70"/>
        <v>0.35</v>
      </c>
      <c r="M336" s="180" t="s">
        <v>777</v>
      </c>
    </row>
    <row r="337" spans="1:13" ht="18.75" customHeight="1">
      <c r="A337" s="180" t="s">
        <v>1367</v>
      </c>
      <c r="B337" s="180" t="s">
        <v>1366</v>
      </c>
      <c r="C337" s="180" t="s">
        <v>781</v>
      </c>
      <c r="D337" s="180">
        <f t="shared" si="72"/>
        <v>365</v>
      </c>
      <c r="E337" s="184">
        <v>45357</v>
      </c>
      <c r="F337" s="184">
        <f t="shared" ref="F337:F353" si="74">E337+D337</f>
        <v>45722</v>
      </c>
      <c r="G337" s="184">
        <f t="shared" si="73"/>
        <v>45692</v>
      </c>
      <c r="H337" s="180" t="str">
        <f t="shared" ref="H337:H353" ca="1" si="75">IF($A$6&lt;G337,"VÁLIDO",IF($A$6&gt;F337,"VENCIDO","A VENCER"))</f>
        <v>VENCIDO</v>
      </c>
      <c r="I337" s="183">
        <v>75</v>
      </c>
      <c r="J337" s="182">
        <v>150</v>
      </c>
      <c r="K337" s="182">
        <f t="shared" ref="K337:K353" si="76">J337-I337</f>
        <v>75</v>
      </c>
      <c r="L337" s="181">
        <f t="shared" ref="L337:L353" si="77">K337/J337</f>
        <v>0.5</v>
      </c>
      <c r="M337" s="180" t="s">
        <v>777</v>
      </c>
    </row>
    <row r="338" spans="1:13" ht="18.75" customHeight="1">
      <c r="A338" s="180" t="s">
        <v>1368</v>
      </c>
      <c r="B338" s="180" t="s">
        <v>1368</v>
      </c>
      <c r="C338" s="180" t="s">
        <v>781</v>
      </c>
      <c r="D338" s="180">
        <f t="shared" si="72"/>
        <v>365</v>
      </c>
      <c r="E338" s="184">
        <v>45357</v>
      </c>
      <c r="F338" s="184">
        <f t="shared" si="74"/>
        <v>45722</v>
      </c>
      <c r="G338" s="184">
        <f t="shared" si="73"/>
        <v>45692</v>
      </c>
      <c r="H338" s="180" t="str">
        <f t="shared" ca="1" si="75"/>
        <v>VENCIDO</v>
      </c>
      <c r="I338" s="183">
        <v>75</v>
      </c>
      <c r="J338" s="182">
        <v>150</v>
      </c>
      <c r="K338" s="182">
        <f t="shared" si="76"/>
        <v>75</v>
      </c>
      <c r="L338" s="181">
        <f t="shared" si="77"/>
        <v>0.5</v>
      </c>
      <c r="M338" s="180" t="s">
        <v>777</v>
      </c>
    </row>
    <row r="339" spans="1:13" ht="18.75" customHeight="1">
      <c r="A339" s="180" t="s">
        <v>1369</v>
      </c>
      <c r="B339" s="180" t="s">
        <v>1369</v>
      </c>
      <c r="C339" s="180" t="s">
        <v>781</v>
      </c>
      <c r="D339" s="180">
        <f t="shared" si="72"/>
        <v>365</v>
      </c>
      <c r="E339" s="184">
        <v>45357</v>
      </c>
      <c r="F339" s="184">
        <f t="shared" si="74"/>
        <v>45722</v>
      </c>
      <c r="G339" s="184">
        <f t="shared" si="73"/>
        <v>45692</v>
      </c>
      <c r="H339" s="180" t="str">
        <f t="shared" ca="1" si="75"/>
        <v>VENCIDO</v>
      </c>
      <c r="I339" s="183">
        <v>75</v>
      </c>
      <c r="J339" s="182">
        <v>150</v>
      </c>
      <c r="K339" s="182">
        <f t="shared" si="76"/>
        <v>75</v>
      </c>
      <c r="L339" s="181">
        <f t="shared" si="77"/>
        <v>0.5</v>
      </c>
      <c r="M339" s="180" t="s">
        <v>777</v>
      </c>
    </row>
    <row r="340" spans="1:13" ht="18.75" customHeight="1">
      <c r="A340" s="180" t="s">
        <v>885</v>
      </c>
      <c r="B340" s="180" t="s">
        <v>885</v>
      </c>
      <c r="C340" s="180" t="s">
        <v>781</v>
      </c>
      <c r="D340" s="180">
        <f t="shared" si="72"/>
        <v>365</v>
      </c>
      <c r="E340" s="184">
        <v>45358</v>
      </c>
      <c r="F340" s="184">
        <f t="shared" si="74"/>
        <v>45723</v>
      </c>
      <c r="G340" s="184">
        <f t="shared" si="73"/>
        <v>45693</v>
      </c>
      <c r="H340" s="180" t="str">
        <f t="shared" ca="1" si="75"/>
        <v>VENCIDO</v>
      </c>
      <c r="I340" s="183">
        <v>75</v>
      </c>
      <c r="J340" s="182">
        <v>150</v>
      </c>
      <c r="K340" s="182">
        <f t="shared" si="76"/>
        <v>75</v>
      </c>
      <c r="L340" s="181">
        <f t="shared" si="77"/>
        <v>0.5</v>
      </c>
      <c r="M340" s="180" t="s">
        <v>777</v>
      </c>
    </row>
    <row r="341" spans="1:13" ht="18.75" customHeight="1">
      <c r="A341" s="180" t="s">
        <v>1370</v>
      </c>
      <c r="B341" s="180" t="s">
        <v>1370</v>
      </c>
      <c r="C341" s="180" t="s">
        <v>778</v>
      </c>
      <c r="D341" s="180">
        <f t="shared" si="72"/>
        <v>365</v>
      </c>
      <c r="E341" s="184">
        <v>45358</v>
      </c>
      <c r="F341" s="184">
        <f t="shared" si="74"/>
        <v>45723</v>
      </c>
      <c r="G341" s="184">
        <f t="shared" si="73"/>
        <v>45693</v>
      </c>
      <c r="H341" s="180" t="str">
        <f t="shared" ca="1" si="75"/>
        <v>VENCIDO</v>
      </c>
      <c r="I341" s="183">
        <f t="shared" ref="I341:I353" si="78">VLOOKUP(C341,$M$3:$O$6,2,0)</f>
        <v>65</v>
      </c>
      <c r="J341" s="182">
        <f t="shared" ref="J341:J353" si="79">VLOOKUP(C341,$M$3:$O$6,3,0)</f>
        <v>100</v>
      </c>
      <c r="K341" s="182">
        <f t="shared" si="76"/>
        <v>35</v>
      </c>
      <c r="L341" s="181">
        <f t="shared" si="77"/>
        <v>0.35</v>
      </c>
      <c r="M341" s="180" t="s">
        <v>777</v>
      </c>
    </row>
    <row r="342" spans="1:13" ht="18.75" customHeight="1">
      <c r="A342" s="180" t="s">
        <v>1371</v>
      </c>
      <c r="B342" s="180" t="s">
        <v>1371</v>
      </c>
      <c r="C342" s="180" t="s">
        <v>778</v>
      </c>
      <c r="D342" s="180">
        <f t="shared" si="72"/>
        <v>365</v>
      </c>
      <c r="E342" s="184">
        <v>45358</v>
      </c>
      <c r="F342" s="184">
        <f t="shared" si="74"/>
        <v>45723</v>
      </c>
      <c r="G342" s="184">
        <f t="shared" si="73"/>
        <v>45693</v>
      </c>
      <c r="H342" s="180" t="str">
        <f t="shared" ca="1" si="75"/>
        <v>VENCIDO</v>
      </c>
      <c r="I342" s="183">
        <f t="shared" si="78"/>
        <v>65</v>
      </c>
      <c r="J342" s="182">
        <f t="shared" si="79"/>
        <v>100</v>
      </c>
      <c r="K342" s="182">
        <f t="shared" si="76"/>
        <v>35</v>
      </c>
      <c r="L342" s="181">
        <f t="shared" si="77"/>
        <v>0.35</v>
      </c>
      <c r="M342" s="180" t="s">
        <v>777</v>
      </c>
    </row>
    <row r="343" spans="1:13" ht="18.75" customHeight="1">
      <c r="A343" s="180" t="s">
        <v>1372</v>
      </c>
      <c r="B343" s="180" t="s">
        <v>1372</v>
      </c>
      <c r="C343" s="180" t="s">
        <v>778</v>
      </c>
      <c r="D343" s="180">
        <f t="shared" si="72"/>
        <v>365</v>
      </c>
      <c r="E343" s="184">
        <v>45362</v>
      </c>
      <c r="F343" s="184">
        <f t="shared" si="74"/>
        <v>45727</v>
      </c>
      <c r="G343" s="184">
        <f t="shared" si="73"/>
        <v>45697</v>
      </c>
      <c r="H343" s="180" t="str">
        <f t="shared" ca="1" si="75"/>
        <v>VENCIDO</v>
      </c>
      <c r="I343" s="183">
        <f t="shared" si="78"/>
        <v>65</v>
      </c>
      <c r="J343" s="182">
        <f t="shared" si="79"/>
        <v>100</v>
      </c>
      <c r="K343" s="182">
        <f t="shared" si="76"/>
        <v>35</v>
      </c>
      <c r="L343" s="181">
        <f t="shared" si="77"/>
        <v>0.35</v>
      </c>
      <c r="M343" s="180" t="s">
        <v>777</v>
      </c>
    </row>
    <row r="344" spans="1:13" ht="18.75" customHeight="1">
      <c r="A344" s="180" t="s">
        <v>1373</v>
      </c>
      <c r="B344" s="180" t="s">
        <v>1373</v>
      </c>
      <c r="C344" s="180" t="s">
        <v>781</v>
      </c>
      <c r="D344" s="180">
        <f t="shared" si="72"/>
        <v>365</v>
      </c>
      <c r="E344" s="184">
        <v>45362</v>
      </c>
      <c r="F344" s="184">
        <f t="shared" si="74"/>
        <v>45727</v>
      </c>
      <c r="G344" s="184">
        <f t="shared" si="73"/>
        <v>45697</v>
      </c>
      <c r="H344" s="180" t="str">
        <f t="shared" ca="1" si="75"/>
        <v>VENCIDO</v>
      </c>
      <c r="I344" s="183">
        <v>75</v>
      </c>
      <c r="J344" s="182">
        <v>150</v>
      </c>
      <c r="K344" s="182">
        <f t="shared" si="76"/>
        <v>75</v>
      </c>
      <c r="L344" s="181">
        <f t="shared" si="77"/>
        <v>0.5</v>
      </c>
      <c r="M344" s="180" t="s">
        <v>777</v>
      </c>
    </row>
    <row r="345" spans="1:13" ht="18.75" customHeight="1">
      <c r="A345" s="180" t="s">
        <v>807</v>
      </c>
      <c r="B345" s="180" t="s">
        <v>807</v>
      </c>
      <c r="C345" s="180" t="s">
        <v>781</v>
      </c>
      <c r="D345" s="180">
        <f t="shared" si="72"/>
        <v>365</v>
      </c>
      <c r="E345" s="184">
        <v>45362</v>
      </c>
      <c r="F345" s="184">
        <f t="shared" si="74"/>
        <v>45727</v>
      </c>
      <c r="G345" s="184">
        <f t="shared" si="73"/>
        <v>45697</v>
      </c>
      <c r="H345" s="180" t="str">
        <f t="shared" ca="1" si="75"/>
        <v>VENCIDO</v>
      </c>
      <c r="I345" s="183">
        <v>75</v>
      </c>
      <c r="J345" s="182">
        <v>150</v>
      </c>
      <c r="K345" s="182">
        <f t="shared" si="76"/>
        <v>75</v>
      </c>
      <c r="L345" s="181">
        <f t="shared" si="77"/>
        <v>0.5</v>
      </c>
      <c r="M345" s="180" t="s">
        <v>777</v>
      </c>
    </row>
    <row r="346" spans="1:13" ht="18.75" customHeight="1">
      <c r="A346" s="180" t="s">
        <v>1374</v>
      </c>
      <c r="B346" s="180" t="s">
        <v>1374</v>
      </c>
      <c r="C346" s="180" t="s">
        <v>781</v>
      </c>
      <c r="D346" s="180">
        <f t="shared" si="72"/>
        <v>365</v>
      </c>
      <c r="E346" s="184">
        <v>45364</v>
      </c>
      <c r="F346" s="184">
        <f t="shared" si="74"/>
        <v>45729</v>
      </c>
      <c r="G346" s="184">
        <f t="shared" si="73"/>
        <v>45699</v>
      </c>
      <c r="H346" s="180" t="str">
        <f t="shared" ca="1" si="75"/>
        <v>VENCIDO</v>
      </c>
      <c r="I346" s="183">
        <v>75</v>
      </c>
      <c r="J346" s="182">
        <v>150</v>
      </c>
      <c r="K346" s="182">
        <f t="shared" si="76"/>
        <v>75</v>
      </c>
      <c r="L346" s="181">
        <f t="shared" si="77"/>
        <v>0.5</v>
      </c>
      <c r="M346" s="180" t="s">
        <v>777</v>
      </c>
    </row>
    <row r="347" spans="1:13" ht="18.75" customHeight="1">
      <c r="A347" s="180" t="s">
        <v>1375</v>
      </c>
      <c r="B347" s="180" t="s">
        <v>1375</v>
      </c>
      <c r="C347" s="180" t="s">
        <v>781</v>
      </c>
      <c r="D347" s="180">
        <f t="shared" si="72"/>
        <v>365</v>
      </c>
      <c r="E347" s="184">
        <v>45364</v>
      </c>
      <c r="F347" s="184">
        <f t="shared" si="74"/>
        <v>45729</v>
      </c>
      <c r="G347" s="184">
        <f t="shared" si="73"/>
        <v>45699</v>
      </c>
      <c r="H347" s="180" t="str">
        <f t="shared" ca="1" si="75"/>
        <v>VENCIDO</v>
      </c>
      <c r="I347" s="183">
        <v>75</v>
      </c>
      <c r="J347" s="182">
        <v>150</v>
      </c>
      <c r="K347" s="182">
        <f t="shared" si="76"/>
        <v>75</v>
      </c>
      <c r="L347" s="181">
        <f t="shared" si="77"/>
        <v>0.5</v>
      </c>
      <c r="M347" s="180" t="s">
        <v>777</v>
      </c>
    </row>
    <row r="348" spans="1:13" ht="18.75" customHeight="1">
      <c r="A348" s="180" t="s">
        <v>1376</v>
      </c>
      <c r="B348" s="180" t="s">
        <v>1377</v>
      </c>
      <c r="C348" s="180" t="s">
        <v>781</v>
      </c>
      <c r="D348" s="180">
        <f t="shared" si="72"/>
        <v>365</v>
      </c>
      <c r="E348" s="184">
        <v>45364</v>
      </c>
      <c r="F348" s="184">
        <f t="shared" si="74"/>
        <v>45729</v>
      </c>
      <c r="G348" s="184">
        <f t="shared" si="73"/>
        <v>45699</v>
      </c>
      <c r="H348" s="180" t="str">
        <f t="shared" ca="1" si="75"/>
        <v>VENCIDO</v>
      </c>
      <c r="I348" s="183">
        <v>75</v>
      </c>
      <c r="J348" s="182">
        <v>150</v>
      </c>
      <c r="K348" s="182">
        <f t="shared" si="76"/>
        <v>75</v>
      </c>
      <c r="L348" s="181">
        <f t="shared" si="77"/>
        <v>0.5</v>
      </c>
      <c r="M348" s="180" t="s">
        <v>1328</v>
      </c>
    </row>
    <row r="349" spans="1:13" ht="18.75" customHeight="1">
      <c r="A349" s="180" t="s">
        <v>801</v>
      </c>
      <c r="B349" s="180" t="s">
        <v>1377</v>
      </c>
      <c r="C349" s="180" t="s">
        <v>781</v>
      </c>
      <c r="D349" s="180">
        <f t="shared" si="72"/>
        <v>365</v>
      </c>
      <c r="E349" s="184">
        <v>45364</v>
      </c>
      <c r="F349" s="184">
        <f t="shared" si="74"/>
        <v>45729</v>
      </c>
      <c r="G349" s="184">
        <f t="shared" si="73"/>
        <v>45699</v>
      </c>
      <c r="H349" s="180" t="str">
        <f t="shared" ca="1" si="75"/>
        <v>VENCIDO</v>
      </c>
      <c r="I349" s="183">
        <v>75</v>
      </c>
      <c r="J349" s="182">
        <v>150</v>
      </c>
      <c r="K349" s="182">
        <f t="shared" si="76"/>
        <v>75</v>
      </c>
      <c r="L349" s="181">
        <f t="shared" si="77"/>
        <v>0.5</v>
      </c>
      <c r="M349" s="180" t="s">
        <v>1328</v>
      </c>
    </row>
    <row r="350" spans="1:13" ht="18.75" customHeight="1">
      <c r="A350" s="180" t="s">
        <v>1378</v>
      </c>
      <c r="B350" s="180" t="s">
        <v>1378</v>
      </c>
      <c r="C350" s="180" t="s">
        <v>778</v>
      </c>
      <c r="D350" s="180">
        <f t="shared" si="72"/>
        <v>365</v>
      </c>
      <c r="E350" s="184">
        <v>45365</v>
      </c>
      <c r="F350" s="184">
        <f t="shared" si="74"/>
        <v>45730</v>
      </c>
      <c r="G350" s="184">
        <f t="shared" si="73"/>
        <v>45700</v>
      </c>
      <c r="H350" s="180" t="str">
        <f t="shared" ca="1" si="75"/>
        <v>VENCIDO</v>
      </c>
      <c r="I350" s="183">
        <f t="shared" si="78"/>
        <v>65</v>
      </c>
      <c r="J350" s="182">
        <f t="shared" si="79"/>
        <v>100</v>
      </c>
      <c r="K350" s="182">
        <f t="shared" si="76"/>
        <v>35</v>
      </c>
      <c r="L350" s="181">
        <f t="shared" si="77"/>
        <v>0.35</v>
      </c>
      <c r="M350" s="180" t="s">
        <v>777</v>
      </c>
    </row>
    <row r="351" spans="1:13" ht="18.75" customHeight="1">
      <c r="A351" s="180" t="s">
        <v>849</v>
      </c>
      <c r="B351" s="180" t="s">
        <v>849</v>
      </c>
      <c r="C351" s="180" t="s">
        <v>778</v>
      </c>
      <c r="D351" s="180">
        <f t="shared" si="72"/>
        <v>365</v>
      </c>
      <c r="E351" s="184">
        <v>45365</v>
      </c>
      <c r="F351" s="184">
        <f t="shared" si="74"/>
        <v>45730</v>
      </c>
      <c r="G351" s="184">
        <f t="shared" si="73"/>
        <v>45700</v>
      </c>
      <c r="H351" s="180" t="str">
        <f t="shared" ca="1" si="75"/>
        <v>VENCIDO</v>
      </c>
      <c r="I351" s="183">
        <f t="shared" si="78"/>
        <v>65</v>
      </c>
      <c r="J351" s="182">
        <f t="shared" si="79"/>
        <v>100</v>
      </c>
      <c r="K351" s="182">
        <f t="shared" si="76"/>
        <v>35</v>
      </c>
      <c r="L351" s="181">
        <f t="shared" si="77"/>
        <v>0.35</v>
      </c>
      <c r="M351" s="180" t="s">
        <v>777</v>
      </c>
    </row>
    <row r="352" spans="1:13" ht="18.75" customHeight="1">
      <c r="A352" s="180" t="s">
        <v>885</v>
      </c>
      <c r="B352" s="180" t="s">
        <v>885</v>
      </c>
      <c r="C352" s="180" t="s">
        <v>778</v>
      </c>
      <c r="D352" s="180">
        <f t="shared" si="72"/>
        <v>365</v>
      </c>
      <c r="E352" s="184">
        <v>45365</v>
      </c>
      <c r="F352" s="184">
        <f t="shared" si="74"/>
        <v>45730</v>
      </c>
      <c r="G352" s="184">
        <f t="shared" si="73"/>
        <v>45700</v>
      </c>
      <c r="H352" s="180" t="str">
        <f t="shared" ca="1" si="75"/>
        <v>VENCIDO</v>
      </c>
      <c r="I352" s="183">
        <f t="shared" si="78"/>
        <v>65</v>
      </c>
      <c r="J352" s="182">
        <f t="shared" si="79"/>
        <v>100</v>
      </c>
      <c r="K352" s="182">
        <f t="shared" si="76"/>
        <v>35</v>
      </c>
      <c r="L352" s="181">
        <f t="shared" si="77"/>
        <v>0.35</v>
      </c>
      <c r="M352" s="180" t="s">
        <v>777</v>
      </c>
    </row>
    <row r="353" spans="1:13" ht="18.75" customHeight="1">
      <c r="A353" s="180" t="s">
        <v>1379</v>
      </c>
      <c r="B353" s="180" t="s">
        <v>1379</v>
      </c>
      <c r="C353" s="180" t="s">
        <v>778</v>
      </c>
      <c r="D353" s="180">
        <f t="shared" si="72"/>
        <v>365</v>
      </c>
      <c r="E353" s="184">
        <v>45365</v>
      </c>
      <c r="F353" s="184">
        <f t="shared" si="74"/>
        <v>45730</v>
      </c>
      <c r="G353" s="184">
        <f t="shared" si="73"/>
        <v>45700</v>
      </c>
      <c r="H353" s="180" t="str">
        <f t="shared" ca="1" si="75"/>
        <v>VENCIDO</v>
      </c>
      <c r="I353" s="183">
        <f t="shared" si="78"/>
        <v>65</v>
      </c>
      <c r="J353" s="182">
        <f t="shared" si="79"/>
        <v>100</v>
      </c>
      <c r="K353" s="182">
        <f t="shared" si="76"/>
        <v>35</v>
      </c>
      <c r="L353" s="181">
        <f t="shared" si="77"/>
        <v>0.35</v>
      </c>
      <c r="M353" s="180" t="s">
        <v>777</v>
      </c>
    </row>
    <row r="354" spans="1:13" ht="18.75" customHeight="1">
      <c r="A354" s="180" t="s">
        <v>1384</v>
      </c>
      <c r="B354" s="180" t="s">
        <v>1384</v>
      </c>
      <c r="C354" s="180" t="s">
        <v>778</v>
      </c>
      <c r="D354" s="180">
        <f t="shared" ref="D354:D417" si="80">IF(C354="A1 - 1 ano PJ",365,IF(C354="A1 - 1 ano PF",365,(365*3)))</f>
        <v>365</v>
      </c>
      <c r="E354" s="184">
        <v>45366</v>
      </c>
      <c r="F354" s="184">
        <f t="shared" ref="F354:F417" si="81">E354+D354</f>
        <v>45731</v>
      </c>
      <c r="G354" s="184">
        <f t="shared" ref="G354:G417" si="82">F354-30</f>
        <v>45701</v>
      </c>
      <c r="H354" s="180" t="str">
        <f t="shared" ref="H354:H417" ca="1" si="83">IF($A$6&lt;G354,"VÁLIDO",IF($A$6&gt;F354,"VENCIDO","A VENCER"))</f>
        <v>VENCIDO</v>
      </c>
      <c r="I354" s="183">
        <f t="shared" ref="I354:I376" si="84">VLOOKUP(C354,$M$3:$O$6,2,0)</f>
        <v>65</v>
      </c>
      <c r="J354" s="182">
        <f>VLOOKUP(C354,$M$3:$O$6,3,0)</f>
        <v>100</v>
      </c>
      <c r="K354" s="182">
        <f t="shared" ref="K354:K417" si="85">J354-I354</f>
        <v>35</v>
      </c>
      <c r="L354" s="181">
        <f t="shared" ref="L354:L417" si="86">K354/J354</f>
        <v>0.35</v>
      </c>
      <c r="M354" s="180" t="s">
        <v>777</v>
      </c>
    </row>
    <row r="355" spans="1:13" ht="18.75" customHeight="1">
      <c r="A355" s="180" t="s">
        <v>1385</v>
      </c>
      <c r="B355" s="180" t="s">
        <v>1384</v>
      </c>
      <c r="C355" s="180" t="s">
        <v>781</v>
      </c>
      <c r="D355" s="180">
        <f t="shared" si="80"/>
        <v>365</v>
      </c>
      <c r="E355" s="184">
        <v>45366</v>
      </c>
      <c r="F355" s="184">
        <f t="shared" si="81"/>
        <v>45731</v>
      </c>
      <c r="G355" s="184">
        <f t="shared" si="82"/>
        <v>45701</v>
      </c>
      <c r="H355" s="180" t="str">
        <f t="shared" ca="1" si="83"/>
        <v>VENCIDO</v>
      </c>
      <c r="I355" s="183">
        <v>75</v>
      </c>
      <c r="J355" s="182">
        <v>150</v>
      </c>
      <c r="K355" s="182">
        <f t="shared" si="85"/>
        <v>75</v>
      </c>
      <c r="L355" s="181">
        <f t="shared" si="86"/>
        <v>0.5</v>
      </c>
      <c r="M355" s="180" t="s">
        <v>777</v>
      </c>
    </row>
    <row r="356" spans="1:13" ht="18.75" customHeight="1">
      <c r="A356" s="180" t="s">
        <v>830</v>
      </c>
      <c r="B356" s="180" t="s">
        <v>1386</v>
      </c>
      <c r="C356" s="180" t="s">
        <v>781</v>
      </c>
      <c r="D356" s="180">
        <f t="shared" si="80"/>
        <v>365</v>
      </c>
      <c r="E356" s="184">
        <v>45366</v>
      </c>
      <c r="F356" s="184">
        <f t="shared" si="81"/>
        <v>45731</v>
      </c>
      <c r="G356" s="184">
        <f t="shared" si="82"/>
        <v>45701</v>
      </c>
      <c r="H356" s="180" t="str">
        <f t="shared" ca="1" si="83"/>
        <v>VENCIDO</v>
      </c>
      <c r="I356" s="183">
        <v>75</v>
      </c>
      <c r="J356" s="182">
        <v>150</v>
      </c>
      <c r="K356" s="182">
        <f t="shared" si="85"/>
        <v>75</v>
      </c>
      <c r="L356" s="181">
        <f t="shared" si="86"/>
        <v>0.5</v>
      </c>
      <c r="M356" s="180" t="s">
        <v>777</v>
      </c>
    </row>
    <row r="357" spans="1:13" ht="18.75" customHeight="1">
      <c r="A357" s="180" t="s">
        <v>1387</v>
      </c>
      <c r="B357" s="180" t="s">
        <v>1388</v>
      </c>
      <c r="C357" s="180" t="s">
        <v>781</v>
      </c>
      <c r="D357" s="180">
        <f t="shared" si="80"/>
        <v>365</v>
      </c>
      <c r="E357" s="184">
        <v>45366</v>
      </c>
      <c r="F357" s="184">
        <f t="shared" si="81"/>
        <v>45731</v>
      </c>
      <c r="G357" s="184">
        <f t="shared" si="82"/>
        <v>45701</v>
      </c>
      <c r="H357" s="180" t="str">
        <f t="shared" ca="1" si="83"/>
        <v>VENCIDO</v>
      </c>
      <c r="I357" s="183">
        <v>75</v>
      </c>
      <c r="J357" s="182">
        <v>150</v>
      </c>
      <c r="K357" s="182">
        <f t="shared" si="85"/>
        <v>75</v>
      </c>
      <c r="L357" s="181">
        <f t="shared" si="86"/>
        <v>0.5</v>
      </c>
      <c r="M357" s="180" t="s">
        <v>777</v>
      </c>
    </row>
    <row r="358" spans="1:13" ht="18.75" customHeight="1">
      <c r="A358" s="180" t="s">
        <v>1311</v>
      </c>
      <c r="B358" s="180" t="s">
        <v>1312</v>
      </c>
      <c r="C358" s="180" t="s">
        <v>778</v>
      </c>
      <c r="D358" s="180">
        <f t="shared" si="80"/>
        <v>365</v>
      </c>
      <c r="E358" s="184">
        <v>45366</v>
      </c>
      <c r="F358" s="184">
        <f t="shared" si="81"/>
        <v>45731</v>
      </c>
      <c r="G358" s="184">
        <f t="shared" si="82"/>
        <v>45701</v>
      </c>
      <c r="H358" s="180" t="str">
        <f t="shared" ca="1" si="83"/>
        <v>VENCIDO</v>
      </c>
      <c r="I358" s="183">
        <f t="shared" si="84"/>
        <v>65</v>
      </c>
      <c r="J358" s="182">
        <f>VLOOKUP(C358,$M$3:$O$6,3,0)</f>
        <v>100</v>
      </c>
      <c r="K358" s="182">
        <f t="shared" si="85"/>
        <v>35</v>
      </c>
      <c r="L358" s="181">
        <f t="shared" si="86"/>
        <v>0.35</v>
      </c>
      <c r="M358" s="180" t="s">
        <v>777</v>
      </c>
    </row>
    <row r="359" spans="1:13" ht="18.75" customHeight="1">
      <c r="A359" s="180" t="s">
        <v>1389</v>
      </c>
      <c r="B359" s="180" t="s">
        <v>803</v>
      </c>
      <c r="C359" s="180" t="s">
        <v>778</v>
      </c>
      <c r="D359" s="180">
        <f t="shared" si="80"/>
        <v>365</v>
      </c>
      <c r="E359" s="184">
        <v>45366</v>
      </c>
      <c r="F359" s="184">
        <f t="shared" si="81"/>
        <v>45731</v>
      </c>
      <c r="G359" s="184">
        <f t="shared" si="82"/>
        <v>45701</v>
      </c>
      <c r="H359" s="180" t="str">
        <f t="shared" ca="1" si="83"/>
        <v>VENCIDO</v>
      </c>
      <c r="I359" s="183">
        <f t="shared" si="84"/>
        <v>65</v>
      </c>
      <c r="J359" s="182">
        <f>VLOOKUP(C359,$M$3:$O$6,3,0)</f>
        <v>100</v>
      </c>
      <c r="K359" s="182">
        <f t="shared" si="85"/>
        <v>35</v>
      </c>
      <c r="L359" s="181">
        <f t="shared" si="86"/>
        <v>0.35</v>
      </c>
      <c r="M359" s="180" t="s">
        <v>777</v>
      </c>
    </row>
    <row r="360" spans="1:13" ht="18.75" customHeight="1">
      <c r="A360" s="180" t="s">
        <v>1241</v>
      </c>
      <c r="B360" s="180" t="s">
        <v>1241</v>
      </c>
      <c r="C360" s="180" t="s">
        <v>778</v>
      </c>
      <c r="D360" s="180">
        <f t="shared" si="80"/>
        <v>365</v>
      </c>
      <c r="E360" s="184">
        <v>45369</v>
      </c>
      <c r="F360" s="184">
        <f t="shared" si="81"/>
        <v>45734</v>
      </c>
      <c r="G360" s="184">
        <f t="shared" si="82"/>
        <v>45704</v>
      </c>
      <c r="H360" s="180" t="str">
        <f t="shared" ca="1" si="83"/>
        <v>VENCIDO</v>
      </c>
      <c r="I360" s="183">
        <f t="shared" si="84"/>
        <v>65</v>
      </c>
      <c r="J360" s="182">
        <f>VLOOKUP(C360,$M$3:$O$6,3,0)</f>
        <v>100</v>
      </c>
      <c r="K360" s="182">
        <f t="shared" si="85"/>
        <v>35</v>
      </c>
      <c r="L360" s="181">
        <f t="shared" si="86"/>
        <v>0.35</v>
      </c>
      <c r="M360" s="180" t="s">
        <v>777</v>
      </c>
    </row>
    <row r="361" spans="1:13" ht="18.75" customHeight="1">
      <c r="A361" s="180" t="s">
        <v>1259</v>
      </c>
      <c r="B361" s="180" t="s">
        <v>231</v>
      </c>
      <c r="C361" s="180" t="s">
        <v>781</v>
      </c>
      <c r="D361" s="180">
        <f t="shared" si="80"/>
        <v>365</v>
      </c>
      <c r="E361" s="184">
        <v>45370</v>
      </c>
      <c r="F361" s="184">
        <f t="shared" si="81"/>
        <v>45735</v>
      </c>
      <c r="G361" s="184">
        <f t="shared" si="82"/>
        <v>45705</v>
      </c>
      <c r="H361" s="180" t="str">
        <f t="shared" ca="1" si="83"/>
        <v>VENCIDO</v>
      </c>
      <c r="I361" s="183">
        <v>75</v>
      </c>
      <c r="J361" s="182">
        <v>150</v>
      </c>
      <c r="K361" s="182">
        <f t="shared" si="85"/>
        <v>75</v>
      </c>
      <c r="L361" s="181">
        <f t="shared" si="86"/>
        <v>0.5</v>
      </c>
      <c r="M361" s="180" t="s">
        <v>777</v>
      </c>
    </row>
    <row r="362" spans="1:13" ht="18.75" customHeight="1">
      <c r="A362" s="180" t="s">
        <v>1435</v>
      </c>
      <c r="B362" s="180" t="s">
        <v>1435</v>
      </c>
      <c r="C362" s="180" t="s">
        <v>778</v>
      </c>
      <c r="D362" s="180">
        <f t="shared" si="80"/>
        <v>365</v>
      </c>
      <c r="E362" s="184">
        <v>45371</v>
      </c>
      <c r="F362" s="184">
        <f t="shared" si="81"/>
        <v>45736</v>
      </c>
      <c r="G362" s="184">
        <f t="shared" si="82"/>
        <v>45706</v>
      </c>
      <c r="H362" s="180" t="str">
        <f t="shared" ca="1" si="83"/>
        <v>VENCIDO</v>
      </c>
      <c r="I362" s="183">
        <f t="shared" si="84"/>
        <v>65</v>
      </c>
      <c r="J362" s="182">
        <f>VLOOKUP(C362,$M$3:$O$6,3,0)</f>
        <v>100</v>
      </c>
      <c r="K362" s="182">
        <f t="shared" si="85"/>
        <v>35</v>
      </c>
      <c r="L362" s="181">
        <f t="shared" si="86"/>
        <v>0.35</v>
      </c>
      <c r="M362" s="180" t="s">
        <v>777</v>
      </c>
    </row>
    <row r="363" spans="1:13" ht="18.75" customHeight="1">
      <c r="A363" s="180" t="s">
        <v>1433</v>
      </c>
      <c r="B363" s="180" t="s">
        <v>1434</v>
      </c>
      <c r="C363" s="180" t="s">
        <v>781</v>
      </c>
      <c r="D363" s="180">
        <f t="shared" si="80"/>
        <v>365</v>
      </c>
      <c r="E363" s="184">
        <v>45371</v>
      </c>
      <c r="F363" s="184">
        <f t="shared" si="81"/>
        <v>45736</v>
      </c>
      <c r="G363" s="184">
        <f t="shared" si="82"/>
        <v>45706</v>
      </c>
      <c r="H363" s="180" t="str">
        <f t="shared" ca="1" si="83"/>
        <v>VENCIDO</v>
      </c>
      <c r="I363" s="183">
        <v>75</v>
      </c>
      <c r="J363" s="182">
        <v>150</v>
      </c>
      <c r="K363" s="182">
        <f t="shared" si="85"/>
        <v>75</v>
      </c>
      <c r="L363" s="181">
        <f t="shared" si="86"/>
        <v>0.5</v>
      </c>
      <c r="M363" s="180" t="s">
        <v>1153</v>
      </c>
    </row>
    <row r="364" spans="1:13" ht="18.75" customHeight="1">
      <c r="A364" s="180" t="s">
        <v>1436</v>
      </c>
      <c r="B364" s="180" t="s">
        <v>1436</v>
      </c>
      <c r="C364" s="180" t="s">
        <v>778</v>
      </c>
      <c r="D364" s="180">
        <f t="shared" si="80"/>
        <v>365</v>
      </c>
      <c r="E364" s="184">
        <v>45371</v>
      </c>
      <c r="F364" s="184">
        <f t="shared" si="81"/>
        <v>45736</v>
      </c>
      <c r="G364" s="184">
        <f t="shared" si="82"/>
        <v>45706</v>
      </c>
      <c r="H364" s="180" t="str">
        <f t="shared" ca="1" si="83"/>
        <v>VENCIDO</v>
      </c>
      <c r="I364" s="183">
        <f t="shared" si="84"/>
        <v>65</v>
      </c>
      <c r="J364" s="182">
        <f>VLOOKUP(C364,$M$3:$O$6,3,0)</f>
        <v>100</v>
      </c>
      <c r="K364" s="182">
        <f t="shared" si="85"/>
        <v>35</v>
      </c>
      <c r="L364" s="181">
        <f t="shared" si="86"/>
        <v>0.35</v>
      </c>
      <c r="M364" s="180" t="s">
        <v>777</v>
      </c>
    </row>
    <row r="365" spans="1:13" ht="18.75" customHeight="1">
      <c r="A365" s="180" t="s">
        <v>1463</v>
      </c>
      <c r="B365" s="180" t="s">
        <v>1463</v>
      </c>
      <c r="C365" s="180" t="s">
        <v>778</v>
      </c>
      <c r="D365" s="180">
        <f t="shared" si="80"/>
        <v>365</v>
      </c>
      <c r="E365" s="184">
        <v>45372</v>
      </c>
      <c r="F365" s="184">
        <f t="shared" si="81"/>
        <v>45737</v>
      </c>
      <c r="G365" s="184">
        <f t="shared" si="82"/>
        <v>45707</v>
      </c>
      <c r="H365" s="180" t="str">
        <f t="shared" ca="1" si="83"/>
        <v>VENCIDO</v>
      </c>
      <c r="I365" s="183">
        <f t="shared" si="84"/>
        <v>65</v>
      </c>
      <c r="J365" s="182">
        <f>VLOOKUP(C365,$M$3:$O$6,3,0)</f>
        <v>100</v>
      </c>
      <c r="K365" s="182">
        <f t="shared" si="85"/>
        <v>35</v>
      </c>
      <c r="L365" s="181">
        <f t="shared" si="86"/>
        <v>0.35</v>
      </c>
      <c r="M365" s="180" t="s">
        <v>1535</v>
      </c>
    </row>
    <row r="366" spans="1:13" ht="18.75" customHeight="1">
      <c r="A366" s="180" t="s">
        <v>1338</v>
      </c>
      <c r="B366" s="180" t="s">
        <v>1338</v>
      </c>
      <c r="C366" s="180" t="s">
        <v>778</v>
      </c>
      <c r="D366" s="180">
        <f t="shared" si="80"/>
        <v>365</v>
      </c>
      <c r="E366" s="184">
        <v>45373</v>
      </c>
      <c r="F366" s="184">
        <f t="shared" si="81"/>
        <v>45738</v>
      </c>
      <c r="G366" s="184">
        <f t="shared" si="82"/>
        <v>45708</v>
      </c>
      <c r="H366" s="180" t="str">
        <f t="shared" ca="1" si="83"/>
        <v>VENCIDO</v>
      </c>
      <c r="I366" s="183">
        <f t="shared" si="84"/>
        <v>65</v>
      </c>
      <c r="J366" s="182">
        <f>VLOOKUP(C366,$M$3:$O$6,3,0)</f>
        <v>100</v>
      </c>
      <c r="K366" s="182">
        <f t="shared" si="85"/>
        <v>35</v>
      </c>
      <c r="L366" s="181">
        <f t="shared" si="86"/>
        <v>0.35</v>
      </c>
      <c r="M366" s="180" t="s">
        <v>1328</v>
      </c>
    </row>
    <row r="367" spans="1:13" ht="18.75" customHeight="1">
      <c r="A367" s="180" t="s">
        <v>1450</v>
      </c>
      <c r="B367" s="180" t="s">
        <v>1450</v>
      </c>
      <c r="C367" s="180" t="s">
        <v>778</v>
      </c>
      <c r="D367" s="180">
        <f t="shared" si="80"/>
        <v>365</v>
      </c>
      <c r="E367" s="184">
        <v>45373</v>
      </c>
      <c r="F367" s="184">
        <f t="shared" si="81"/>
        <v>45738</v>
      </c>
      <c r="G367" s="184">
        <f t="shared" si="82"/>
        <v>45708</v>
      </c>
      <c r="H367" s="180" t="str">
        <f t="shared" ca="1" si="83"/>
        <v>VENCIDO</v>
      </c>
      <c r="I367" s="183">
        <f t="shared" si="84"/>
        <v>65</v>
      </c>
      <c r="J367" s="182">
        <f>VLOOKUP(C367,$M$3:$O$6,3,0)</f>
        <v>100</v>
      </c>
      <c r="K367" s="182">
        <f t="shared" si="85"/>
        <v>35</v>
      </c>
      <c r="L367" s="181">
        <f t="shared" si="86"/>
        <v>0.35</v>
      </c>
      <c r="M367" s="180" t="s">
        <v>1328</v>
      </c>
    </row>
    <row r="368" spans="1:13" ht="18.75" customHeight="1">
      <c r="A368" s="180" t="s">
        <v>1451</v>
      </c>
      <c r="B368" s="180" t="s">
        <v>1451</v>
      </c>
      <c r="C368" s="180" t="s">
        <v>778</v>
      </c>
      <c r="D368" s="180">
        <f t="shared" si="80"/>
        <v>365</v>
      </c>
      <c r="E368" s="184">
        <v>45373</v>
      </c>
      <c r="F368" s="184">
        <f t="shared" si="81"/>
        <v>45738</v>
      </c>
      <c r="G368" s="184">
        <f t="shared" si="82"/>
        <v>45708</v>
      </c>
      <c r="H368" s="180" t="str">
        <f t="shared" ca="1" si="83"/>
        <v>VENCIDO</v>
      </c>
      <c r="I368" s="183">
        <f t="shared" si="84"/>
        <v>65</v>
      </c>
      <c r="J368" s="182">
        <f>VLOOKUP(C368,$M$3:$O$6,3,0)</f>
        <v>100</v>
      </c>
      <c r="K368" s="182">
        <f t="shared" si="85"/>
        <v>35</v>
      </c>
      <c r="L368" s="181">
        <f t="shared" si="86"/>
        <v>0.35</v>
      </c>
      <c r="M368" s="180" t="s">
        <v>1328</v>
      </c>
    </row>
    <row r="369" spans="1:14" ht="18.75" customHeight="1">
      <c r="A369" s="180" t="s">
        <v>863</v>
      </c>
      <c r="B369" s="180" t="s">
        <v>1348</v>
      </c>
      <c r="C369" s="180" t="s">
        <v>781</v>
      </c>
      <c r="D369" s="180">
        <f t="shared" si="80"/>
        <v>365</v>
      </c>
      <c r="E369" s="184">
        <v>45373</v>
      </c>
      <c r="F369" s="184">
        <f t="shared" si="81"/>
        <v>45738</v>
      </c>
      <c r="G369" s="184">
        <f t="shared" si="82"/>
        <v>45708</v>
      </c>
      <c r="H369" s="180" t="str">
        <f t="shared" ca="1" si="83"/>
        <v>VENCIDO</v>
      </c>
      <c r="I369" s="183">
        <v>75</v>
      </c>
      <c r="J369" s="182">
        <v>150</v>
      </c>
      <c r="K369" s="182">
        <f t="shared" si="85"/>
        <v>75</v>
      </c>
      <c r="L369" s="181">
        <f t="shared" si="86"/>
        <v>0.5</v>
      </c>
      <c r="M369" s="180" t="s">
        <v>1328</v>
      </c>
    </row>
    <row r="370" spans="1:14" ht="18.75" customHeight="1">
      <c r="A370" s="180" t="s">
        <v>803</v>
      </c>
      <c r="B370" s="180" t="s">
        <v>803</v>
      </c>
      <c r="C370" s="180" t="s">
        <v>802</v>
      </c>
      <c r="D370" s="180">
        <f t="shared" si="80"/>
        <v>1095</v>
      </c>
      <c r="E370" s="184">
        <v>45373</v>
      </c>
      <c r="F370" s="184">
        <f t="shared" si="81"/>
        <v>46468</v>
      </c>
      <c r="G370" s="184">
        <f t="shared" si="82"/>
        <v>46438</v>
      </c>
      <c r="H370" s="180" t="str">
        <f t="shared" ca="1" si="83"/>
        <v>VÁLIDO</v>
      </c>
      <c r="I370" s="183">
        <v>70</v>
      </c>
      <c r="J370" s="182">
        <v>240</v>
      </c>
      <c r="K370" s="182">
        <f t="shared" si="85"/>
        <v>170</v>
      </c>
      <c r="L370" s="181">
        <f t="shared" si="86"/>
        <v>0.70833333333333337</v>
      </c>
      <c r="M370" s="180" t="s">
        <v>1328</v>
      </c>
    </row>
    <row r="371" spans="1:14" ht="18.75" customHeight="1">
      <c r="A371" s="180" t="s">
        <v>1454</v>
      </c>
      <c r="B371" s="180" t="s">
        <v>1454</v>
      </c>
      <c r="C371" s="180" t="s">
        <v>802</v>
      </c>
      <c r="D371" s="180">
        <f t="shared" si="80"/>
        <v>1095</v>
      </c>
      <c r="E371" s="184">
        <v>45376</v>
      </c>
      <c r="F371" s="184">
        <f t="shared" si="81"/>
        <v>46471</v>
      </c>
      <c r="G371" s="184">
        <f t="shared" si="82"/>
        <v>46441</v>
      </c>
      <c r="H371" s="180" t="str">
        <f t="shared" ca="1" si="83"/>
        <v>VÁLIDO</v>
      </c>
      <c r="I371" s="183">
        <v>70</v>
      </c>
      <c r="J371" s="182">
        <v>290</v>
      </c>
      <c r="K371" s="182">
        <f t="shared" si="85"/>
        <v>220</v>
      </c>
      <c r="L371" s="181">
        <f t="shared" si="86"/>
        <v>0.75862068965517238</v>
      </c>
      <c r="M371" s="180" t="s">
        <v>1328</v>
      </c>
    </row>
    <row r="372" spans="1:14" ht="18.75" customHeight="1">
      <c r="A372" s="180" t="s">
        <v>1455</v>
      </c>
      <c r="B372" s="180" t="s">
        <v>1455</v>
      </c>
      <c r="C372" s="180" t="s">
        <v>778</v>
      </c>
      <c r="D372" s="180">
        <f t="shared" si="80"/>
        <v>365</v>
      </c>
      <c r="E372" s="184">
        <v>45377</v>
      </c>
      <c r="F372" s="184">
        <f t="shared" si="81"/>
        <v>45742</v>
      </c>
      <c r="G372" s="184">
        <f t="shared" si="82"/>
        <v>45712</v>
      </c>
      <c r="H372" s="180" t="str">
        <f t="shared" ca="1" si="83"/>
        <v>VENCIDO</v>
      </c>
      <c r="I372" s="183">
        <f t="shared" si="84"/>
        <v>65</v>
      </c>
      <c r="J372" s="182">
        <f>VLOOKUP(C372,$M$3:$O$6,3,0)</f>
        <v>100</v>
      </c>
      <c r="K372" s="182">
        <f t="shared" si="85"/>
        <v>35</v>
      </c>
      <c r="L372" s="181">
        <f t="shared" si="86"/>
        <v>0.35</v>
      </c>
      <c r="M372" s="180" t="s">
        <v>1328</v>
      </c>
    </row>
    <row r="373" spans="1:14" ht="18.75" customHeight="1">
      <c r="A373" s="180" t="s">
        <v>1456</v>
      </c>
      <c r="B373" s="180" t="s">
        <v>1456</v>
      </c>
      <c r="C373" s="180" t="s">
        <v>802</v>
      </c>
      <c r="D373" s="180">
        <f t="shared" si="80"/>
        <v>1095</v>
      </c>
      <c r="E373" s="184">
        <v>45378</v>
      </c>
      <c r="F373" s="184">
        <f t="shared" si="81"/>
        <v>46473</v>
      </c>
      <c r="G373" s="184">
        <f t="shared" si="82"/>
        <v>46443</v>
      </c>
      <c r="H373" s="180" t="str">
        <f t="shared" ca="1" si="83"/>
        <v>VÁLIDO</v>
      </c>
      <c r="I373" s="183">
        <v>70</v>
      </c>
      <c r="J373" s="182">
        <v>290</v>
      </c>
      <c r="K373" s="182">
        <f t="shared" si="85"/>
        <v>220</v>
      </c>
      <c r="L373" s="181">
        <f t="shared" si="86"/>
        <v>0.75862068965517238</v>
      </c>
      <c r="M373" s="180" t="s">
        <v>1328</v>
      </c>
    </row>
    <row r="374" spans="1:14" ht="18.75" customHeight="1">
      <c r="A374" s="180" t="s">
        <v>1458</v>
      </c>
      <c r="B374" s="180" t="s">
        <v>1459</v>
      </c>
      <c r="C374" s="180" t="s">
        <v>778</v>
      </c>
      <c r="D374" s="180">
        <f t="shared" si="80"/>
        <v>365</v>
      </c>
      <c r="E374" s="184">
        <v>45378</v>
      </c>
      <c r="F374" s="184">
        <f t="shared" si="81"/>
        <v>45743</v>
      </c>
      <c r="G374" s="184">
        <f t="shared" si="82"/>
        <v>45713</v>
      </c>
      <c r="H374" s="180" t="str">
        <f t="shared" ca="1" si="83"/>
        <v>VENCIDO</v>
      </c>
      <c r="I374" s="183">
        <f t="shared" si="84"/>
        <v>65</v>
      </c>
      <c r="J374" s="182">
        <f>VLOOKUP(C374,$M$3:$O$6,3,0)</f>
        <v>100</v>
      </c>
      <c r="K374" s="182">
        <f t="shared" si="85"/>
        <v>35</v>
      </c>
      <c r="L374" s="181">
        <f t="shared" si="86"/>
        <v>0.35</v>
      </c>
      <c r="M374" s="180" t="s">
        <v>1328</v>
      </c>
    </row>
    <row r="375" spans="1:14" ht="18.75" customHeight="1">
      <c r="A375" s="180" t="s">
        <v>1460</v>
      </c>
      <c r="B375" s="180" t="s">
        <v>1460</v>
      </c>
      <c r="C375" s="180" t="s">
        <v>802</v>
      </c>
      <c r="D375" s="180">
        <f t="shared" si="80"/>
        <v>1095</v>
      </c>
      <c r="E375" s="184">
        <v>45378</v>
      </c>
      <c r="F375" s="184">
        <f t="shared" si="81"/>
        <v>46473</v>
      </c>
      <c r="G375" s="184">
        <f t="shared" si="82"/>
        <v>46443</v>
      </c>
      <c r="H375" s="180" t="str">
        <f t="shared" ca="1" si="83"/>
        <v>VÁLIDO</v>
      </c>
      <c r="I375" s="183">
        <v>135</v>
      </c>
      <c r="J375" s="182">
        <v>290</v>
      </c>
      <c r="K375" s="182">
        <f t="shared" si="85"/>
        <v>155</v>
      </c>
      <c r="L375" s="181">
        <f t="shared" si="86"/>
        <v>0.53448275862068961</v>
      </c>
      <c r="M375" s="180" t="s">
        <v>777</v>
      </c>
    </row>
    <row r="376" spans="1:14" ht="18.75" customHeight="1">
      <c r="A376" s="180" t="s">
        <v>1138</v>
      </c>
      <c r="B376" s="180" t="s">
        <v>1138</v>
      </c>
      <c r="C376" s="180" t="s">
        <v>778</v>
      </c>
      <c r="D376" s="180">
        <f t="shared" si="80"/>
        <v>365</v>
      </c>
      <c r="E376" s="184">
        <v>45379</v>
      </c>
      <c r="F376" s="184">
        <f t="shared" si="81"/>
        <v>45744</v>
      </c>
      <c r="G376" s="184">
        <f t="shared" si="82"/>
        <v>45714</v>
      </c>
      <c r="H376" s="180" t="str">
        <f t="shared" ca="1" si="83"/>
        <v>VENCIDO</v>
      </c>
      <c r="I376" s="183">
        <f t="shared" si="84"/>
        <v>65</v>
      </c>
      <c r="J376" s="182">
        <f>VLOOKUP(C376,$M$3:$O$6,3,0)</f>
        <v>100</v>
      </c>
      <c r="K376" s="182">
        <f t="shared" si="85"/>
        <v>35</v>
      </c>
      <c r="L376" s="181">
        <f t="shared" si="86"/>
        <v>0.35</v>
      </c>
      <c r="M376" s="180" t="s">
        <v>777</v>
      </c>
    </row>
    <row r="377" spans="1:14" ht="18.75" customHeight="1">
      <c r="A377" s="180" t="s">
        <v>39</v>
      </c>
      <c r="B377" s="180" t="s">
        <v>39</v>
      </c>
      <c r="C377" s="180" t="s">
        <v>781</v>
      </c>
      <c r="D377" s="180">
        <f t="shared" si="80"/>
        <v>365</v>
      </c>
      <c r="E377" s="184">
        <v>45379</v>
      </c>
      <c r="F377" s="184">
        <f t="shared" si="81"/>
        <v>45744</v>
      </c>
      <c r="G377" s="184">
        <f t="shared" si="82"/>
        <v>45714</v>
      </c>
      <c r="H377" s="180" t="str">
        <f t="shared" ca="1" si="83"/>
        <v>VENCIDO</v>
      </c>
      <c r="I377" s="183">
        <v>75</v>
      </c>
      <c r="J377" s="182">
        <v>150</v>
      </c>
      <c r="K377" s="182">
        <f t="shared" si="85"/>
        <v>75</v>
      </c>
      <c r="L377" s="181">
        <f t="shared" si="86"/>
        <v>0.5</v>
      </c>
      <c r="M377" s="180" t="s">
        <v>1328</v>
      </c>
    </row>
    <row r="378" spans="1:14" ht="18.75" customHeight="1">
      <c r="A378" s="451" t="s">
        <v>1461</v>
      </c>
      <c r="B378" s="452"/>
      <c r="C378" s="452"/>
      <c r="D378" s="452"/>
      <c r="E378" s="452"/>
      <c r="F378" s="452"/>
      <c r="G378" s="452"/>
      <c r="H378" s="452"/>
      <c r="I378" s="452"/>
      <c r="J378" s="452"/>
      <c r="K378" s="452"/>
      <c r="L378" s="452"/>
      <c r="M378" s="453"/>
    </row>
    <row r="379" spans="1:14" ht="18.75" customHeight="1">
      <c r="A379" s="180" t="s">
        <v>1462</v>
      </c>
      <c r="B379" s="180" t="s">
        <v>1462</v>
      </c>
      <c r="C379" s="180" t="s">
        <v>778</v>
      </c>
      <c r="D379" s="180">
        <f t="shared" si="80"/>
        <v>365</v>
      </c>
      <c r="E379" s="184">
        <v>45383</v>
      </c>
      <c r="F379" s="184">
        <f t="shared" si="81"/>
        <v>45748</v>
      </c>
      <c r="G379" s="184">
        <f t="shared" si="82"/>
        <v>45718</v>
      </c>
      <c r="H379" s="180" t="str">
        <f t="shared" ca="1" si="83"/>
        <v>VENCIDO</v>
      </c>
      <c r="I379" s="183">
        <v>65</v>
      </c>
      <c r="J379" s="182">
        <f>VLOOKUP(C379,$M$3:$O$6,3,0)</f>
        <v>100</v>
      </c>
      <c r="K379" s="182">
        <f t="shared" si="85"/>
        <v>35</v>
      </c>
      <c r="L379" s="181">
        <f t="shared" si="86"/>
        <v>0.35</v>
      </c>
      <c r="M379" s="180" t="s">
        <v>777</v>
      </c>
    </row>
    <row r="380" spans="1:14" ht="18.75" customHeight="1">
      <c r="A380" s="180" t="s">
        <v>1465</v>
      </c>
      <c r="B380" s="180" t="s">
        <v>1465</v>
      </c>
      <c r="C380" s="180" t="s">
        <v>802</v>
      </c>
      <c r="D380" s="180">
        <f t="shared" si="80"/>
        <v>1095</v>
      </c>
      <c r="E380" s="184">
        <v>45383</v>
      </c>
      <c r="F380" s="184">
        <f t="shared" si="81"/>
        <v>46478</v>
      </c>
      <c r="G380" s="184">
        <f t="shared" si="82"/>
        <v>46448</v>
      </c>
      <c r="H380" s="180" t="str">
        <f t="shared" ca="1" si="83"/>
        <v>VÁLIDO</v>
      </c>
      <c r="I380" s="183">
        <v>135</v>
      </c>
      <c r="J380" s="182">
        <v>290</v>
      </c>
      <c r="K380" s="182">
        <f t="shared" si="85"/>
        <v>155</v>
      </c>
      <c r="L380" s="181">
        <f t="shared" si="86"/>
        <v>0.53448275862068961</v>
      </c>
      <c r="M380" s="180" t="s">
        <v>777</v>
      </c>
    </row>
    <row r="381" spans="1:14" ht="18.75" customHeight="1">
      <c r="A381" s="180" t="s">
        <v>1466</v>
      </c>
      <c r="B381" s="180" t="s">
        <v>1466</v>
      </c>
      <c r="C381" s="180" t="s">
        <v>802</v>
      </c>
      <c r="D381" s="180">
        <f t="shared" si="80"/>
        <v>1095</v>
      </c>
      <c r="E381" s="184">
        <v>45384</v>
      </c>
      <c r="F381" s="184">
        <f t="shared" si="81"/>
        <v>46479</v>
      </c>
      <c r="G381" s="184">
        <f t="shared" si="82"/>
        <v>46449</v>
      </c>
      <c r="H381" s="180" t="str">
        <f t="shared" ca="1" si="83"/>
        <v>VÁLIDO</v>
      </c>
      <c r="I381" s="183">
        <v>135</v>
      </c>
      <c r="J381" s="182">
        <v>290</v>
      </c>
      <c r="K381" s="182">
        <f t="shared" si="85"/>
        <v>155</v>
      </c>
      <c r="L381" s="181">
        <f t="shared" si="86"/>
        <v>0.53448275862068961</v>
      </c>
      <c r="M381" s="180" t="s">
        <v>777</v>
      </c>
    </row>
    <row r="382" spans="1:14" ht="18.75" customHeight="1">
      <c r="A382" s="180" t="s">
        <v>1467</v>
      </c>
      <c r="B382" s="180" t="s">
        <v>1467</v>
      </c>
      <c r="C382" s="180" t="s">
        <v>778</v>
      </c>
      <c r="D382" s="180">
        <f t="shared" si="80"/>
        <v>365</v>
      </c>
      <c r="E382" s="184">
        <v>45384</v>
      </c>
      <c r="F382" s="184">
        <f t="shared" si="81"/>
        <v>45749</v>
      </c>
      <c r="G382" s="184">
        <f t="shared" si="82"/>
        <v>45719</v>
      </c>
      <c r="H382" s="180" t="str">
        <f t="shared" ca="1" si="83"/>
        <v>VENCIDO</v>
      </c>
      <c r="I382" s="183">
        <v>65</v>
      </c>
      <c r="J382" s="182">
        <f>VLOOKUP(C382,$M$3:$O$6,3,0)</f>
        <v>100</v>
      </c>
      <c r="K382" s="182">
        <f t="shared" si="85"/>
        <v>35</v>
      </c>
      <c r="L382" s="181">
        <f t="shared" si="86"/>
        <v>0.35</v>
      </c>
      <c r="M382" s="180" t="s">
        <v>777</v>
      </c>
    </row>
    <row r="383" spans="1:14" ht="18.75" customHeight="1">
      <c r="A383" s="180" t="s">
        <v>1468</v>
      </c>
      <c r="B383" s="180" t="s">
        <v>1468</v>
      </c>
      <c r="C383" s="180" t="s">
        <v>781</v>
      </c>
      <c r="D383" s="180">
        <f t="shared" si="80"/>
        <v>365</v>
      </c>
      <c r="E383" s="184">
        <v>45384</v>
      </c>
      <c r="F383" s="184">
        <f t="shared" si="81"/>
        <v>45749</v>
      </c>
      <c r="G383" s="184">
        <f t="shared" si="82"/>
        <v>45719</v>
      </c>
      <c r="H383" s="180" t="str">
        <f t="shared" ca="1" si="83"/>
        <v>VENCIDO</v>
      </c>
      <c r="I383" s="183">
        <v>75</v>
      </c>
      <c r="J383" s="182">
        <v>150</v>
      </c>
      <c r="K383" s="182">
        <f t="shared" si="85"/>
        <v>75</v>
      </c>
      <c r="L383" s="181">
        <f t="shared" si="86"/>
        <v>0.5</v>
      </c>
      <c r="M383" s="180" t="s">
        <v>777</v>
      </c>
      <c r="N383" s="177" t="s">
        <v>1474</v>
      </c>
    </row>
    <row r="384" spans="1:14" ht="18.75" customHeight="1">
      <c r="A384" s="180" t="s">
        <v>1469</v>
      </c>
      <c r="B384" s="180" t="s">
        <v>1469</v>
      </c>
      <c r="C384" s="180" t="s">
        <v>778</v>
      </c>
      <c r="D384" s="180">
        <f t="shared" si="80"/>
        <v>365</v>
      </c>
      <c r="E384" s="184">
        <v>45386</v>
      </c>
      <c r="F384" s="184">
        <f t="shared" si="81"/>
        <v>45751</v>
      </c>
      <c r="G384" s="184">
        <f t="shared" si="82"/>
        <v>45721</v>
      </c>
      <c r="H384" s="180" t="str">
        <f t="shared" ca="1" si="83"/>
        <v>VENCIDO</v>
      </c>
      <c r="I384" s="183">
        <v>125</v>
      </c>
      <c r="J384" s="182">
        <v>190</v>
      </c>
      <c r="K384" s="182">
        <f t="shared" si="85"/>
        <v>65</v>
      </c>
      <c r="L384" s="181">
        <f t="shared" si="86"/>
        <v>0.34210526315789475</v>
      </c>
      <c r="M384" s="180" t="s">
        <v>777</v>
      </c>
    </row>
    <row r="385" spans="1:13" ht="18.75" customHeight="1">
      <c r="A385" s="180" t="s">
        <v>1470</v>
      </c>
      <c r="B385" s="180" t="s">
        <v>1470</v>
      </c>
      <c r="C385" s="180" t="s">
        <v>802</v>
      </c>
      <c r="D385" s="180">
        <f t="shared" si="80"/>
        <v>1095</v>
      </c>
      <c r="E385" s="184">
        <v>45386</v>
      </c>
      <c r="F385" s="184">
        <f t="shared" si="81"/>
        <v>46481</v>
      </c>
      <c r="G385" s="184">
        <f t="shared" si="82"/>
        <v>46451</v>
      </c>
      <c r="H385" s="180" t="str">
        <f t="shared" ca="1" si="83"/>
        <v>VÁLIDO</v>
      </c>
      <c r="I385" s="183">
        <v>135</v>
      </c>
      <c r="J385" s="182">
        <v>249.62</v>
      </c>
      <c r="K385" s="182">
        <f t="shared" si="85"/>
        <v>114.62</v>
      </c>
      <c r="L385" s="181">
        <f t="shared" si="86"/>
        <v>0.45917795048473681</v>
      </c>
      <c r="M385" s="180" t="s">
        <v>777</v>
      </c>
    </row>
    <row r="386" spans="1:13" ht="18.75" customHeight="1">
      <c r="A386" s="180" t="s">
        <v>1471</v>
      </c>
      <c r="B386" s="180" t="s">
        <v>1471</v>
      </c>
      <c r="C386" s="180" t="s">
        <v>802</v>
      </c>
      <c r="D386" s="180">
        <f t="shared" si="80"/>
        <v>1095</v>
      </c>
      <c r="E386" s="184">
        <v>45386</v>
      </c>
      <c r="F386" s="184">
        <f t="shared" si="81"/>
        <v>46481</v>
      </c>
      <c r="G386" s="184">
        <f t="shared" si="82"/>
        <v>46451</v>
      </c>
      <c r="H386" s="180" t="str">
        <f t="shared" ca="1" si="83"/>
        <v>VÁLIDO</v>
      </c>
      <c r="I386" s="183">
        <v>135</v>
      </c>
      <c r="J386" s="182">
        <v>249.62</v>
      </c>
      <c r="K386" s="182">
        <f t="shared" si="85"/>
        <v>114.62</v>
      </c>
      <c r="L386" s="181">
        <f t="shared" si="86"/>
        <v>0.45917795048473681</v>
      </c>
      <c r="M386" s="180" t="s">
        <v>777</v>
      </c>
    </row>
    <row r="387" spans="1:13" ht="18.75" customHeight="1">
      <c r="A387" s="180" t="s">
        <v>1472</v>
      </c>
      <c r="B387" s="180" t="s">
        <v>1472</v>
      </c>
      <c r="C387" s="180" t="s">
        <v>802</v>
      </c>
      <c r="D387" s="180">
        <f t="shared" si="80"/>
        <v>1095</v>
      </c>
      <c r="E387" s="184">
        <v>45386</v>
      </c>
      <c r="F387" s="184">
        <f t="shared" si="81"/>
        <v>46481</v>
      </c>
      <c r="G387" s="184">
        <f t="shared" si="82"/>
        <v>46451</v>
      </c>
      <c r="H387" s="180" t="str">
        <f t="shared" ca="1" si="83"/>
        <v>VÁLIDO</v>
      </c>
      <c r="I387" s="183">
        <v>135</v>
      </c>
      <c r="J387" s="182">
        <v>249.62</v>
      </c>
      <c r="K387" s="182">
        <f t="shared" si="85"/>
        <v>114.62</v>
      </c>
      <c r="L387" s="181">
        <f t="shared" si="86"/>
        <v>0.45917795048473681</v>
      </c>
      <c r="M387" s="180" t="s">
        <v>777</v>
      </c>
    </row>
    <row r="388" spans="1:13" ht="18.75" customHeight="1">
      <c r="A388" s="180" t="s">
        <v>1473</v>
      </c>
      <c r="B388" s="180" t="s">
        <v>1473</v>
      </c>
      <c r="C388" s="180" t="s">
        <v>802</v>
      </c>
      <c r="D388" s="180">
        <f t="shared" si="80"/>
        <v>1095</v>
      </c>
      <c r="E388" s="184">
        <v>45386</v>
      </c>
      <c r="F388" s="184">
        <f t="shared" si="81"/>
        <v>46481</v>
      </c>
      <c r="G388" s="184">
        <f t="shared" si="82"/>
        <v>46451</v>
      </c>
      <c r="H388" s="180" t="str">
        <f t="shared" ca="1" si="83"/>
        <v>VÁLIDO</v>
      </c>
      <c r="I388" s="183">
        <v>135</v>
      </c>
      <c r="J388" s="182">
        <v>260</v>
      </c>
      <c r="K388" s="182">
        <f t="shared" si="85"/>
        <v>125</v>
      </c>
      <c r="L388" s="181">
        <f t="shared" si="86"/>
        <v>0.48076923076923078</v>
      </c>
      <c r="M388" s="180" t="s">
        <v>777</v>
      </c>
    </row>
    <row r="389" spans="1:13" ht="18.75" customHeight="1">
      <c r="A389" s="180" t="s">
        <v>1475</v>
      </c>
      <c r="B389" s="180" t="s">
        <v>1476</v>
      </c>
      <c r="C389" s="180" t="s">
        <v>781</v>
      </c>
      <c r="D389" s="180">
        <f t="shared" si="80"/>
        <v>365</v>
      </c>
      <c r="E389" s="184">
        <v>45387</v>
      </c>
      <c r="F389" s="184">
        <f t="shared" si="81"/>
        <v>45752</v>
      </c>
      <c r="G389" s="184">
        <f t="shared" si="82"/>
        <v>45722</v>
      </c>
      <c r="H389" s="180" t="str">
        <f t="shared" ca="1" si="83"/>
        <v>VENCIDO</v>
      </c>
      <c r="I389" s="183">
        <v>75</v>
      </c>
      <c r="J389" s="182">
        <v>150</v>
      </c>
      <c r="K389" s="182">
        <f t="shared" si="85"/>
        <v>75</v>
      </c>
      <c r="L389" s="181">
        <f t="shared" si="86"/>
        <v>0.5</v>
      </c>
      <c r="M389" s="180" t="s">
        <v>777</v>
      </c>
    </row>
    <row r="390" spans="1:13" ht="18.75" customHeight="1">
      <c r="A390" s="180" t="s">
        <v>1477</v>
      </c>
      <c r="B390" s="180" t="s">
        <v>1477</v>
      </c>
      <c r="C390" s="180" t="s">
        <v>802</v>
      </c>
      <c r="D390" s="180">
        <f t="shared" si="80"/>
        <v>1095</v>
      </c>
      <c r="E390" s="184">
        <v>45387</v>
      </c>
      <c r="F390" s="184">
        <f t="shared" si="81"/>
        <v>46482</v>
      </c>
      <c r="G390" s="184">
        <f t="shared" si="82"/>
        <v>46452</v>
      </c>
      <c r="H390" s="180" t="str">
        <f t="shared" ca="1" si="83"/>
        <v>VÁLIDO</v>
      </c>
      <c r="I390" s="183">
        <v>135</v>
      </c>
      <c r="J390" s="182">
        <v>248.43</v>
      </c>
      <c r="K390" s="182">
        <f t="shared" si="85"/>
        <v>113.43</v>
      </c>
      <c r="L390" s="181">
        <f t="shared" si="86"/>
        <v>0.45658736867528077</v>
      </c>
      <c r="M390" s="180" t="s">
        <v>777</v>
      </c>
    </row>
    <row r="391" spans="1:13" ht="18.75" customHeight="1">
      <c r="A391" s="180" t="s">
        <v>1478</v>
      </c>
      <c r="B391" s="180" t="s">
        <v>1478</v>
      </c>
      <c r="C391" s="180" t="s">
        <v>802</v>
      </c>
      <c r="D391" s="180">
        <f t="shared" si="80"/>
        <v>1095</v>
      </c>
      <c r="E391" s="184">
        <v>45390</v>
      </c>
      <c r="F391" s="184">
        <f t="shared" si="81"/>
        <v>46485</v>
      </c>
      <c r="G391" s="184">
        <f t="shared" si="82"/>
        <v>46455</v>
      </c>
      <c r="H391" s="180" t="str">
        <f t="shared" ca="1" si="83"/>
        <v>VÁLIDO</v>
      </c>
      <c r="I391" s="183">
        <v>135</v>
      </c>
      <c r="J391" s="182">
        <v>260</v>
      </c>
      <c r="K391" s="182">
        <f t="shared" si="85"/>
        <v>125</v>
      </c>
      <c r="L391" s="181">
        <f t="shared" si="86"/>
        <v>0.48076923076923078</v>
      </c>
      <c r="M391" s="180" t="s">
        <v>1328</v>
      </c>
    </row>
    <row r="392" spans="1:13" ht="18.75" customHeight="1">
      <c r="A392" s="180" t="s">
        <v>1479</v>
      </c>
      <c r="B392" s="180" t="s">
        <v>1479</v>
      </c>
      <c r="C392" s="180" t="s">
        <v>778</v>
      </c>
      <c r="D392" s="180">
        <f t="shared" si="80"/>
        <v>365</v>
      </c>
      <c r="E392" s="184">
        <v>45390</v>
      </c>
      <c r="F392" s="184">
        <f t="shared" si="81"/>
        <v>45755</v>
      </c>
      <c r="G392" s="184">
        <f t="shared" si="82"/>
        <v>45725</v>
      </c>
      <c r="H392" s="180" t="str">
        <f t="shared" ca="1" si="83"/>
        <v>VENCIDO</v>
      </c>
      <c r="I392" s="183">
        <v>65</v>
      </c>
      <c r="J392" s="182">
        <f>VLOOKUP(C392,$M$3:$O$6,3,0)</f>
        <v>100</v>
      </c>
      <c r="K392" s="182">
        <f t="shared" si="85"/>
        <v>35</v>
      </c>
      <c r="L392" s="181">
        <f t="shared" si="86"/>
        <v>0.35</v>
      </c>
      <c r="M392" s="180" t="s">
        <v>1328</v>
      </c>
    </row>
    <row r="393" spans="1:13" ht="18.75" customHeight="1">
      <c r="A393" s="180" t="s">
        <v>1481</v>
      </c>
      <c r="B393" s="180" t="s">
        <v>1481</v>
      </c>
      <c r="C393" s="180" t="s">
        <v>778</v>
      </c>
      <c r="D393" s="180">
        <f t="shared" si="80"/>
        <v>365</v>
      </c>
      <c r="E393" s="184">
        <v>45391</v>
      </c>
      <c r="F393" s="184">
        <f t="shared" si="81"/>
        <v>45756</v>
      </c>
      <c r="G393" s="184">
        <f t="shared" si="82"/>
        <v>45726</v>
      </c>
      <c r="H393" s="180" t="str">
        <f t="shared" ca="1" si="83"/>
        <v>VENCIDO</v>
      </c>
      <c r="I393" s="183">
        <v>65</v>
      </c>
      <c r="J393" s="182">
        <f>VLOOKUP(C393,$M$3:$O$6,3,0)</f>
        <v>100</v>
      </c>
      <c r="K393" s="182">
        <f t="shared" si="85"/>
        <v>35</v>
      </c>
      <c r="L393" s="181">
        <f t="shared" si="86"/>
        <v>0.35</v>
      </c>
      <c r="M393" s="180" t="s">
        <v>777</v>
      </c>
    </row>
    <row r="394" spans="1:13" ht="18.75" customHeight="1">
      <c r="A394" s="180" t="s">
        <v>1480</v>
      </c>
      <c r="B394" s="180" t="s">
        <v>1480</v>
      </c>
      <c r="C394" s="180" t="s">
        <v>802</v>
      </c>
      <c r="D394" s="180">
        <f t="shared" si="80"/>
        <v>1095</v>
      </c>
      <c r="E394" s="184">
        <v>45391</v>
      </c>
      <c r="F394" s="184">
        <f t="shared" si="81"/>
        <v>46486</v>
      </c>
      <c r="G394" s="184">
        <f t="shared" si="82"/>
        <v>46456</v>
      </c>
      <c r="H394" s="180" t="str">
        <f t="shared" ca="1" si="83"/>
        <v>VÁLIDO</v>
      </c>
      <c r="I394" s="183">
        <v>135</v>
      </c>
      <c r="J394" s="182">
        <v>260</v>
      </c>
      <c r="K394" s="182">
        <f t="shared" si="85"/>
        <v>125</v>
      </c>
      <c r="L394" s="181">
        <f t="shared" si="86"/>
        <v>0.48076923076923078</v>
      </c>
      <c r="M394" s="180" t="s">
        <v>777</v>
      </c>
    </row>
    <row r="395" spans="1:13" ht="18.75" customHeight="1">
      <c r="A395" s="180" t="s">
        <v>1484</v>
      </c>
      <c r="B395" s="180" t="s">
        <v>1485</v>
      </c>
      <c r="C395" s="180" t="s">
        <v>802</v>
      </c>
      <c r="D395" s="180">
        <f t="shared" si="80"/>
        <v>1095</v>
      </c>
      <c r="E395" s="184">
        <v>45393</v>
      </c>
      <c r="F395" s="184">
        <f t="shared" si="81"/>
        <v>46488</v>
      </c>
      <c r="G395" s="184">
        <f t="shared" si="82"/>
        <v>46458</v>
      </c>
      <c r="H395" s="180" t="str">
        <f t="shared" ca="1" si="83"/>
        <v>VÁLIDO</v>
      </c>
      <c r="I395" s="183">
        <v>135</v>
      </c>
      <c r="J395" s="182">
        <v>260</v>
      </c>
      <c r="K395" s="182">
        <f t="shared" si="85"/>
        <v>125</v>
      </c>
      <c r="L395" s="181">
        <f t="shared" si="86"/>
        <v>0.48076923076923078</v>
      </c>
      <c r="M395" s="180" t="s">
        <v>777</v>
      </c>
    </row>
    <row r="396" spans="1:13" ht="18.75" customHeight="1">
      <c r="A396" s="180" t="s">
        <v>1360</v>
      </c>
      <c r="B396" s="180" t="s">
        <v>1363</v>
      </c>
      <c r="C396" s="180" t="s">
        <v>781</v>
      </c>
      <c r="D396" s="180">
        <f t="shared" si="80"/>
        <v>365</v>
      </c>
      <c r="E396" s="184">
        <v>45394</v>
      </c>
      <c r="F396" s="184">
        <f t="shared" si="81"/>
        <v>45759</v>
      </c>
      <c r="G396" s="184">
        <f t="shared" si="82"/>
        <v>45729</v>
      </c>
      <c r="H396" s="180" t="str">
        <f t="shared" ca="1" si="83"/>
        <v>VENCIDO</v>
      </c>
      <c r="I396" s="183">
        <v>75</v>
      </c>
      <c r="J396" s="182">
        <v>150</v>
      </c>
      <c r="K396" s="182">
        <f t="shared" si="85"/>
        <v>75</v>
      </c>
      <c r="L396" s="181">
        <f t="shared" si="86"/>
        <v>0.5</v>
      </c>
      <c r="M396" s="180" t="s">
        <v>777</v>
      </c>
    </row>
    <row r="397" spans="1:13" ht="18.75" customHeight="1">
      <c r="A397" s="180" t="s">
        <v>513</v>
      </c>
      <c r="B397" s="180" t="s">
        <v>513</v>
      </c>
      <c r="C397" s="180" t="s">
        <v>778</v>
      </c>
      <c r="D397" s="180">
        <f t="shared" si="80"/>
        <v>365</v>
      </c>
      <c r="E397" s="184">
        <v>45394</v>
      </c>
      <c r="F397" s="184">
        <f t="shared" si="81"/>
        <v>45759</v>
      </c>
      <c r="G397" s="184">
        <f t="shared" si="82"/>
        <v>45729</v>
      </c>
      <c r="H397" s="180" t="str">
        <f t="shared" ca="1" si="83"/>
        <v>VENCIDO</v>
      </c>
      <c r="I397" s="183">
        <v>65</v>
      </c>
      <c r="J397" s="182">
        <f>VLOOKUP(C397,$M$3:$O$6,3,0)</f>
        <v>100</v>
      </c>
      <c r="K397" s="182">
        <f t="shared" si="85"/>
        <v>35</v>
      </c>
      <c r="L397" s="181">
        <f>K397/J397</f>
        <v>0.35</v>
      </c>
      <c r="M397" s="180" t="s">
        <v>777</v>
      </c>
    </row>
    <row r="398" spans="1:13" ht="18.75" customHeight="1">
      <c r="A398" s="180" t="s">
        <v>1490</v>
      </c>
      <c r="B398" s="180" t="s">
        <v>1490</v>
      </c>
      <c r="C398" s="180" t="s">
        <v>802</v>
      </c>
      <c r="D398" s="180">
        <f t="shared" si="80"/>
        <v>1095</v>
      </c>
      <c r="E398" s="184">
        <v>45400</v>
      </c>
      <c r="F398" s="184">
        <f t="shared" si="81"/>
        <v>46495</v>
      </c>
      <c r="G398" s="184">
        <f t="shared" si="82"/>
        <v>46465</v>
      </c>
      <c r="H398" s="180" t="str">
        <f t="shared" ca="1" si="83"/>
        <v>VÁLIDO</v>
      </c>
      <c r="I398" s="183">
        <v>135</v>
      </c>
      <c r="J398" s="182">
        <v>260</v>
      </c>
      <c r="K398" s="182">
        <f t="shared" si="85"/>
        <v>125</v>
      </c>
      <c r="L398" s="181">
        <f t="shared" si="86"/>
        <v>0.48076923076923078</v>
      </c>
      <c r="M398" s="180" t="s">
        <v>777</v>
      </c>
    </row>
    <row r="399" spans="1:13" ht="18.75" customHeight="1">
      <c r="A399" s="180" t="s">
        <v>1489</v>
      </c>
      <c r="B399" s="180" t="s">
        <v>1489</v>
      </c>
      <c r="C399" s="180" t="s">
        <v>778</v>
      </c>
      <c r="D399" s="180">
        <f t="shared" si="80"/>
        <v>365</v>
      </c>
      <c r="E399" s="184">
        <v>45400</v>
      </c>
      <c r="F399" s="184">
        <f t="shared" si="81"/>
        <v>45765</v>
      </c>
      <c r="G399" s="184">
        <f t="shared" si="82"/>
        <v>45735</v>
      </c>
      <c r="H399" s="180" t="str">
        <f t="shared" ca="1" si="83"/>
        <v>VENCIDO</v>
      </c>
      <c r="I399" s="183">
        <v>125</v>
      </c>
      <c r="J399" s="182">
        <v>190</v>
      </c>
      <c r="K399" s="182">
        <f t="shared" si="85"/>
        <v>65</v>
      </c>
      <c r="L399" s="181">
        <f t="shared" si="86"/>
        <v>0.34210526315789475</v>
      </c>
      <c r="M399" s="180" t="s">
        <v>777</v>
      </c>
    </row>
    <row r="400" spans="1:13" ht="18.75" customHeight="1">
      <c r="A400" s="180" t="s">
        <v>1491</v>
      </c>
      <c r="B400" s="180" t="s">
        <v>1491</v>
      </c>
      <c r="C400" s="180" t="s">
        <v>802</v>
      </c>
      <c r="D400" s="180">
        <f t="shared" si="80"/>
        <v>1095</v>
      </c>
      <c r="E400" s="184">
        <v>45400</v>
      </c>
      <c r="F400" s="184">
        <f t="shared" si="81"/>
        <v>46495</v>
      </c>
      <c r="G400" s="184">
        <f t="shared" si="82"/>
        <v>46465</v>
      </c>
      <c r="H400" s="180" t="str">
        <f t="shared" ca="1" si="83"/>
        <v>VÁLIDO</v>
      </c>
      <c r="I400" s="183">
        <v>135</v>
      </c>
      <c r="J400" s="182">
        <v>260</v>
      </c>
      <c r="K400" s="182">
        <f t="shared" si="85"/>
        <v>125</v>
      </c>
      <c r="L400" s="181">
        <f t="shared" si="86"/>
        <v>0.48076923076923078</v>
      </c>
      <c r="M400" s="180" t="s">
        <v>1328</v>
      </c>
    </row>
    <row r="401" spans="1:13" ht="18.75" customHeight="1">
      <c r="A401" s="180" t="s">
        <v>1492</v>
      </c>
      <c r="B401" s="180" t="s">
        <v>1492</v>
      </c>
      <c r="C401" s="180" t="s">
        <v>778</v>
      </c>
      <c r="D401" s="180">
        <f t="shared" si="80"/>
        <v>365</v>
      </c>
      <c r="E401" s="184">
        <v>45400</v>
      </c>
      <c r="F401" s="184">
        <f t="shared" si="81"/>
        <v>45765</v>
      </c>
      <c r="G401" s="184">
        <f t="shared" si="82"/>
        <v>45735</v>
      </c>
      <c r="H401" s="180" t="str">
        <f t="shared" ca="1" si="83"/>
        <v>VENCIDO</v>
      </c>
      <c r="I401" s="183">
        <v>125</v>
      </c>
      <c r="J401" s="182">
        <v>190</v>
      </c>
      <c r="K401" s="182">
        <f t="shared" si="85"/>
        <v>65</v>
      </c>
      <c r="L401" s="181">
        <f t="shared" si="86"/>
        <v>0.34210526315789475</v>
      </c>
      <c r="M401" s="180" t="s">
        <v>1328</v>
      </c>
    </row>
    <row r="402" spans="1:13" ht="18.75" customHeight="1">
      <c r="A402" s="180" t="s">
        <v>867</v>
      </c>
      <c r="B402" s="180" t="s">
        <v>867</v>
      </c>
      <c r="C402" s="180" t="s">
        <v>778</v>
      </c>
      <c r="D402" s="180">
        <f t="shared" si="80"/>
        <v>365</v>
      </c>
      <c r="E402" s="184">
        <v>45401</v>
      </c>
      <c r="F402" s="184">
        <f t="shared" si="81"/>
        <v>45766</v>
      </c>
      <c r="G402" s="184">
        <f t="shared" si="82"/>
        <v>45736</v>
      </c>
      <c r="H402" s="180" t="str">
        <f t="shared" ca="1" si="83"/>
        <v>VENCIDO</v>
      </c>
      <c r="I402" s="183">
        <v>65</v>
      </c>
      <c r="J402" s="182">
        <f>VLOOKUP(C402,$M$3:$O$6,3,0)</f>
        <v>100</v>
      </c>
      <c r="K402" s="182">
        <f t="shared" si="85"/>
        <v>35</v>
      </c>
      <c r="L402" s="181">
        <f t="shared" si="86"/>
        <v>0.35</v>
      </c>
      <c r="M402" s="180" t="s">
        <v>777</v>
      </c>
    </row>
    <row r="403" spans="1:13" ht="18.75" customHeight="1">
      <c r="A403" s="180" t="s">
        <v>1493</v>
      </c>
      <c r="B403" s="180" t="s">
        <v>1493</v>
      </c>
      <c r="C403" s="180" t="s">
        <v>802</v>
      </c>
      <c r="D403" s="180">
        <f t="shared" si="80"/>
        <v>1095</v>
      </c>
      <c r="E403" s="184">
        <v>45401</v>
      </c>
      <c r="F403" s="184">
        <f t="shared" si="81"/>
        <v>46496</v>
      </c>
      <c r="G403" s="184">
        <f t="shared" si="82"/>
        <v>46466</v>
      </c>
      <c r="H403" s="180" t="str">
        <f t="shared" ca="1" si="83"/>
        <v>VÁLIDO</v>
      </c>
      <c r="I403" s="183">
        <v>135</v>
      </c>
      <c r="J403" s="182">
        <v>260</v>
      </c>
      <c r="K403" s="182">
        <f t="shared" si="85"/>
        <v>125</v>
      </c>
      <c r="L403" s="181">
        <f t="shared" si="86"/>
        <v>0.48076923076923078</v>
      </c>
      <c r="M403" s="180" t="s">
        <v>1328</v>
      </c>
    </row>
    <row r="404" spans="1:13" ht="18.75" customHeight="1">
      <c r="A404" s="180" t="s">
        <v>1495</v>
      </c>
      <c r="B404" s="180" t="s">
        <v>1495</v>
      </c>
      <c r="C404" s="180" t="s">
        <v>802</v>
      </c>
      <c r="D404" s="180">
        <f t="shared" si="80"/>
        <v>1095</v>
      </c>
      <c r="E404" s="184">
        <v>45405</v>
      </c>
      <c r="F404" s="184">
        <f t="shared" si="81"/>
        <v>46500</v>
      </c>
      <c r="G404" s="184">
        <f t="shared" si="82"/>
        <v>46470</v>
      </c>
      <c r="H404" s="180" t="str">
        <f t="shared" ca="1" si="83"/>
        <v>VÁLIDO</v>
      </c>
      <c r="I404" s="183">
        <v>135</v>
      </c>
      <c r="J404" s="182">
        <v>260</v>
      </c>
      <c r="K404" s="182">
        <f t="shared" si="85"/>
        <v>125</v>
      </c>
      <c r="L404" s="181">
        <f t="shared" si="86"/>
        <v>0.48076923076923078</v>
      </c>
      <c r="M404" s="180" t="s">
        <v>777</v>
      </c>
    </row>
    <row r="405" spans="1:13" ht="18.75" customHeight="1">
      <c r="A405" s="180" t="s">
        <v>1494</v>
      </c>
      <c r="B405" s="180" t="s">
        <v>1494</v>
      </c>
      <c r="C405" s="180" t="s">
        <v>778</v>
      </c>
      <c r="D405" s="180">
        <f t="shared" si="80"/>
        <v>365</v>
      </c>
      <c r="E405" s="184">
        <v>45405</v>
      </c>
      <c r="F405" s="184">
        <f t="shared" si="81"/>
        <v>45770</v>
      </c>
      <c r="G405" s="184">
        <f t="shared" si="82"/>
        <v>45740</v>
      </c>
      <c r="H405" s="180" t="str">
        <f t="shared" ca="1" si="83"/>
        <v>VENCIDO</v>
      </c>
      <c r="I405" s="183">
        <v>65</v>
      </c>
      <c r="J405" s="182">
        <f>VLOOKUP(C405,$M$3:$O$6,3,0)</f>
        <v>100</v>
      </c>
      <c r="K405" s="182">
        <f t="shared" si="85"/>
        <v>35</v>
      </c>
      <c r="L405" s="181">
        <f t="shared" si="86"/>
        <v>0.35</v>
      </c>
      <c r="M405" s="180" t="s">
        <v>777</v>
      </c>
    </row>
    <row r="406" spans="1:13" ht="18.75" customHeight="1">
      <c r="A406" s="180" t="s">
        <v>1496</v>
      </c>
      <c r="B406" s="180" t="s">
        <v>1497</v>
      </c>
      <c r="C406" s="180" t="s">
        <v>781</v>
      </c>
      <c r="D406" s="180">
        <f t="shared" si="80"/>
        <v>365</v>
      </c>
      <c r="E406" s="184">
        <v>45406</v>
      </c>
      <c r="F406" s="184">
        <f t="shared" si="81"/>
        <v>45771</v>
      </c>
      <c r="G406" s="184">
        <f t="shared" si="82"/>
        <v>45741</v>
      </c>
      <c r="H406" s="180" t="str">
        <f t="shared" ca="1" si="83"/>
        <v>VENCIDO</v>
      </c>
      <c r="I406" s="183">
        <v>75</v>
      </c>
      <c r="J406" s="182">
        <v>150</v>
      </c>
      <c r="K406" s="182">
        <f t="shared" si="85"/>
        <v>75</v>
      </c>
      <c r="L406" s="181">
        <f t="shared" si="86"/>
        <v>0.5</v>
      </c>
      <c r="M406" s="180" t="s">
        <v>777</v>
      </c>
    </row>
    <row r="407" spans="1:13" ht="18.75" customHeight="1">
      <c r="A407" s="180" t="s">
        <v>163</v>
      </c>
      <c r="B407" s="180" t="s">
        <v>163</v>
      </c>
      <c r="C407" s="180" t="s">
        <v>781</v>
      </c>
      <c r="D407" s="180">
        <f t="shared" si="80"/>
        <v>365</v>
      </c>
      <c r="E407" s="184">
        <v>45407</v>
      </c>
      <c r="F407" s="184">
        <f t="shared" si="81"/>
        <v>45772</v>
      </c>
      <c r="G407" s="184">
        <f t="shared" si="82"/>
        <v>45742</v>
      </c>
      <c r="H407" s="180" t="str">
        <f t="shared" ca="1" si="83"/>
        <v>VENCIDO</v>
      </c>
      <c r="I407" s="183">
        <v>75</v>
      </c>
      <c r="J407" s="182">
        <v>150</v>
      </c>
      <c r="K407" s="182">
        <f t="shared" si="85"/>
        <v>75</v>
      </c>
      <c r="L407" s="181">
        <f t="shared" si="86"/>
        <v>0.5</v>
      </c>
      <c r="M407" s="180" t="s">
        <v>777</v>
      </c>
    </row>
    <row r="408" spans="1:13" ht="18.75" customHeight="1">
      <c r="A408" s="180" t="s">
        <v>1259</v>
      </c>
      <c r="B408" s="180" t="s">
        <v>1259</v>
      </c>
      <c r="C408" s="180" t="s">
        <v>781</v>
      </c>
      <c r="D408" s="180">
        <f t="shared" si="80"/>
        <v>365</v>
      </c>
      <c r="E408" s="184">
        <v>45407</v>
      </c>
      <c r="F408" s="184">
        <f t="shared" si="81"/>
        <v>45772</v>
      </c>
      <c r="G408" s="184">
        <f t="shared" si="82"/>
        <v>45742</v>
      </c>
      <c r="H408" s="180" t="str">
        <f t="shared" ca="1" si="83"/>
        <v>VENCIDO</v>
      </c>
      <c r="I408" s="183">
        <v>75</v>
      </c>
      <c r="J408" s="182">
        <v>150</v>
      </c>
      <c r="K408" s="182">
        <f t="shared" si="85"/>
        <v>75</v>
      </c>
      <c r="L408" s="181">
        <f t="shared" si="86"/>
        <v>0.5</v>
      </c>
      <c r="M408" s="180" t="s">
        <v>777</v>
      </c>
    </row>
    <row r="409" spans="1:13" ht="18.75" customHeight="1">
      <c r="A409" s="180" t="s">
        <v>1498</v>
      </c>
      <c r="B409" s="180" t="s">
        <v>1498</v>
      </c>
      <c r="C409" s="180" t="s">
        <v>802</v>
      </c>
      <c r="D409" s="180">
        <f t="shared" si="80"/>
        <v>1095</v>
      </c>
      <c r="E409" s="184">
        <v>45407</v>
      </c>
      <c r="F409" s="184">
        <f t="shared" si="81"/>
        <v>46502</v>
      </c>
      <c r="G409" s="184">
        <f t="shared" si="82"/>
        <v>46472</v>
      </c>
      <c r="H409" s="180" t="str">
        <f t="shared" ca="1" si="83"/>
        <v>VÁLIDO</v>
      </c>
      <c r="I409" s="183">
        <v>135</v>
      </c>
      <c r="J409" s="182">
        <v>260</v>
      </c>
      <c r="K409" s="182">
        <f t="shared" si="85"/>
        <v>125</v>
      </c>
      <c r="L409" s="181">
        <f t="shared" si="86"/>
        <v>0.48076923076923078</v>
      </c>
      <c r="M409" s="180" t="s">
        <v>1328</v>
      </c>
    </row>
    <row r="410" spans="1:13" ht="18.75" customHeight="1">
      <c r="A410" s="180" t="s">
        <v>1499</v>
      </c>
      <c r="B410" s="180" t="s">
        <v>1499</v>
      </c>
      <c r="C410" s="180" t="s">
        <v>781</v>
      </c>
      <c r="D410" s="180">
        <f t="shared" si="80"/>
        <v>365</v>
      </c>
      <c r="E410" s="184">
        <v>45408</v>
      </c>
      <c r="F410" s="184">
        <f t="shared" si="81"/>
        <v>45773</v>
      </c>
      <c r="G410" s="184">
        <f t="shared" si="82"/>
        <v>45743</v>
      </c>
      <c r="H410" s="180" t="str">
        <f t="shared" ca="1" si="83"/>
        <v>VENCIDO</v>
      </c>
      <c r="I410" s="183">
        <v>75</v>
      </c>
      <c r="J410" s="182">
        <v>150</v>
      </c>
      <c r="K410" s="182">
        <f t="shared" si="85"/>
        <v>75</v>
      </c>
      <c r="L410" s="181">
        <f t="shared" si="86"/>
        <v>0.5</v>
      </c>
      <c r="M410" s="180" t="s">
        <v>777</v>
      </c>
    </row>
    <row r="411" spans="1:13" ht="18.75" customHeight="1">
      <c r="A411" s="180" t="s">
        <v>1499</v>
      </c>
      <c r="B411" s="180" t="s">
        <v>1499</v>
      </c>
      <c r="C411" s="180" t="s">
        <v>778</v>
      </c>
      <c r="D411" s="180">
        <f t="shared" si="80"/>
        <v>365</v>
      </c>
      <c r="E411" s="184">
        <v>45408</v>
      </c>
      <c r="F411" s="184">
        <f t="shared" si="81"/>
        <v>45773</v>
      </c>
      <c r="G411" s="184">
        <f t="shared" si="82"/>
        <v>45743</v>
      </c>
      <c r="H411" s="180" t="str">
        <f t="shared" ca="1" si="83"/>
        <v>VENCIDO</v>
      </c>
      <c r="I411" s="183">
        <v>65</v>
      </c>
      <c r="J411" s="182">
        <f>VLOOKUP(C411,$M$3:$O$6,3,0)</f>
        <v>100</v>
      </c>
      <c r="K411" s="182">
        <f t="shared" si="85"/>
        <v>35</v>
      </c>
      <c r="L411" s="181">
        <f t="shared" si="86"/>
        <v>0.35</v>
      </c>
      <c r="M411" s="180" t="s">
        <v>777</v>
      </c>
    </row>
    <row r="412" spans="1:13" ht="18.75" customHeight="1">
      <c r="A412" s="180" t="s">
        <v>1500</v>
      </c>
      <c r="B412" s="180" t="s">
        <v>1501</v>
      </c>
      <c r="C412" s="180" t="s">
        <v>781</v>
      </c>
      <c r="D412" s="180">
        <f t="shared" si="80"/>
        <v>365</v>
      </c>
      <c r="E412" s="184">
        <v>45408</v>
      </c>
      <c r="F412" s="184">
        <f t="shared" si="81"/>
        <v>45773</v>
      </c>
      <c r="G412" s="184">
        <f t="shared" si="82"/>
        <v>45743</v>
      </c>
      <c r="H412" s="180" t="str">
        <f t="shared" ca="1" si="83"/>
        <v>VENCIDO</v>
      </c>
      <c r="I412" s="183">
        <v>75</v>
      </c>
      <c r="J412" s="182">
        <v>150</v>
      </c>
      <c r="K412" s="182">
        <f t="shared" si="85"/>
        <v>75</v>
      </c>
      <c r="L412" s="181">
        <f t="shared" si="86"/>
        <v>0.5</v>
      </c>
      <c r="M412" s="180" t="s">
        <v>777</v>
      </c>
    </row>
    <row r="413" spans="1:13" ht="18.75" customHeight="1">
      <c r="A413" s="180" t="s">
        <v>1502</v>
      </c>
      <c r="B413" s="180" t="s">
        <v>1502</v>
      </c>
      <c r="C413" s="180" t="s">
        <v>778</v>
      </c>
      <c r="D413" s="180">
        <f t="shared" si="80"/>
        <v>365</v>
      </c>
      <c r="E413" s="184">
        <v>45408</v>
      </c>
      <c r="F413" s="184">
        <f t="shared" si="81"/>
        <v>45773</v>
      </c>
      <c r="G413" s="184">
        <f t="shared" si="82"/>
        <v>45743</v>
      </c>
      <c r="H413" s="180" t="str">
        <f t="shared" ca="1" si="83"/>
        <v>VENCIDO</v>
      </c>
      <c r="I413" s="183">
        <v>65</v>
      </c>
      <c r="J413" s="182">
        <f>VLOOKUP(C413,$M$3:$O$6,3,0)</f>
        <v>100</v>
      </c>
      <c r="K413" s="182">
        <f t="shared" si="85"/>
        <v>35</v>
      </c>
      <c r="L413" s="181">
        <f t="shared" si="86"/>
        <v>0.35</v>
      </c>
      <c r="M413" s="180" t="s">
        <v>777</v>
      </c>
    </row>
    <row r="414" spans="1:13" ht="18.75" customHeight="1">
      <c r="A414" s="180" t="s">
        <v>1503</v>
      </c>
      <c r="B414" s="180" t="s">
        <v>1503</v>
      </c>
      <c r="C414" s="180" t="s">
        <v>802</v>
      </c>
      <c r="D414" s="180">
        <f t="shared" si="80"/>
        <v>1095</v>
      </c>
      <c r="E414" s="184">
        <v>45411</v>
      </c>
      <c r="F414" s="184">
        <f t="shared" si="81"/>
        <v>46506</v>
      </c>
      <c r="G414" s="184">
        <f t="shared" si="82"/>
        <v>46476</v>
      </c>
      <c r="H414" s="180" t="str">
        <f t="shared" ca="1" si="83"/>
        <v>VÁLIDO</v>
      </c>
      <c r="I414" s="183">
        <v>135</v>
      </c>
      <c r="J414" s="182">
        <v>260</v>
      </c>
      <c r="K414" s="182">
        <f t="shared" si="85"/>
        <v>125</v>
      </c>
      <c r="L414" s="181">
        <f t="shared" si="86"/>
        <v>0.48076923076923078</v>
      </c>
      <c r="M414" s="180" t="s">
        <v>777</v>
      </c>
    </row>
    <row r="415" spans="1:13" ht="18.75" customHeight="1">
      <c r="A415" s="180" t="s">
        <v>183</v>
      </c>
      <c r="B415" s="180" t="s">
        <v>618</v>
      </c>
      <c r="C415" s="180" t="s">
        <v>781</v>
      </c>
      <c r="D415" s="180">
        <f t="shared" si="80"/>
        <v>365</v>
      </c>
      <c r="E415" s="184">
        <v>45411</v>
      </c>
      <c r="F415" s="184">
        <f t="shared" si="81"/>
        <v>45776</v>
      </c>
      <c r="G415" s="184">
        <f t="shared" si="82"/>
        <v>45746</v>
      </c>
      <c r="H415" s="180" t="str">
        <f t="shared" ca="1" si="83"/>
        <v>VENCIDO</v>
      </c>
      <c r="I415" s="183">
        <v>75</v>
      </c>
      <c r="J415" s="182">
        <v>150</v>
      </c>
      <c r="K415" s="182">
        <f t="shared" si="85"/>
        <v>75</v>
      </c>
      <c r="L415" s="181">
        <f t="shared" si="86"/>
        <v>0.5</v>
      </c>
      <c r="M415" s="180" t="s">
        <v>777</v>
      </c>
    </row>
    <row r="416" spans="1:13" ht="18.75" customHeight="1">
      <c r="A416" s="180" t="s">
        <v>1505</v>
      </c>
      <c r="B416" s="180" t="s">
        <v>1505</v>
      </c>
      <c r="C416" s="180" t="s">
        <v>778</v>
      </c>
      <c r="D416" s="180">
        <f t="shared" si="80"/>
        <v>365</v>
      </c>
      <c r="E416" s="184">
        <v>45411</v>
      </c>
      <c r="F416" s="184">
        <f t="shared" si="81"/>
        <v>45776</v>
      </c>
      <c r="G416" s="184">
        <f t="shared" si="82"/>
        <v>45746</v>
      </c>
      <c r="H416" s="180" t="str">
        <f t="shared" ca="1" si="83"/>
        <v>VENCIDO</v>
      </c>
      <c r="I416" s="183">
        <v>65</v>
      </c>
      <c r="J416" s="182">
        <f>VLOOKUP(C416,$M$3:$O$6,3,0)</f>
        <v>100</v>
      </c>
      <c r="K416" s="182">
        <f t="shared" si="85"/>
        <v>35</v>
      </c>
      <c r="L416" s="181">
        <f t="shared" si="86"/>
        <v>0.35</v>
      </c>
      <c r="M416" s="180" t="s">
        <v>777</v>
      </c>
    </row>
    <row r="417" spans="1:13" ht="18.75" customHeight="1">
      <c r="A417" s="180" t="s">
        <v>1506</v>
      </c>
      <c r="B417" s="180" t="s">
        <v>1507</v>
      </c>
      <c r="C417" s="180" t="s">
        <v>781</v>
      </c>
      <c r="D417" s="180">
        <f t="shared" si="80"/>
        <v>365</v>
      </c>
      <c r="E417" s="184">
        <v>45412</v>
      </c>
      <c r="F417" s="184">
        <f t="shared" si="81"/>
        <v>45777</v>
      </c>
      <c r="G417" s="184">
        <f t="shared" si="82"/>
        <v>45747</v>
      </c>
      <c r="H417" s="180" t="str">
        <f t="shared" ca="1" si="83"/>
        <v>VENCIDO</v>
      </c>
      <c r="I417" s="183">
        <v>75</v>
      </c>
      <c r="J417" s="182">
        <v>150</v>
      </c>
      <c r="K417" s="182">
        <f t="shared" si="85"/>
        <v>75</v>
      </c>
      <c r="L417" s="181">
        <f t="shared" si="86"/>
        <v>0.5</v>
      </c>
      <c r="M417" s="180" t="s">
        <v>777</v>
      </c>
    </row>
    <row r="418" spans="1:13" ht="18.75" customHeight="1">
      <c r="A418" s="180" t="s">
        <v>1508</v>
      </c>
      <c r="B418" s="180" t="s">
        <v>1508</v>
      </c>
      <c r="C418" s="180" t="s">
        <v>778</v>
      </c>
      <c r="D418" s="180">
        <f t="shared" ref="D418:D480" si="87">IF(C418="A1 - 1 ano PJ",365,IF(C418="A1 - 1 ano PF",365,(365*3)))</f>
        <v>365</v>
      </c>
      <c r="E418" s="184">
        <v>45412</v>
      </c>
      <c r="F418" s="184">
        <f t="shared" ref="F418:F480" si="88">E418+D418</f>
        <v>45777</v>
      </c>
      <c r="G418" s="184">
        <f t="shared" ref="G418:G480" si="89">F418-30</f>
        <v>45747</v>
      </c>
      <c r="H418" s="180" t="str">
        <f t="shared" ref="H418:H480" ca="1" si="90">IF($A$6&lt;G418,"VÁLIDO",IF($A$6&gt;F418,"VENCIDO","A VENCER"))</f>
        <v>VENCIDO</v>
      </c>
      <c r="I418" s="183">
        <v>65</v>
      </c>
      <c r="J418" s="182">
        <f t="shared" ref="J418:J480" si="91">VLOOKUP(C418,$M$3:$O$6,3,0)</f>
        <v>100</v>
      </c>
      <c r="K418" s="182">
        <f t="shared" ref="K418:K480" si="92">J418-I418</f>
        <v>35</v>
      </c>
      <c r="L418" s="181">
        <f t="shared" ref="L418:L480" si="93">K418/J418</f>
        <v>0.35</v>
      </c>
      <c r="M418" s="180" t="s">
        <v>777</v>
      </c>
    </row>
    <row r="419" spans="1:13" ht="18.75" customHeight="1">
      <c r="A419" s="451" t="s">
        <v>1509</v>
      </c>
      <c r="B419" s="452"/>
      <c r="C419" s="452"/>
      <c r="D419" s="452"/>
      <c r="E419" s="452"/>
      <c r="F419" s="452"/>
      <c r="G419" s="452"/>
      <c r="H419" s="452"/>
      <c r="I419" s="452"/>
      <c r="J419" s="452"/>
      <c r="K419" s="452"/>
      <c r="L419" s="452"/>
      <c r="M419" s="453"/>
    </row>
    <row r="420" spans="1:13" ht="18.75" customHeight="1">
      <c r="A420" s="180" t="s">
        <v>1510</v>
      </c>
      <c r="B420" s="180" t="s">
        <v>1511</v>
      </c>
      <c r="C420" s="180" t="s">
        <v>802</v>
      </c>
      <c r="D420" s="180">
        <f t="shared" si="87"/>
        <v>1095</v>
      </c>
      <c r="E420" s="184">
        <v>45415</v>
      </c>
      <c r="F420" s="184">
        <f t="shared" si="88"/>
        <v>46510</v>
      </c>
      <c r="G420" s="184">
        <f t="shared" si="89"/>
        <v>46480</v>
      </c>
      <c r="H420" s="180" t="str">
        <f t="shared" ca="1" si="90"/>
        <v>VÁLIDO</v>
      </c>
      <c r="I420" s="183">
        <v>135</v>
      </c>
      <c r="J420" s="182">
        <v>260</v>
      </c>
      <c r="K420" s="182">
        <f t="shared" si="92"/>
        <v>125</v>
      </c>
      <c r="L420" s="181">
        <f t="shared" si="93"/>
        <v>0.48076923076923078</v>
      </c>
      <c r="M420" s="180" t="s">
        <v>777</v>
      </c>
    </row>
    <row r="421" spans="1:13" ht="18.75" customHeight="1">
      <c r="A421" s="180" t="s">
        <v>1512</v>
      </c>
      <c r="B421" s="180" t="s">
        <v>1512</v>
      </c>
      <c r="C421" s="180" t="s">
        <v>802</v>
      </c>
      <c r="D421" s="180">
        <f t="shared" si="87"/>
        <v>1095</v>
      </c>
      <c r="E421" s="184">
        <v>45418</v>
      </c>
      <c r="F421" s="184">
        <f t="shared" si="88"/>
        <v>46513</v>
      </c>
      <c r="G421" s="184">
        <f t="shared" si="89"/>
        <v>46483</v>
      </c>
      <c r="H421" s="180" t="str">
        <f t="shared" ca="1" si="90"/>
        <v>VÁLIDO</v>
      </c>
      <c r="I421" s="183">
        <v>135</v>
      </c>
      <c r="J421" s="182">
        <f t="shared" si="91"/>
        <v>250</v>
      </c>
      <c r="K421" s="182">
        <f t="shared" si="92"/>
        <v>115</v>
      </c>
      <c r="L421" s="181">
        <f t="shared" si="93"/>
        <v>0.46</v>
      </c>
      <c r="M421" s="180" t="s">
        <v>777</v>
      </c>
    </row>
    <row r="422" spans="1:13" ht="18.75" customHeight="1">
      <c r="A422" s="180" t="s">
        <v>618</v>
      </c>
      <c r="B422" s="180" t="s">
        <v>618</v>
      </c>
      <c r="C422" s="180" t="s">
        <v>778</v>
      </c>
      <c r="D422" s="180">
        <f t="shared" si="87"/>
        <v>365</v>
      </c>
      <c r="E422" s="184">
        <v>45418</v>
      </c>
      <c r="F422" s="184">
        <f t="shared" si="88"/>
        <v>45783</v>
      </c>
      <c r="G422" s="184">
        <f t="shared" si="89"/>
        <v>45753</v>
      </c>
      <c r="H422" s="180" t="str">
        <f t="shared" ca="1" si="90"/>
        <v>VENCIDO</v>
      </c>
      <c r="I422" s="183">
        <f t="shared" ref="I422:I480" si="94">VLOOKUP(C422,$M$3:$O$6,2,0)</f>
        <v>65</v>
      </c>
      <c r="J422" s="182">
        <f t="shared" si="91"/>
        <v>100</v>
      </c>
      <c r="K422" s="182">
        <f t="shared" si="92"/>
        <v>35</v>
      </c>
      <c r="L422" s="181">
        <f t="shared" si="93"/>
        <v>0.35</v>
      </c>
      <c r="M422" s="180" t="s">
        <v>777</v>
      </c>
    </row>
    <row r="423" spans="1:13" ht="18.75" customHeight="1">
      <c r="A423" s="180" t="s">
        <v>1513</v>
      </c>
      <c r="B423" s="180" t="s">
        <v>1514</v>
      </c>
      <c r="C423" s="180" t="s">
        <v>781</v>
      </c>
      <c r="D423" s="180">
        <f t="shared" si="87"/>
        <v>365</v>
      </c>
      <c r="E423" s="184">
        <v>45418</v>
      </c>
      <c r="F423" s="184">
        <f t="shared" si="88"/>
        <v>45783</v>
      </c>
      <c r="G423" s="184">
        <f t="shared" si="89"/>
        <v>45753</v>
      </c>
      <c r="H423" s="180" t="str">
        <f t="shared" ca="1" si="90"/>
        <v>VENCIDO</v>
      </c>
      <c r="I423" s="183">
        <v>75</v>
      </c>
      <c r="J423" s="182">
        <v>150</v>
      </c>
      <c r="K423" s="182">
        <f t="shared" si="92"/>
        <v>75</v>
      </c>
      <c r="L423" s="181">
        <f t="shared" si="93"/>
        <v>0.5</v>
      </c>
      <c r="M423" s="180" t="s">
        <v>777</v>
      </c>
    </row>
    <row r="424" spans="1:13" ht="18.75" customHeight="1">
      <c r="A424" s="180" t="s">
        <v>1515</v>
      </c>
      <c r="B424" s="180" t="s">
        <v>1515</v>
      </c>
      <c r="C424" s="180" t="s">
        <v>802</v>
      </c>
      <c r="D424" s="180">
        <f t="shared" si="87"/>
        <v>1095</v>
      </c>
      <c r="E424" s="184">
        <v>45418</v>
      </c>
      <c r="F424" s="184">
        <f t="shared" si="88"/>
        <v>46513</v>
      </c>
      <c r="G424" s="184">
        <f t="shared" si="89"/>
        <v>46483</v>
      </c>
      <c r="H424" s="180" t="str">
        <f t="shared" ca="1" si="90"/>
        <v>VÁLIDO</v>
      </c>
      <c r="I424" s="183">
        <v>135</v>
      </c>
      <c r="J424" s="182">
        <v>260</v>
      </c>
      <c r="K424" s="182">
        <f t="shared" si="92"/>
        <v>125</v>
      </c>
      <c r="L424" s="181">
        <f t="shared" si="93"/>
        <v>0.48076923076923078</v>
      </c>
      <c r="M424" s="180" t="s">
        <v>777</v>
      </c>
    </row>
    <row r="425" spans="1:13" ht="18.75" customHeight="1">
      <c r="A425" s="180" t="s">
        <v>77</v>
      </c>
      <c r="B425" s="180" t="s">
        <v>77</v>
      </c>
      <c r="C425" s="180" t="s">
        <v>781</v>
      </c>
      <c r="D425" s="180">
        <f t="shared" si="87"/>
        <v>365</v>
      </c>
      <c r="E425" s="184">
        <v>45418</v>
      </c>
      <c r="F425" s="184">
        <f t="shared" si="88"/>
        <v>45783</v>
      </c>
      <c r="G425" s="184">
        <f t="shared" si="89"/>
        <v>45753</v>
      </c>
      <c r="H425" s="180" t="str">
        <f t="shared" ca="1" si="90"/>
        <v>VENCIDO</v>
      </c>
      <c r="I425" s="183">
        <v>75</v>
      </c>
      <c r="J425" s="182">
        <v>150</v>
      </c>
      <c r="K425" s="182">
        <f t="shared" si="92"/>
        <v>75</v>
      </c>
      <c r="L425" s="181">
        <f t="shared" si="93"/>
        <v>0.5</v>
      </c>
      <c r="M425" s="180" t="s">
        <v>777</v>
      </c>
    </row>
    <row r="426" spans="1:13" ht="18.75" customHeight="1">
      <c r="A426" s="180" t="s">
        <v>826</v>
      </c>
      <c r="B426" s="180" t="s">
        <v>826</v>
      </c>
      <c r="C426" s="180" t="s">
        <v>802</v>
      </c>
      <c r="D426" s="180">
        <f t="shared" si="87"/>
        <v>1095</v>
      </c>
      <c r="E426" s="184">
        <v>45418</v>
      </c>
      <c r="F426" s="184">
        <f t="shared" si="88"/>
        <v>46513</v>
      </c>
      <c r="G426" s="184">
        <f t="shared" si="89"/>
        <v>46483</v>
      </c>
      <c r="H426" s="180" t="str">
        <f t="shared" ca="1" si="90"/>
        <v>VÁLIDO</v>
      </c>
      <c r="I426" s="183">
        <v>135</v>
      </c>
      <c r="J426" s="182">
        <v>260</v>
      </c>
      <c r="K426" s="182">
        <f t="shared" si="92"/>
        <v>125</v>
      </c>
      <c r="L426" s="181">
        <f t="shared" si="93"/>
        <v>0.48076923076923078</v>
      </c>
      <c r="M426" s="180" t="s">
        <v>777</v>
      </c>
    </row>
    <row r="427" spans="1:13" ht="18.75" customHeight="1">
      <c r="A427" s="180" t="s">
        <v>1516</v>
      </c>
      <c r="B427" s="180" t="s">
        <v>1516</v>
      </c>
      <c r="C427" s="180" t="s">
        <v>778</v>
      </c>
      <c r="D427" s="180">
        <f t="shared" si="87"/>
        <v>365</v>
      </c>
      <c r="E427" s="184">
        <v>45418</v>
      </c>
      <c r="F427" s="184">
        <f t="shared" si="88"/>
        <v>45783</v>
      </c>
      <c r="G427" s="184">
        <f t="shared" si="89"/>
        <v>45753</v>
      </c>
      <c r="H427" s="180" t="str">
        <f t="shared" ca="1" si="90"/>
        <v>VENCIDO</v>
      </c>
      <c r="I427" s="183">
        <f t="shared" si="94"/>
        <v>65</v>
      </c>
      <c r="J427" s="182">
        <f t="shared" si="91"/>
        <v>100</v>
      </c>
      <c r="K427" s="182">
        <f t="shared" si="92"/>
        <v>35</v>
      </c>
      <c r="L427" s="181">
        <f t="shared" si="93"/>
        <v>0.35</v>
      </c>
      <c r="M427" s="180" t="s">
        <v>777</v>
      </c>
    </row>
    <row r="428" spans="1:13" ht="18.75" customHeight="1">
      <c r="A428" s="180" t="s">
        <v>1517</v>
      </c>
      <c r="B428" s="180" t="s">
        <v>1518</v>
      </c>
      <c r="C428" s="180" t="s">
        <v>778</v>
      </c>
      <c r="D428" s="180">
        <f t="shared" si="87"/>
        <v>365</v>
      </c>
      <c r="E428" s="184">
        <v>45418</v>
      </c>
      <c r="F428" s="184">
        <f t="shared" si="88"/>
        <v>45783</v>
      </c>
      <c r="G428" s="184">
        <f t="shared" si="89"/>
        <v>45753</v>
      </c>
      <c r="H428" s="180" t="str">
        <f t="shared" ca="1" si="90"/>
        <v>VENCIDO</v>
      </c>
      <c r="I428" s="183">
        <f t="shared" si="94"/>
        <v>65</v>
      </c>
      <c r="J428" s="182">
        <f t="shared" si="91"/>
        <v>100</v>
      </c>
      <c r="K428" s="182">
        <f t="shared" si="92"/>
        <v>35</v>
      </c>
      <c r="L428" s="181">
        <f t="shared" si="93"/>
        <v>0.35</v>
      </c>
      <c r="M428" s="180" t="s">
        <v>777</v>
      </c>
    </row>
    <row r="429" spans="1:13" ht="18.75" customHeight="1">
      <c r="A429" s="180" t="s">
        <v>163</v>
      </c>
      <c r="B429" s="180" t="s">
        <v>163</v>
      </c>
      <c r="C429" s="180" t="s">
        <v>781</v>
      </c>
      <c r="D429" s="180">
        <f t="shared" si="87"/>
        <v>365</v>
      </c>
      <c r="E429" s="184">
        <v>45420</v>
      </c>
      <c r="F429" s="184">
        <f t="shared" si="88"/>
        <v>45785</v>
      </c>
      <c r="G429" s="184">
        <f t="shared" si="89"/>
        <v>45755</v>
      </c>
      <c r="H429" s="180" t="str">
        <f t="shared" ca="1" si="90"/>
        <v>VENCIDO</v>
      </c>
      <c r="I429" s="183">
        <v>75</v>
      </c>
      <c r="J429" s="182">
        <v>150</v>
      </c>
      <c r="K429" s="182">
        <f t="shared" si="92"/>
        <v>75</v>
      </c>
      <c r="L429" s="181">
        <f t="shared" si="93"/>
        <v>0.5</v>
      </c>
      <c r="M429" s="180" t="s">
        <v>777</v>
      </c>
    </row>
    <row r="430" spans="1:13" ht="18.75" customHeight="1">
      <c r="A430" s="180" t="s">
        <v>1519</v>
      </c>
      <c r="B430" s="180" t="s">
        <v>1519</v>
      </c>
      <c r="C430" s="180" t="s">
        <v>778</v>
      </c>
      <c r="D430" s="180">
        <f t="shared" si="87"/>
        <v>365</v>
      </c>
      <c r="E430" s="184">
        <v>45421</v>
      </c>
      <c r="F430" s="184">
        <f t="shared" si="88"/>
        <v>45786</v>
      </c>
      <c r="G430" s="184">
        <f t="shared" si="89"/>
        <v>45756</v>
      </c>
      <c r="H430" s="180" t="str">
        <f t="shared" ca="1" si="90"/>
        <v>VENCIDO</v>
      </c>
      <c r="I430" s="183">
        <f t="shared" si="94"/>
        <v>65</v>
      </c>
      <c r="J430" s="182">
        <f t="shared" si="91"/>
        <v>100</v>
      </c>
      <c r="K430" s="182">
        <f t="shared" si="92"/>
        <v>35</v>
      </c>
      <c r="L430" s="181">
        <f t="shared" si="93"/>
        <v>0.35</v>
      </c>
      <c r="M430" s="180" t="s">
        <v>777</v>
      </c>
    </row>
    <row r="431" spans="1:13" ht="18.75" customHeight="1">
      <c r="A431" s="180" t="s">
        <v>1520</v>
      </c>
      <c r="B431" s="180" t="s">
        <v>1520</v>
      </c>
      <c r="C431" s="180" t="s">
        <v>778</v>
      </c>
      <c r="D431" s="180">
        <f t="shared" si="87"/>
        <v>365</v>
      </c>
      <c r="E431" s="184">
        <v>45421</v>
      </c>
      <c r="F431" s="184">
        <f t="shared" si="88"/>
        <v>45786</v>
      </c>
      <c r="G431" s="184">
        <f t="shared" si="89"/>
        <v>45756</v>
      </c>
      <c r="H431" s="180" t="str">
        <f t="shared" ca="1" si="90"/>
        <v>VENCIDO</v>
      </c>
      <c r="I431" s="183">
        <v>125</v>
      </c>
      <c r="J431" s="182">
        <v>190</v>
      </c>
      <c r="K431" s="182">
        <f t="shared" si="92"/>
        <v>65</v>
      </c>
      <c r="L431" s="181">
        <f t="shared" si="93"/>
        <v>0.34210526315789475</v>
      </c>
      <c r="M431" s="180" t="s">
        <v>777</v>
      </c>
    </row>
    <row r="432" spans="1:13" ht="18.75" customHeight="1">
      <c r="A432" s="180" t="s">
        <v>1521</v>
      </c>
      <c r="B432" s="180" t="s">
        <v>1521</v>
      </c>
      <c r="C432" s="180" t="s">
        <v>778</v>
      </c>
      <c r="D432" s="180">
        <f t="shared" si="87"/>
        <v>365</v>
      </c>
      <c r="E432" s="184">
        <v>45421</v>
      </c>
      <c r="F432" s="184">
        <f t="shared" si="88"/>
        <v>45786</v>
      </c>
      <c r="G432" s="184">
        <f t="shared" si="89"/>
        <v>45756</v>
      </c>
      <c r="H432" s="180" t="str">
        <f t="shared" ca="1" si="90"/>
        <v>VENCIDO</v>
      </c>
      <c r="I432" s="183">
        <v>125</v>
      </c>
      <c r="J432" s="182">
        <v>190</v>
      </c>
      <c r="K432" s="182">
        <f t="shared" si="92"/>
        <v>65</v>
      </c>
      <c r="L432" s="181">
        <f t="shared" si="93"/>
        <v>0.34210526315789475</v>
      </c>
      <c r="M432" s="180" t="s">
        <v>777</v>
      </c>
    </row>
    <row r="433" spans="1:13" ht="18.75" customHeight="1">
      <c r="A433" s="180" t="s">
        <v>860</v>
      </c>
      <c r="B433" s="180" t="s">
        <v>860</v>
      </c>
      <c r="C433" s="180" t="s">
        <v>778</v>
      </c>
      <c r="D433" s="180">
        <f t="shared" si="87"/>
        <v>365</v>
      </c>
      <c r="E433" s="184">
        <v>45422</v>
      </c>
      <c r="F433" s="184">
        <f t="shared" si="88"/>
        <v>45787</v>
      </c>
      <c r="G433" s="184">
        <f t="shared" si="89"/>
        <v>45757</v>
      </c>
      <c r="H433" s="180" t="str">
        <f t="shared" ca="1" si="90"/>
        <v>VENCIDO</v>
      </c>
      <c r="I433" s="183">
        <f t="shared" si="94"/>
        <v>65</v>
      </c>
      <c r="J433" s="182">
        <f t="shared" si="91"/>
        <v>100</v>
      </c>
      <c r="K433" s="182">
        <f t="shared" si="92"/>
        <v>35</v>
      </c>
      <c r="L433" s="181">
        <f t="shared" si="93"/>
        <v>0.35</v>
      </c>
      <c r="M433" s="180" t="s">
        <v>777</v>
      </c>
    </row>
    <row r="434" spans="1:13" ht="18.75" customHeight="1">
      <c r="A434" s="180" t="s">
        <v>1525</v>
      </c>
      <c r="B434" s="180" t="s">
        <v>1525</v>
      </c>
      <c r="C434" s="180" t="s">
        <v>778</v>
      </c>
      <c r="D434" s="180">
        <f t="shared" si="87"/>
        <v>365</v>
      </c>
      <c r="E434" s="184">
        <v>45422</v>
      </c>
      <c r="F434" s="184">
        <f t="shared" si="88"/>
        <v>45787</v>
      </c>
      <c r="G434" s="184">
        <f t="shared" si="89"/>
        <v>45757</v>
      </c>
      <c r="H434" s="180" t="str">
        <f t="shared" ca="1" si="90"/>
        <v>VENCIDO</v>
      </c>
      <c r="I434" s="183">
        <f t="shared" si="94"/>
        <v>65</v>
      </c>
      <c r="J434" s="182">
        <f t="shared" si="91"/>
        <v>100</v>
      </c>
      <c r="K434" s="182">
        <f t="shared" si="92"/>
        <v>35</v>
      </c>
      <c r="L434" s="181">
        <f t="shared" si="93"/>
        <v>0.35</v>
      </c>
      <c r="M434" s="180" t="s">
        <v>1328</v>
      </c>
    </row>
    <row r="435" spans="1:13" ht="18.75" customHeight="1">
      <c r="A435" s="180" t="s">
        <v>1526</v>
      </c>
      <c r="B435" s="180" t="s">
        <v>1527</v>
      </c>
      <c r="C435" s="180" t="s">
        <v>781</v>
      </c>
      <c r="D435" s="180">
        <f t="shared" si="87"/>
        <v>365</v>
      </c>
      <c r="E435" s="184">
        <v>45426</v>
      </c>
      <c r="F435" s="184">
        <f t="shared" si="88"/>
        <v>45791</v>
      </c>
      <c r="G435" s="184">
        <f t="shared" si="89"/>
        <v>45761</v>
      </c>
      <c r="H435" s="180" t="str">
        <f t="shared" ca="1" si="90"/>
        <v>VENCIDO</v>
      </c>
      <c r="I435" s="183">
        <v>75</v>
      </c>
      <c r="J435" s="182">
        <v>150</v>
      </c>
      <c r="K435" s="182">
        <f t="shared" si="92"/>
        <v>75</v>
      </c>
      <c r="L435" s="181">
        <f t="shared" si="93"/>
        <v>0.5</v>
      </c>
      <c r="M435" s="180" t="s">
        <v>777</v>
      </c>
    </row>
    <row r="436" spans="1:13" ht="18.75" customHeight="1">
      <c r="A436" s="180" t="s">
        <v>1528</v>
      </c>
      <c r="B436" s="180" t="s">
        <v>1529</v>
      </c>
      <c r="C436" s="180" t="s">
        <v>802</v>
      </c>
      <c r="D436" s="180">
        <f t="shared" si="87"/>
        <v>1095</v>
      </c>
      <c r="E436" s="184">
        <v>45426</v>
      </c>
      <c r="F436" s="184">
        <f t="shared" si="88"/>
        <v>46521</v>
      </c>
      <c r="G436" s="184">
        <f t="shared" si="89"/>
        <v>46491</v>
      </c>
      <c r="H436" s="180" t="str">
        <f t="shared" ca="1" si="90"/>
        <v>VÁLIDO</v>
      </c>
      <c r="I436" s="183">
        <v>135</v>
      </c>
      <c r="J436" s="182">
        <v>260</v>
      </c>
      <c r="K436" s="182">
        <f t="shared" si="92"/>
        <v>125</v>
      </c>
      <c r="L436" s="181">
        <f t="shared" si="93"/>
        <v>0.48076923076923078</v>
      </c>
      <c r="M436" s="180" t="s">
        <v>777</v>
      </c>
    </row>
    <row r="437" spans="1:13" ht="18.75" customHeight="1">
      <c r="A437" s="180" t="s">
        <v>795</v>
      </c>
      <c r="B437" s="180" t="s">
        <v>795</v>
      </c>
      <c r="C437" s="180" t="s">
        <v>778</v>
      </c>
      <c r="D437" s="180">
        <f t="shared" si="87"/>
        <v>365</v>
      </c>
      <c r="E437" s="184">
        <v>45426</v>
      </c>
      <c r="F437" s="184">
        <f t="shared" si="88"/>
        <v>45791</v>
      </c>
      <c r="G437" s="184">
        <f t="shared" si="89"/>
        <v>45761</v>
      </c>
      <c r="H437" s="180" t="str">
        <f t="shared" ca="1" si="90"/>
        <v>VENCIDO</v>
      </c>
      <c r="I437" s="183">
        <f t="shared" si="94"/>
        <v>65</v>
      </c>
      <c r="J437" s="182">
        <f t="shared" si="91"/>
        <v>100</v>
      </c>
      <c r="K437" s="182">
        <f t="shared" si="92"/>
        <v>35</v>
      </c>
      <c r="L437" s="181">
        <f t="shared" si="93"/>
        <v>0.35</v>
      </c>
      <c r="M437" s="180" t="s">
        <v>777</v>
      </c>
    </row>
    <row r="438" spans="1:13" ht="18.75" customHeight="1">
      <c r="A438" s="180" t="s">
        <v>1530</v>
      </c>
      <c r="B438" s="180" t="s">
        <v>1530</v>
      </c>
      <c r="C438" s="180" t="s">
        <v>802</v>
      </c>
      <c r="D438" s="180">
        <f t="shared" si="87"/>
        <v>1095</v>
      </c>
      <c r="E438" s="184">
        <v>45427</v>
      </c>
      <c r="F438" s="184">
        <f t="shared" si="88"/>
        <v>46522</v>
      </c>
      <c r="G438" s="184">
        <f t="shared" si="89"/>
        <v>46492</v>
      </c>
      <c r="H438" s="180" t="str">
        <f t="shared" ca="1" si="90"/>
        <v>VÁLIDO</v>
      </c>
      <c r="I438" s="183">
        <v>55</v>
      </c>
      <c r="J438" s="182">
        <v>240</v>
      </c>
      <c r="K438" s="182">
        <f t="shared" si="92"/>
        <v>185</v>
      </c>
      <c r="L438" s="181">
        <f t="shared" si="93"/>
        <v>0.77083333333333337</v>
      </c>
      <c r="M438" s="180" t="s">
        <v>777</v>
      </c>
    </row>
    <row r="439" spans="1:13" ht="18.75" customHeight="1">
      <c r="A439" s="180" t="s">
        <v>1531</v>
      </c>
      <c r="B439" s="180" t="s">
        <v>1531</v>
      </c>
      <c r="C439" s="180" t="s">
        <v>778</v>
      </c>
      <c r="D439" s="180">
        <f t="shared" si="87"/>
        <v>365</v>
      </c>
      <c r="E439" s="184">
        <v>45428</v>
      </c>
      <c r="F439" s="184">
        <f t="shared" si="88"/>
        <v>45793</v>
      </c>
      <c r="G439" s="184">
        <f t="shared" si="89"/>
        <v>45763</v>
      </c>
      <c r="H439" s="180" t="str">
        <f t="shared" ca="1" si="90"/>
        <v>VENCIDO</v>
      </c>
      <c r="I439" s="183">
        <f t="shared" si="94"/>
        <v>65</v>
      </c>
      <c r="J439" s="182">
        <f t="shared" si="91"/>
        <v>100</v>
      </c>
      <c r="K439" s="182">
        <f t="shared" si="92"/>
        <v>35</v>
      </c>
      <c r="L439" s="181">
        <f t="shared" si="93"/>
        <v>0.35</v>
      </c>
      <c r="M439" s="180" t="s">
        <v>777</v>
      </c>
    </row>
    <row r="440" spans="1:13" ht="18.75" customHeight="1">
      <c r="A440" s="180" t="s">
        <v>1532</v>
      </c>
      <c r="B440" s="180" t="s">
        <v>1533</v>
      </c>
      <c r="C440" s="180" t="s">
        <v>778</v>
      </c>
      <c r="D440" s="180">
        <f t="shared" si="87"/>
        <v>365</v>
      </c>
      <c r="E440" s="184">
        <v>45429</v>
      </c>
      <c r="F440" s="184">
        <f t="shared" si="88"/>
        <v>45794</v>
      </c>
      <c r="G440" s="184">
        <f t="shared" si="89"/>
        <v>45764</v>
      </c>
      <c r="H440" s="180" t="str">
        <f t="shared" ca="1" si="90"/>
        <v>VENCIDO</v>
      </c>
      <c r="I440" s="183">
        <v>125</v>
      </c>
      <c r="J440" s="182">
        <v>190</v>
      </c>
      <c r="K440" s="182">
        <f t="shared" si="92"/>
        <v>65</v>
      </c>
      <c r="L440" s="181">
        <f t="shared" si="93"/>
        <v>0.34210526315789475</v>
      </c>
      <c r="M440" s="180" t="s">
        <v>777</v>
      </c>
    </row>
    <row r="441" spans="1:13" ht="18.75" customHeight="1">
      <c r="A441" s="180" t="s">
        <v>1534</v>
      </c>
      <c r="B441" s="180" t="s">
        <v>1534</v>
      </c>
      <c r="C441" s="180" t="s">
        <v>802</v>
      </c>
      <c r="D441" s="180">
        <f t="shared" si="87"/>
        <v>1095</v>
      </c>
      <c r="E441" s="184">
        <v>45432</v>
      </c>
      <c r="F441" s="184">
        <f t="shared" si="88"/>
        <v>46527</v>
      </c>
      <c r="G441" s="184">
        <f t="shared" si="89"/>
        <v>46497</v>
      </c>
      <c r="H441" s="180" t="str">
        <f t="shared" ca="1" si="90"/>
        <v>VÁLIDO</v>
      </c>
      <c r="I441" s="183">
        <v>55</v>
      </c>
      <c r="J441" s="182">
        <v>240</v>
      </c>
      <c r="K441" s="182">
        <f t="shared" si="92"/>
        <v>185</v>
      </c>
      <c r="L441" s="181">
        <f t="shared" si="93"/>
        <v>0.77083333333333337</v>
      </c>
      <c r="M441" s="180" t="s">
        <v>777</v>
      </c>
    </row>
    <row r="442" spans="1:13" ht="18.75" customHeight="1">
      <c r="A442" s="180" t="s">
        <v>1536</v>
      </c>
      <c r="B442" s="180" t="s">
        <v>1536</v>
      </c>
      <c r="C442" s="180" t="s">
        <v>778</v>
      </c>
      <c r="D442" s="180">
        <f t="shared" si="87"/>
        <v>365</v>
      </c>
      <c r="E442" s="184">
        <v>45433</v>
      </c>
      <c r="F442" s="184">
        <f t="shared" si="88"/>
        <v>45798</v>
      </c>
      <c r="G442" s="184">
        <f t="shared" si="89"/>
        <v>45768</v>
      </c>
      <c r="H442" s="180" t="str">
        <f t="shared" ca="1" si="90"/>
        <v>VENCIDO</v>
      </c>
      <c r="I442" s="183">
        <f t="shared" si="94"/>
        <v>65</v>
      </c>
      <c r="J442" s="182">
        <f t="shared" si="91"/>
        <v>100</v>
      </c>
      <c r="K442" s="182">
        <f t="shared" si="92"/>
        <v>35</v>
      </c>
      <c r="L442" s="181">
        <f t="shared" si="93"/>
        <v>0.35</v>
      </c>
      <c r="M442" s="180" t="s">
        <v>777</v>
      </c>
    </row>
    <row r="443" spans="1:13" ht="18.75" customHeight="1">
      <c r="A443" s="180" t="s">
        <v>1537</v>
      </c>
      <c r="B443" s="180" t="s">
        <v>1537</v>
      </c>
      <c r="C443" s="180" t="s">
        <v>778</v>
      </c>
      <c r="D443" s="180">
        <f t="shared" si="87"/>
        <v>365</v>
      </c>
      <c r="E443" s="184">
        <v>45433</v>
      </c>
      <c r="F443" s="184">
        <f t="shared" si="88"/>
        <v>45798</v>
      </c>
      <c r="G443" s="184">
        <f t="shared" si="89"/>
        <v>45768</v>
      </c>
      <c r="H443" s="180" t="str">
        <f t="shared" ca="1" si="90"/>
        <v>VENCIDO</v>
      </c>
      <c r="I443" s="183">
        <v>125</v>
      </c>
      <c r="J443" s="182">
        <v>190</v>
      </c>
      <c r="K443" s="182">
        <f t="shared" si="92"/>
        <v>65</v>
      </c>
      <c r="L443" s="181">
        <f t="shared" si="93"/>
        <v>0.34210526315789475</v>
      </c>
      <c r="M443" s="180" t="s">
        <v>777</v>
      </c>
    </row>
    <row r="444" spans="1:13" ht="18.75" customHeight="1">
      <c r="A444" s="180" t="s">
        <v>1538</v>
      </c>
      <c r="B444" s="180" t="s">
        <v>1538</v>
      </c>
      <c r="C444" s="180" t="s">
        <v>778</v>
      </c>
      <c r="D444" s="180">
        <f t="shared" si="87"/>
        <v>365</v>
      </c>
      <c r="E444" s="184">
        <v>45434</v>
      </c>
      <c r="F444" s="184">
        <f t="shared" si="88"/>
        <v>45799</v>
      </c>
      <c r="G444" s="184">
        <f t="shared" si="89"/>
        <v>45769</v>
      </c>
      <c r="H444" s="180" t="str">
        <f t="shared" ca="1" si="90"/>
        <v>VENCIDO</v>
      </c>
      <c r="I444" s="183">
        <f t="shared" si="94"/>
        <v>65</v>
      </c>
      <c r="J444" s="182">
        <f t="shared" si="91"/>
        <v>100</v>
      </c>
      <c r="K444" s="182">
        <f t="shared" si="92"/>
        <v>35</v>
      </c>
      <c r="L444" s="181">
        <f t="shared" si="93"/>
        <v>0.35</v>
      </c>
      <c r="M444" s="180" t="s">
        <v>777</v>
      </c>
    </row>
    <row r="445" spans="1:13" ht="18.75" customHeight="1">
      <c r="A445" s="180" t="s">
        <v>1539</v>
      </c>
      <c r="B445" s="180" t="s">
        <v>1539</v>
      </c>
      <c r="C445" s="180" t="s">
        <v>778</v>
      </c>
      <c r="D445" s="180">
        <f t="shared" si="87"/>
        <v>365</v>
      </c>
      <c r="E445" s="184">
        <v>45435</v>
      </c>
      <c r="F445" s="184">
        <f t="shared" si="88"/>
        <v>45800</v>
      </c>
      <c r="G445" s="184">
        <f t="shared" si="89"/>
        <v>45770</v>
      </c>
      <c r="H445" s="180" t="str">
        <f t="shared" ca="1" si="90"/>
        <v>VENCIDO</v>
      </c>
      <c r="I445" s="183">
        <f t="shared" si="94"/>
        <v>65</v>
      </c>
      <c r="J445" s="182">
        <f t="shared" si="91"/>
        <v>100</v>
      </c>
      <c r="K445" s="182">
        <f t="shared" si="92"/>
        <v>35</v>
      </c>
      <c r="L445" s="181">
        <f t="shared" si="93"/>
        <v>0.35</v>
      </c>
      <c r="M445" s="180" t="s">
        <v>777</v>
      </c>
    </row>
    <row r="446" spans="1:13" ht="18.75" customHeight="1">
      <c r="A446" s="180" t="s">
        <v>1540</v>
      </c>
      <c r="B446" s="180" t="s">
        <v>1540</v>
      </c>
      <c r="C446" s="180" t="s">
        <v>778</v>
      </c>
      <c r="D446" s="180">
        <f t="shared" si="87"/>
        <v>365</v>
      </c>
      <c r="E446" s="184">
        <v>45435</v>
      </c>
      <c r="F446" s="184">
        <f t="shared" si="88"/>
        <v>45800</v>
      </c>
      <c r="G446" s="184">
        <f t="shared" si="89"/>
        <v>45770</v>
      </c>
      <c r="H446" s="180" t="str">
        <f t="shared" ca="1" si="90"/>
        <v>VENCIDO</v>
      </c>
      <c r="I446" s="183">
        <f t="shared" si="94"/>
        <v>65</v>
      </c>
      <c r="J446" s="182">
        <f t="shared" si="91"/>
        <v>100</v>
      </c>
      <c r="K446" s="182">
        <f t="shared" si="92"/>
        <v>35</v>
      </c>
      <c r="L446" s="181">
        <f t="shared" si="93"/>
        <v>0.35</v>
      </c>
      <c r="M446" s="180" t="s">
        <v>777</v>
      </c>
    </row>
    <row r="447" spans="1:13" ht="18.75" customHeight="1">
      <c r="A447" s="180" t="s">
        <v>1541</v>
      </c>
      <c r="B447" s="180" t="s">
        <v>1541</v>
      </c>
      <c r="C447" s="180" t="s">
        <v>778</v>
      </c>
      <c r="D447" s="180">
        <f t="shared" si="87"/>
        <v>365</v>
      </c>
      <c r="E447" s="184">
        <v>45439</v>
      </c>
      <c r="F447" s="184">
        <f t="shared" si="88"/>
        <v>45804</v>
      </c>
      <c r="G447" s="184">
        <f t="shared" si="89"/>
        <v>45774</v>
      </c>
      <c r="H447" s="180" t="str">
        <f t="shared" ca="1" si="90"/>
        <v>VENCIDO</v>
      </c>
      <c r="I447" s="183">
        <f t="shared" si="94"/>
        <v>65</v>
      </c>
      <c r="J447" s="182">
        <f t="shared" si="91"/>
        <v>100</v>
      </c>
      <c r="K447" s="182">
        <f t="shared" si="92"/>
        <v>35</v>
      </c>
      <c r="L447" s="181">
        <f t="shared" si="93"/>
        <v>0.35</v>
      </c>
      <c r="M447" s="180" t="s">
        <v>777</v>
      </c>
    </row>
    <row r="448" spans="1:13" ht="18.75" customHeight="1">
      <c r="A448" s="180" t="s">
        <v>1542</v>
      </c>
      <c r="B448" s="180" t="s">
        <v>1542</v>
      </c>
      <c r="C448" s="180" t="s">
        <v>802</v>
      </c>
      <c r="D448" s="180">
        <f t="shared" si="87"/>
        <v>1095</v>
      </c>
      <c r="E448" s="184">
        <v>45439</v>
      </c>
      <c r="F448" s="184">
        <f t="shared" si="88"/>
        <v>46534</v>
      </c>
      <c r="G448" s="184">
        <f t="shared" si="89"/>
        <v>46504</v>
      </c>
      <c r="H448" s="180" t="str">
        <f t="shared" ca="1" si="90"/>
        <v>VÁLIDO</v>
      </c>
      <c r="I448" s="183">
        <v>135</v>
      </c>
      <c r="J448" s="182">
        <v>260</v>
      </c>
      <c r="K448" s="182">
        <f t="shared" si="92"/>
        <v>125</v>
      </c>
      <c r="L448" s="181">
        <f t="shared" si="93"/>
        <v>0.48076923076923078</v>
      </c>
      <c r="M448" s="180" t="s">
        <v>777</v>
      </c>
    </row>
    <row r="449" spans="1:13" ht="18.75" customHeight="1">
      <c r="A449" s="180" t="s">
        <v>1543</v>
      </c>
      <c r="B449" s="180" t="s">
        <v>1543</v>
      </c>
      <c r="C449" s="180" t="s">
        <v>778</v>
      </c>
      <c r="D449" s="180">
        <f t="shared" si="87"/>
        <v>365</v>
      </c>
      <c r="E449" s="184">
        <v>45440</v>
      </c>
      <c r="F449" s="184">
        <f t="shared" si="88"/>
        <v>45805</v>
      </c>
      <c r="G449" s="184">
        <f t="shared" si="89"/>
        <v>45775</v>
      </c>
      <c r="H449" s="180" t="str">
        <f t="shared" ca="1" si="90"/>
        <v>VENCIDO</v>
      </c>
      <c r="I449" s="183">
        <v>125</v>
      </c>
      <c r="J449" s="182">
        <v>190</v>
      </c>
      <c r="K449" s="182">
        <f t="shared" si="92"/>
        <v>65</v>
      </c>
      <c r="L449" s="181">
        <f t="shared" si="93"/>
        <v>0.34210526315789475</v>
      </c>
      <c r="M449" s="180" t="s">
        <v>777</v>
      </c>
    </row>
    <row r="450" spans="1:13" ht="18.75" customHeight="1">
      <c r="A450" s="180" t="s">
        <v>891</v>
      </c>
      <c r="B450" s="180" t="s">
        <v>891</v>
      </c>
      <c r="C450" s="180" t="s">
        <v>802</v>
      </c>
      <c r="D450" s="180">
        <f t="shared" si="87"/>
        <v>1095</v>
      </c>
      <c r="E450" s="184">
        <v>45442</v>
      </c>
      <c r="F450" s="184">
        <f t="shared" si="88"/>
        <v>46537</v>
      </c>
      <c r="G450" s="184">
        <f t="shared" si="89"/>
        <v>46507</v>
      </c>
      <c r="H450" s="180" t="str">
        <f t="shared" ca="1" si="90"/>
        <v>VÁLIDO</v>
      </c>
      <c r="I450" s="183">
        <v>135</v>
      </c>
      <c r="J450" s="182">
        <f t="shared" si="91"/>
        <v>250</v>
      </c>
      <c r="K450" s="182">
        <f t="shared" si="92"/>
        <v>115</v>
      </c>
      <c r="L450" s="181">
        <f t="shared" si="93"/>
        <v>0.46</v>
      </c>
      <c r="M450" s="180" t="s">
        <v>777</v>
      </c>
    </row>
    <row r="451" spans="1:13" ht="18.75" customHeight="1">
      <c r="A451" s="451" t="s">
        <v>1544</v>
      </c>
      <c r="B451" s="452"/>
      <c r="C451" s="452"/>
      <c r="D451" s="452"/>
      <c r="E451" s="452"/>
      <c r="F451" s="452"/>
      <c r="G451" s="452"/>
      <c r="H451" s="452"/>
      <c r="I451" s="452"/>
      <c r="J451" s="452"/>
      <c r="K451" s="452"/>
      <c r="L451" s="452"/>
      <c r="M451" s="453"/>
    </row>
    <row r="452" spans="1:13" ht="18.75" customHeight="1">
      <c r="A452" s="180" t="s">
        <v>590</v>
      </c>
      <c r="B452" s="180" t="s">
        <v>590</v>
      </c>
      <c r="C452" s="180" t="s">
        <v>778</v>
      </c>
      <c r="D452" s="180">
        <f t="shared" si="87"/>
        <v>365</v>
      </c>
      <c r="E452" s="184">
        <v>45446</v>
      </c>
      <c r="F452" s="184">
        <f t="shared" si="88"/>
        <v>45811</v>
      </c>
      <c r="G452" s="184">
        <f t="shared" si="89"/>
        <v>45781</v>
      </c>
      <c r="H452" s="180" t="str">
        <f t="shared" ca="1" si="90"/>
        <v>VENCIDO</v>
      </c>
      <c r="I452" s="183">
        <f t="shared" si="94"/>
        <v>65</v>
      </c>
      <c r="J452" s="182">
        <v>100</v>
      </c>
      <c r="K452" s="182">
        <f t="shared" si="92"/>
        <v>35</v>
      </c>
      <c r="L452" s="181">
        <f t="shared" si="93"/>
        <v>0.35</v>
      </c>
      <c r="M452" s="180" t="s">
        <v>777</v>
      </c>
    </row>
    <row r="453" spans="1:13" ht="18.75" customHeight="1">
      <c r="A453" s="180" t="s">
        <v>590</v>
      </c>
      <c r="B453" s="180" t="s">
        <v>590</v>
      </c>
      <c r="C453" s="180" t="s">
        <v>781</v>
      </c>
      <c r="D453" s="180">
        <f t="shared" si="87"/>
        <v>365</v>
      </c>
      <c r="E453" s="184">
        <v>45446</v>
      </c>
      <c r="F453" s="184">
        <f t="shared" si="88"/>
        <v>45811</v>
      </c>
      <c r="G453" s="184">
        <f t="shared" si="89"/>
        <v>45781</v>
      </c>
      <c r="H453" s="180" t="str">
        <f t="shared" ca="1" si="90"/>
        <v>VENCIDO</v>
      </c>
      <c r="I453" s="183">
        <v>75</v>
      </c>
      <c r="J453" s="182">
        <v>150</v>
      </c>
      <c r="K453" s="182">
        <f t="shared" si="92"/>
        <v>75</v>
      </c>
      <c r="L453" s="181">
        <f t="shared" si="93"/>
        <v>0.5</v>
      </c>
      <c r="M453" s="180" t="s">
        <v>777</v>
      </c>
    </row>
    <row r="454" spans="1:13" ht="18.75" customHeight="1">
      <c r="A454" s="180" t="s">
        <v>1545</v>
      </c>
      <c r="B454" s="180" t="s">
        <v>1545</v>
      </c>
      <c r="C454" s="180" t="s">
        <v>778</v>
      </c>
      <c r="D454" s="180">
        <f t="shared" si="87"/>
        <v>365</v>
      </c>
      <c r="E454" s="184">
        <v>45446</v>
      </c>
      <c r="F454" s="184">
        <f t="shared" si="88"/>
        <v>45811</v>
      </c>
      <c r="G454" s="184">
        <f t="shared" si="89"/>
        <v>45781</v>
      </c>
      <c r="H454" s="180" t="str">
        <f t="shared" ca="1" si="90"/>
        <v>VENCIDO</v>
      </c>
      <c r="I454" s="183">
        <f t="shared" si="94"/>
        <v>65</v>
      </c>
      <c r="J454" s="182">
        <f t="shared" si="91"/>
        <v>100</v>
      </c>
      <c r="K454" s="182">
        <f t="shared" si="92"/>
        <v>35</v>
      </c>
      <c r="L454" s="181">
        <f t="shared" si="93"/>
        <v>0.35</v>
      </c>
      <c r="M454" s="180" t="s">
        <v>777</v>
      </c>
    </row>
    <row r="455" spans="1:13" ht="18.75" customHeight="1">
      <c r="A455" s="180" t="s">
        <v>1546</v>
      </c>
      <c r="B455" s="180" t="s">
        <v>1546</v>
      </c>
      <c r="C455" s="180" t="s">
        <v>778</v>
      </c>
      <c r="D455" s="180">
        <f t="shared" si="87"/>
        <v>365</v>
      </c>
      <c r="E455" s="184">
        <v>45446</v>
      </c>
      <c r="F455" s="184">
        <f t="shared" si="88"/>
        <v>45811</v>
      </c>
      <c r="G455" s="184">
        <f t="shared" si="89"/>
        <v>45781</v>
      </c>
      <c r="H455" s="180" t="str">
        <f t="shared" ca="1" si="90"/>
        <v>VENCIDO</v>
      </c>
      <c r="I455" s="183">
        <f t="shared" si="94"/>
        <v>65</v>
      </c>
      <c r="J455" s="182">
        <f t="shared" si="91"/>
        <v>100</v>
      </c>
      <c r="K455" s="182">
        <f t="shared" si="92"/>
        <v>35</v>
      </c>
      <c r="L455" s="181">
        <f t="shared" si="93"/>
        <v>0.35</v>
      </c>
      <c r="M455" s="180" t="s">
        <v>777</v>
      </c>
    </row>
    <row r="456" spans="1:13" ht="18.75" customHeight="1">
      <c r="A456" s="180" t="s">
        <v>390</v>
      </c>
      <c r="B456" s="180" t="s">
        <v>390</v>
      </c>
      <c r="C456" s="180" t="s">
        <v>778</v>
      </c>
      <c r="D456" s="180">
        <f t="shared" si="87"/>
        <v>365</v>
      </c>
      <c r="E456" s="184">
        <v>45447</v>
      </c>
      <c r="F456" s="184">
        <f t="shared" si="88"/>
        <v>45812</v>
      </c>
      <c r="G456" s="184">
        <f t="shared" si="89"/>
        <v>45782</v>
      </c>
      <c r="H456" s="180" t="str">
        <f t="shared" ca="1" si="90"/>
        <v>VENCIDO</v>
      </c>
      <c r="I456" s="183">
        <f t="shared" si="94"/>
        <v>65</v>
      </c>
      <c r="J456" s="182">
        <f t="shared" si="91"/>
        <v>100</v>
      </c>
      <c r="K456" s="182">
        <f t="shared" si="92"/>
        <v>35</v>
      </c>
      <c r="L456" s="181">
        <f t="shared" si="93"/>
        <v>0.35</v>
      </c>
      <c r="M456" s="180" t="s">
        <v>777</v>
      </c>
    </row>
    <row r="457" spans="1:13" ht="18.75" customHeight="1">
      <c r="A457" s="180" t="s">
        <v>1547</v>
      </c>
      <c r="B457" s="180" t="s">
        <v>1547</v>
      </c>
      <c r="C457" s="180" t="s">
        <v>802</v>
      </c>
      <c r="D457" s="180">
        <f t="shared" si="87"/>
        <v>1095</v>
      </c>
      <c r="E457" s="184">
        <v>45449</v>
      </c>
      <c r="F457" s="184">
        <f t="shared" si="88"/>
        <v>46544</v>
      </c>
      <c r="G457" s="184">
        <f t="shared" si="89"/>
        <v>46514</v>
      </c>
      <c r="H457" s="180" t="str">
        <f t="shared" ca="1" si="90"/>
        <v>VÁLIDO</v>
      </c>
      <c r="I457" s="183">
        <v>135</v>
      </c>
      <c r="J457" s="182">
        <v>260</v>
      </c>
      <c r="K457" s="182">
        <f t="shared" si="92"/>
        <v>125</v>
      </c>
      <c r="L457" s="181">
        <f t="shared" si="93"/>
        <v>0.48076923076923078</v>
      </c>
      <c r="M457" s="180" t="s">
        <v>777</v>
      </c>
    </row>
    <row r="458" spans="1:13" ht="18.75" customHeight="1">
      <c r="A458" s="180" t="s">
        <v>1548</v>
      </c>
      <c r="B458" s="180" t="s">
        <v>1548</v>
      </c>
      <c r="C458" s="180" t="s">
        <v>778</v>
      </c>
      <c r="D458" s="180">
        <f t="shared" si="87"/>
        <v>365</v>
      </c>
      <c r="E458" s="184">
        <v>45449</v>
      </c>
      <c r="F458" s="184">
        <f t="shared" si="88"/>
        <v>45814</v>
      </c>
      <c r="G458" s="184">
        <f t="shared" si="89"/>
        <v>45784</v>
      </c>
      <c r="H458" s="180" t="str">
        <f t="shared" ca="1" si="90"/>
        <v>VENCIDO</v>
      </c>
      <c r="I458" s="183">
        <f t="shared" si="94"/>
        <v>65</v>
      </c>
      <c r="J458" s="182">
        <f t="shared" si="91"/>
        <v>100</v>
      </c>
      <c r="K458" s="182">
        <f t="shared" si="92"/>
        <v>35</v>
      </c>
      <c r="L458" s="181">
        <f t="shared" si="93"/>
        <v>0.35</v>
      </c>
      <c r="M458" s="180" t="s">
        <v>777</v>
      </c>
    </row>
    <row r="459" spans="1:13" ht="18.75" customHeight="1">
      <c r="A459" s="180" t="s">
        <v>768</v>
      </c>
      <c r="B459" s="180" t="s">
        <v>768</v>
      </c>
      <c r="C459" s="180" t="s">
        <v>778</v>
      </c>
      <c r="D459" s="180">
        <f t="shared" si="87"/>
        <v>365</v>
      </c>
      <c r="E459" s="184">
        <v>45449</v>
      </c>
      <c r="F459" s="184">
        <f t="shared" si="88"/>
        <v>45814</v>
      </c>
      <c r="G459" s="184">
        <f t="shared" si="89"/>
        <v>45784</v>
      </c>
      <c r="H459" s="180" t="str">
        <f t="shared" ca="1" si="90"/>
        <v>VENCIDO</v>
      </c>
      <c r="I459" s="183">
        <f t="shared" si="94"/>
        <v>65</v>
      </c>
      <c r="J459" s="182">
        <f t="shared" si="91"/>
        <v>100</v>
      </c>
      <c r="K459" s="182">
        <f t="shared" si="92"/>
        <v>35</v>
      </c>
      <c r="L459" s="181">
        <f t="shared" si="93"/>
        <v>0.35</v>
      </c>
      <c r="M459" s="180" t="s">
        <v>777</v>
      </c>
    </row>
    <row r="460" spans="1:13" ht="18.75" customHeight="1">
      <c r="A460" s="180" t="s">
        <v>632</v>
      </c>
      <c r="B460" s="180" t="s">
        <v>632</v>
      </c>
      <c r="C460" s="180" t="s">
        <v>778</v>
      </c>
      <c r="D460" s="180">
        <f t="shared" si="87"/>
        <v>365</v>
      </c>
      <c r="E460" s="184">
        <v>45453</v>
      </c>
      <c r="F460" s="184">
        <f t="shared" si="88"/>
        <v>45818</v>
      </c>
      <c r="G460" s="184">
        <f t="shared" si="89"/>
        <v>45788</v>
      </c>
      <c r="H460" s="180" t="str">
        <f t="shared" ca="1" si="90"/>
        <v>VENCIDO</v>
      </c>
      <c r="I460" s="183">
        <f t="shared" si="94"/>
        <v>65</v>
      </c>
      <c r="J460" s="182">
        <f t="shared" si="91"/>
        <v>100</v>
      </c>
      <c r="K460" s="182">
        <f t="shared" si="92"/>
        <v>35</v>
      </c>
      <c r="L460" s="181">
        <f t="shared" si="93"/>
        <v>0.35</v>
      </c>
      <c r="M460" s="180" t="s">
        <v>777</v>
      </c>
    </row>
    <row r="461" spans="1:13" ht="18.75" customHeight="1">
      <c r="A461" s="180" t="s">
        <v>1549</v>
      </c>
      <c r="B461" s="180" t="s">
        <v>1549</v>
      </c>
      <c r="C461" s="180" t="s">
        <v>781</v>
      </c>
      <c r="D461" s="180">
        <f t="shared" si="87"/>
        <v>365</v>
      </c>
      <c r="E461" s="184">
        <v>45453</v>
      </c>
      <c r="F461" s="184">
        <f t="shared" si="88"/>
        <v>45818</v>
      </c>
      <c r="G461" s="184">
        <f t="shared" si="89"/>
        <v>45788</v>
      </c>
      <c r="H461" s="180" t="str">
        <f t="shared" ca="1" si="90"/>
        <v>VENCIDO</v>
      </c>
      <c r="I461" s="183">
        <v>75</v>
      </c>
      <c r="J461" s="182">
        <v>150</v>
      </c>
      <c r="K461" s="182">
        <f t="shared" si="92"/>
        <v>75</v>
      </c>
      <c r="L461" s="181">
        <f t="shared" si="93"/>
        <v>0.5</v>
      </c>
      <c r="M461" s="180" t="s">
        <v>777</v>
      </c>
    </row>
    <row r="462" spans="1:13" ht="18.75" customHeight="1">
      <c r="A462" s="180" t="s">
        <v>1550</v>
      </c>
      <c r="B462" s="180" t="s">
        <v>1550</v>
      </c>
      <c r="C462" s="180" t="s">
        <v>778</v>
      </c>
      <c r="D462" s="180">
        <f t="shared" si="87"/>
        <v>365</v>
      </c>
      <c r="E462" s="184">
        <v>45454</v>
      </c>
      <c r="F462" s="184">
        <f t="shared" si="88"/>
        <v>45819</v>
      </c>
      <c r="G462" s="184">
        <f t="shared" si="89"/>
        <v>45789</v>
      </c>
      <c r="H462" s="180" t="str">
        <f t="shared" ca="1" si="90"/>
        <v>VENCIDO</v>
      </c>
      <c r="I462" s="183">
        <v>125</v>
      </c>
      <c r="J462" s="182">
        <v>190</v>
      </c>
      <c r="K462" s="182">
        <f t="shared" si="92"/>
        <v>65</v>
      </c>
      <c r="L462" s="181">
        <f t="shared" si="93"/>
        <v>0.34210526315789475</v>
      </c>
      <c r="M462" s="180" t="s">
        <v>777</v>
      </c>
    </row>
    <row r="463" spans="1:13" ht="18.75" customHeight="1">
      <c r="A463" s="180" t="s">
        <v>780</v>
      </c>
      <c r="B463" s="180" t="s">
        <v>1553</v>
      </c>
      <c r="C463" s="180" t="s">
        <v>778</v>
      </c>
      <c r="D463" s="180">
        <f t="shared" si="87"/>
        <v>365</v>
      </c>
      <c r="E463" s="184">
        <v>45456</v>
      </c>
      <c r="F463" s="184">
        <f t="shared" si="88"/>
        <v>45821</v>
      </c>
      <c r="G463" s="184">
        <f t="shared" si="89"/>
        <v>45791</v>
      </c>
      <c r="H463" s="180" t="str">
        <f t="shared" ca="1" si="90"/>
        <v>VENCIDO</v>
      </c>
      <c r="I463" s="183">
        <f t="shared" si="94"/>
        <v>65</v>
      </c>
      <c r="J463" s="182">
        <f t="shared" si="91"/>
        <v>100</v>
      </c>
      <c r="K463" s="182">
        <f t="shared" si="92"/>
        <v>35</v>
      </c>
      <c r="L463" s="181">
        <f t="shared" si="93"/>
        <v>0.35</v>
      </c>
      <c r="M463" s="180" t="s">
        <v>777</v>
      </c>
    </row>
    <row r="464" spans="1:13" ht="18.75" customHeight="1">
      <c r="A464" s="180" t="s">
        <v>1554</v>
      </c>
      <c r="B464" s="180" t="s">
        <v>1554</v>
      </c>
      <c r="C464" s="180" t="s">
        <v>781</v>
      </c>
      <c r="D464" s="180">
        <f t="shared" si="87"/>
        <v>365</v>
      </c>
      <c r="E464" s="184">
        <v>45456</v>
      </c>
      <c r="F464" s="184">
        <f t="shared" si="88"/>
        <v>45821</v>
      </c>
      <c r="G464" s="184">
        <f t="shared" si="89"/>
        <v>45791</v>
      </c>
      <c r="H464" s="180" t="str">
        <f t="shared" ca="1" si="90"/>
        <v>VENCIDO</v>
      </c>
      <c r="I464" s="183">
        <v>75</v>
      </c>
      <c r="J464" s="182">
        <v>150</v>
      </c>
      <c r="K464" s="182">
        <f t="shared" si="92"/>
        <v>75</v>
      </c>
      <c r="L464" s="181">
        <f t="shared" si="93"/>
        <v>0.5</v>
      </c>
      <c r="M464" s="180" t="s">
        <v>777</v>
      </c>
    </row>
    <row r="465" spans="1:13" ht="18.75" customHeight="1">
      <c r="A465" s="180" t="s">
        <v>1557</v>
      </c>
      <c r="B465" s="180" t="s">
        <v>1557</v>
      </c>
      <c r="C465" s="180" t="s">
        <v>778</v>
      </c>
      <c r="D465" s="180">
        <f t="shared" si="87"/>
        <v>365</v>
      </c>
      <c r="E465" s="184">
        <v>45462</v>
      </c>
      <c r="F465" s="184">
        <f t="shared" si="88"/>
        <v>45827</v>
      </c>
      <c r="G465" s="184">
        <f t="shared" si="89"/>
        <v>45797</v>
      </c>
      <c r="H465" s="180" t="str">
        <f t="shared" ca="1" si="90"/>
        <v>VENCIDO</v>
      </c>
      <c r="I465" s="183">
        <f t="shared" si="94"/>
        <v>65</v>
      </c>
      <c r="J465" s="182">
        <f t="shared" si="91"/>
        <v>100</v>
      </c>
      <c r="K465" s="182">
        <f t="shared" si="92"/>
        <v>35</v>
      </c>
      <c r="L465" s="181">
        <f t="shared" si="93"/>
        <v>0.35</v>
      </c>
      <c r="M465" s="180" t="s">
        <v>777</v>
      </c>
    </row>
    <row r="466" spans="1:13" ht="18.75" customHeight="1">
      <c r="A466" s="180" t="s">
        <v>1558</v>
      </c>
      <c r="B466" s="180" t="s">
        <v>1559</v>
      </c>
      <c r="C466" s="180" t="s">
        <v>781</v>
      </c>
      <c r="D466" s="180">
        <f t="shared" si="87"/>
        <v>365</v>
      </c>
      <c r="E466" s="184">
        <v>45464</v>
      </c>
      <c r="F466" s="184">
        <f t="shared" si="88"/>
        <v>45829</v>
      </c>
      <c r="G466" s="184">
        <f t="shared" si="89"/>
        <v>45799</v>
      </c>
      <c r="H466" s="180" t="str">
        <f t="shared" ca="1" si="90"/>
        <v>VENCIDO</v>
      </c>
      <c r="I466" s="183">
        <f t="shared" si="94"/>
        <v>95</v>
      </c>
      <c r="J466" s="182">
        <f t="shared" si="91"/>
        <v>180</v>
      </c>
      <c r="K466" s="182">
        <f t="shared" si="92"/>
        <v>85</v>
      </c>
      <c r="L466" s="181">
        <f t="shared" si="93"/>
        <v>0.47222222222222221</v>
      </c>
      <c r="M466" s="180" t="s">
        <v>777</v>
      </c>
    </row>
    <row r="467" spans="1:13" ht="18.75" customHeight="1">
      <c r="A467" s="180" t="s">
        <v>872</v>
      </c>
      <c r="B467" s="180" t="s">
        <v>231</v>
      </c>
      <c r="C467" s="180" t="s">
        <v>781</v>
      </c>
      <c r="D467" s="180">
        <f t="shared" si="87"/>
        <v>365</v>
      </c>
      <c r="E467" s="184">
        <v>45469</v>
      </c>
      <c r="F467" s="184">
        <f t="shared" si="88"/>
        <v>45834</v>
      </c>
      <c r="G467" s="184">
        <f t="shared" si="89"/>
        <v>45804</v>
      </c>
      <c r="H467" s="180" t="str">
        <f t="shared" ca="1" si="90"/>
        <v>VENCIDO</v>
      </c>
      <c r="I467" s="183">
        <f t="shared" si="94"/>
        <v>95</v>
      </c>
      <c r="J467" s="182">
        <f t="shared" si="91"/>
        <v>180</v>
      </c>
      <c r="K467" s="182">
        <f t="shared" si="92"/>
        <v>85</v>
      </c>
      <c r="L467" s="181">
        <f t="shared" si="93"/>
        <v>0.47222222222222221</v>
      </c>
      <c r="M467" s="180" t="s">
        <v>777</v>
      </c>
    </row>
    <row r="468" spans="1:13" ht="18.75" customHeight="1">
      <c r="A468" s="180" t="s">
        <v>1560</v>
      </c>
      <c r="B468" s="180" t="s">
        <v>1560</v>
      </c>
      <c r="C468" s="180" t="s">
        <v>802</v>
      </c>
      <c r="D468" s="180">
        <f t="shared" si="87"/>
        <v>1095</v>
      </c>
      <c r="E468" s="184">
        <v>45470</v>
      </c>
      <c r="F468" s="184">
        <f t="shared" si="88"/>
        <v>46565</v>
      </c>
      <c r="G468" s="184">
        <f t="shared" si="89"/>
        <v>46535</v>
      </c>
      <c r="H468" s="180" t="str">
        <f t="shared" ca="1" si="90"/>
        <v>VÁLIDO</v>
      </c>
      <c r="I468" s="183">
        <f t="shared" si="94"/>
        <v>100</v>
      </c>
      <c r="J468" s="182">
        <f t="shared" si="91"/>
        <v>250</v>
      </c>
      <c r="K468" s="182">
        <f t="shared" si="92"/>
        <v>150</v>
      </c>
      <c r="L468" s="181">
        <f t="shared" si="93"/>
        <v>0.6</v>
      </c>
      <c r="M468" s="180" t="s">
        <v>777</v>
      </c>
    </row>
    <row r="469" spans="1:13" ht="18.75" customHeight="1">
      <c r="A469" s="180" t="s">
        <v>1084</v>
      </c>
      <c r="B469" s="180" t="s">
        <v>1084</v>
      </c>
      <c r="C469" s="180" t="s">
        <v>781</v>
      </c>
      <c r="D469" s="180">
        <f t="shared" si="87"/>
        <v>365</v>
      </c>
      <c r="E469" s="184">
        <v>45471</v>
      </c>
      <c r="F469" s="184">
        <f t="shared" si="88"/>
        <v>45836</v>
      </c>
      <c r="G469" s="184">
        <f t="shared" si="89"/>
        <v>45806</v>
      </c>
      <c r="H469" s="180" t="str">
        <f t="shared" ca="1" si="90"/>
        <v>VENCIDO</v>
      </c>
      <c r="I469" s="183">
        <f t="shared" si="94"/>
        <v>95</v>
      </c>
      <c r="J469" s="182">
        <f t="shared" si="91"/>
        <v>180</v>
      </c>
      <c r="K469" s="182">
        <f t="shared" si="92"/>
        <v>85</v>
      </c>
      <c r="L469" s="181">
        <f t="shared" si="93"/>
        <v>0.47222222222222221</v>
      </c>
      <c r="M469" s="180" t="s">
        <v>777</v>
      </c>
    </row>
    <row r="470" spans="1:13" ht="18.75" customHeight="1">
      <c r="A470" s="451" t="s">
        <v>1561</v>
      </c>
      <c r="B470" s="452"/>
      <c r="C470" s="452"/>
      <c r="D470" s="452"/>
      <c r="E470" s="452"/>
      <c r="F470" s="452"/>
      <c r="G470" s="452"/>
      <c r="H470" s="452"/>
      <c r="I470" s="452"/>
      <c r="J470" s="452"/>
      <c r="K470" s="452"/>
      <c r="L470" s="452"/>
      <c r="M470" s="453"/>
    </row>
    <row r="471" spans="1:13" ht="18.75" customHeight="1">
      <c r="A471" s="180" t="s">
        <v>198</v>
      </c>
      <c r="B471" s="180" t="s">
        <v>198</v>
      </c>
      <c r="C471" s="180" t="s">
        <v>778</v>
      </c>
      <c r="D471" s="180">
        <f t="shared" si="87"/>
        <v>365</v>
      </c>
      <c r="E471" s="184">
        <v>45477</v>
      </c>
      <c r="F471" s="184">
        <f t="shared" si="88"/>
        <v>45842</v>
      </c>
      <c r="G471" s="184">
        <f t="shared" si="89"/>
        <v>45812</v>
      </c>
      <c r="H471" s="180" t="str">
        <f t="shared" ca="1" si="90"/>
        <v>VENCIDO</v>
      </c>
      <c r="I471" s="183">
        <f t="shared" si="94"/>
        <v>65</v>
      </c>
      <c r="J471" s="182">
        <f t="shared" si="91"/>
        <v>100</v>
      </c>
      <c r="K471" s="182">
        <f t="shared" si="92"/>
        <v>35</v>
      </c>
      <c r="L471" s="181">
        <f t="shared" si="93"/>
        <v>0.35</v>
      </c>
      <c r="M471" s="180" t="s">
        <v>777</v>
      </c>
    </row>
    <row r="472" spans="1:13" ht="18.75" customHeight="1">
      <c r="A472" s="180" t="s">
        <v>287</v>
      </c>
      <c r="B472" s="180" t="s">
        <v>1080</v>
      </c>
      <c r="C472" s="180" t="s">
        <v>781</v>
      </c>
      <c r="D472" s="180">
        <f t="shared" si="87"/>
        <v>365</v>
      </c>
      <c r="E472" s="184">
        <v>45477</v>
      </c>
      <c r="F472" s="184">
        <f t="shared" si="88"/>
        <v>45842</v>
      </c>
      <c r="G472" s="184">
        <f t="shared" si="89"/>
        <v>45812</v>
      </c>
      <c r="H472" s="180" t="str">
        <f t="shared" ca="1" si="90"/>
        <v>VENCIDO</v>
      </c>
      <c r="I472" s="183">
        <v>75</v>
      </c>
      <c r="J472" s="182">
        <v>150</v>
      </c>
      <c r="K472" s="182">
        <f t="shared" si="92"/>
        <v>75</v>
      </c>
      <c r="L472" s="181">
        <f t="shared" si="93"/>
        <v>0.5</v>
      </c>
      <c r="M472" s="180" t="s">
        <v>777</v>
      </c>
    </row>
    <row r="473" spans="1:13" ht="18.75" customHeight="1">
      <c r="A473" s="180" t="s">
        <v>1083</v>
      </c>
      <c r="B473" s="180" t="s">
        <v>1083</v>
      </c>
      <c r="C473" s="180" t="s">
        <v>778</v>
      </c>
      <c r="D473" s="180">
        <f t="shared" si="87"/>
        <v>365</v>
      </c>
      <c r="E473" s="184">
        <v>45478</v>
      </c>
      <c r="F473" s="184">
        <f t="shared" si="88"/>
        <v>45843</v>
      </c>
      <c r="G473" s="184">
        <f t="shared" si="89"/>
        <v>45813</v>
      </c>
      <c r="H473" s="180" t="str">
        <f t="shared" ca="1" si="90"/>
        <v>VENCIDO</v>
      </c>
      <c r="I473" s="183">
        <f t="shared" si="94"/>
        <v>65</v>
      </c>
      <c r="J473" s="182">
        <f t="shared" si="91"/>
        <v>100</v>
      </c>
      <c r="K473" s="182">
        <f t="shared" si="92"/>
        <v>35</v>
      </c>
      <c r="L473" s="181">
        <f t="shared" si="93"/>
        <v>0.35</v>
      </c>
      <c r="M473" s="180" t="s">
        <v>777</v>
      </c>
    </row>
    <row r="474" spans="1:13" ht="18.75" customHeight="1">
      <c r="A474" s="180" t="s">
        <v>1569</v>
      </c>
      <c r="B474" s="180" t="s">
        <v>1569</v>
      </c>
      <c r="C474" s="180" t="s">
        <v>778</v>
      </c>
      <c r="D474" s="180">
        <f t="shared" si="87"/>
        <v>365</v>
      </c>
      <c r="E474" s="184">
        <v>45478</v>
      </c>
      <c r="F474" s="184">
        <f t="shared" si="88"/>
        <v>45843</v>
      </c>
      <c r="G474" s="184">
        <f t="shared" si="89"/>
        <v>45813</v>
      </c>
      <c r="H474" s="180" t="str">
        <f t="shared" ca="1" si="90"/>
        <v>VENCIDO</v>
      </c>
      <c r="I474" s="183">
        <f t="shared" si="94"/>
        <v>65</v>
      </c>
      <c r="J474" s="182">
        <f t="shared" si="91"/>
        <v>100</v>
      </c>
      <c r="K474" s="182">
        <f t="shared" si="92"/>
        <v>35</v>
      </c>
      <c r="L474" s="181">
        <f t="shared" si="93"/>
        <v>0.35</v>
      </c>
      <c r="M474" s="180" t="s">
        <v>777</v>
      </c>
    </row>
    <row r="475" spans="1:13" ht="18.75" customHeight="1">
      <c r="A475" s="180" t="s">
        <v>1570</v>
      </c>
      <c r="B475" s="180" t="s">
        <v>1570</v>
      </c>
      <c r="C475" s="180" t="s">
        <v>802</v>
      </c>
      <c r="D475" s="180">
        <f t="shared" si="87"/>
        <v>1095</v>
      </c>
      <c r="E475" s="184">
        <v>45481</v>
      </c>
      <c r="F475" s="184">
        <f t="shared" si="88"/>
        <v>46576</v>
      </c>
      <c r="G475" s="184">
        <f t="shared" si="89"/>
        <v>46546</v>
      </c>
      <c r="H475" s="180" t="str">
        <f t="shared" ca="1" si="90"/>
        <v>VÁLIDO</v>
      </c>
      <c r="I475" s="183">
        <v>125</v>
      </c>
      <c r="J475" s="182">
        <v>260</v>
      </c>
      <c r="K475" s="182">
        <f t="shared" si="92"/>
        <v>135</v>
      </c>
      <c r="L475" s="181">
        <f t="shared" si="93"/>
        <v>0.51923076923076927</v>
      </c>
      <c r="M475" s="180" t="s">
        <v>777</v>
      </c>
    </row>
    <row r="476" spans="1:13" ht="18.75" customHeight="1">
      <c r="A476" s="180" t="s">
        <v>1571</v>
      </c>
      <c r="B476" s="180" t="s">
        <v>1571</v>
      </c>
      <c r="C476" s="180" t="s">
        <v>778</v>
      </c>
      <c r="D476" s="180">
        <f t="shared" si="87"/>
        <v>365</v>
      </c>
      <c r="E476" s="184">
        <v>45482</v>
      </c>
      <c r="F476" s="184">
        <f t="shared" si="88"/>
        <v>45847</v>
      </c>
      <c r="G476" s="184">
        <f t="shared" si="89"/>
        <v>45817</v>
      </c>
      <c r="H476" s="180" t="str">
        <f t="shared" ca="1" si="90"/>
        <v>VENCIDO</v>
      </c>
      <c r="I476" s="183">
        <f t="shared" si="94"/>
        <v>65</v>
      </c>
      <c r="J476" s="182">
        <f t="shared" si="91"/>
        <v>100</v>
      </c>
      <c r="K476" s="182">
        <f t="shared" si="92"/>
        <v>35</v>
      </c>
      <c r="L476" s="181">
        <f t="shared" si="93"/>
        <v>0.35</v>
      </c>
      <c r="M476" s="180" t="s">
        <v>777</v>
      </c>
    </row>
    <row r="477" spans="1:13" ht="18.75" customHeight="1">
      <c r="A477" s="180" t="s">
        <v>1572</v>
      </c>
      <c r="B477" s="180" t="s">
        <v>1572</v>
      </c>
      <c r="C477" s="180" t="s">
        <v>778</v>
      </c>
      <c r="D477" s="180">
        <f t="shared" si="87"/>
        <v>365</v>
      </c>
      <c r="E477" s="184">
        <v>45485</v>
      </c>
      <c r="F477" s="184">
        <f t="shared" si="88"/>
        <v>45850</v>
      </c>
      <c r="G477" s="184">
        <f t="shared" si="89"/>
        <v>45820</v>
      </c>
      <c r="H477" s="180" t="str">
        <f t="shared" ca="1" si="90"/>
        <v>VENCIDO</v>
      </c>
      <c r="I477" s="183">
        <f t="shared" si="94"/>
        <v>65</v>
      </c>
      <c r="J477" s="182">
        <f t="shared" si="91"/>
        <v>100</v>
      </c>
      <c r="K477" s="182">
        <f t="shared" si="92"/>
        <v>35</v>
      </c>
      <c r="L477" s="181">
        <f t="shared" si="93"/>
        <v>0.35</v>
      </c>
      <c r="M477" s="180" t="s">
        <v>777</v>
      </c>
    </row>
    <row r="478" spans="1:13" ht="18.75" customHeight="1">
      <c r="A478" s="180" t="s">
        <v>1573</v>
      </c>
      <c r="B478" s="180" t="s">
        <v>1574</v>
      </c>
      <c r="C478" s="180" t="s">
        <v>778</v>
      </c>
      <c r="D478" s="180">
        <f t="shared" si="87"/>
        <v>365</v>
      </c>
      <c r="E478" s="184">
        <v>45488</v>
      </c>
      <c r="F478" s="184">
        <f t="shared" si="88"/>
        <v>45853</v>
      </c>
      <c r="G478" s="184">
        <f t="shared" si="89"/>
        <v>45823</v>
      </c>
      <c r="H478" s="180" t="str">
        <f t="shared" ca="1" si="90"/>
        <v>VENCIDO</v>
      </c>
      <c r="I478" s="183">
        <f t="shared" si="94"/>
        <v>65</v>
      </c>
      <c r="J478" s="182">
        <f t="shared" si="91"/>
        <v>100</v>
      </c>
      <c r="K478" s="182">
        <f t="shared" si="92"/>
        <v>35</v>
      </c>
      <c r="L478" s="181">
        <f t="shared" si="93"/>
        <v>0.35</v>
      </c>
      <c r="M478" s="180" t="s">
        <v>777</v>
      </c>
    </row>
    <row r="479" spans="1:13" ht="18.75" customHeight="1">
      <c r="A479" s="180" t="s">
        <v>1575</v>
      </c>
      <c r="B479" s="180" t="s">
        <v>1576</v>
      </c>
      <c r="C479" s="180" t="s">
        <v>778</v>
      </c>
      <c r="D479" s="180">
        <f t="shared" si="87"/>
        <v>365</v>
      </c>
      <c r="E479" s="184">
        <v>45488</v>
      </c>
      <c r="F479" s="184">
        <f t="shared" si="88"/>
        <v>45853</v>
      </c>
      <c r="G479" s="184">
        <f t="shared" si="89"/>
        <v>45823</v>
      </c>
      <c r="H479" s="180" t="str">
        <f t="shared" ca="1" si="90"/>
        <v>VENCIDO</v>
      </c>
      <c r="I479" s="183">
        <f t="shared" si="94"/>
        <v>65</v>
      </c>
      <c r="J479" s="182">
        <f t="shared" si="91"/>
        <v>100</v>
      </c>
      <c r="K479" s="182">
        <f t="shared" si="92"/>
        <v>35</v>
      </c>
      <c r="L479" s="181">
        <f t="shared" si="93"/>
        <v>0.35</v>
      </c>
      <c r="M479" s="180" t="s">
        <v>777</v>
      </c>
    </row>
    <row r="480" spans="1:13" ht="18.75" customHeight="1">
      <c r="A480" s="180" t="s">
        <v>1577</v>
      </c>
      <c r="B480" s="180" t="s">
        <v>1577</v>
      </c>
      <c r="C480" s="180" t="s">
        <v>778</v>
      </c>
      <c r="D480" s="180">
        <f t="shared" si="87"/>
        <v>365</v>
      </c>
      <c r="E480" s="184">
        <v>45488</v>
      </c>
      <c r="F480" s="184">
        <f t="shared" si="88"/>
        <v>45853</v>
      </c>
      <c r="G480" s="184">
        <f t="shared" si="89"/>
        <v>45823</v>
      </c>
      <c r="H480" s="180" t="str">
        <f t="shared" ca="1" si="90"/>
        <v>VENCIDO</v>
      </c>
      <c r="I480" s="183">
        <f t="shared" si="94"/>
        <v>65</v>
      </c>
      <c r="J480" s="182">
        <f t="shared" si="91"/>
        <v>100</v>
      </c>
      <c r="K480" s="182">
        <f t="shared" si="92"/>
        <v>35</v>
      </c>
      <c r="L480" s="181">
        <f t="shared" si="93"/>
        <v>0.35</v>
      </c>
      <c r="M480" s="180" t="s">
        <v>777</v>
      </c>
    </row>
    <row r="481" spans="1:13" ht="18.75" customHeight="1">
      <c r="A481" s="180" t="s">
        <v>992</v>
      </c>
      <c r="B481" s="180" t="s">
        <v>993</v>
      </c>
      <c r="C481" s="180" t="s">
        <v>781</v>
      </c>
      <c r="D481" s="180">
        <f t="shared" ref="D481:D542" si="95">IF(C481="A1 - 1 ano PJ",365,IF(C481="A1 - 1 ano PF",365,(365*3)))</f>
        <v>365</v>
      </c>
      <c r="E481" s="184">
        <v>45495</v>
      </c>
      <c r="F481" s="184">
        <f t="shared" ref="F481:F542" si="96">E481+D481</f>
        <v>45860</v>
      </c>
      <c r="G481" s="184">
        <f t="shared" ref="G481:G542" si="97">F481-30</f>
        <v>45830</v>
      </c>
      <c r="H481" s="180" t="str">
        <f t="shared" ref="H481:H542" ca="1" si="98">IF($A$6&lt;G481,"VÁLIDO",IF($A$6&gt;F481,"VENCIDO","A VENCER"))</f>
        <v>VENCIDO</v>
      </c>
      <c r="I481" s="183">
        <v>75</v>
      </c>
      <c r="J481" s="182">
        <v>150</v>
      </c>
      <c r="K481" s="182">
        <f t="shared" ref="K481:K542" si="99">J481-I481</f>
        <v>75</v>
      </c>
      <c r="L481" s="181">
        <f t="shared" ref="L481:L542" si="100">K481/J481</f>
        <v>0.5</v>
      </c>
      <c r="M481" s="180" t="s">
        <v>777</v>
      </c>
    </row>
    <row r="482" spans="1:13" ht="18.75" customHeight="1">
      <c r="A482" s="180" t="s">
        <v>106</v>
      </c>
      <c r="B482" s="180" t="s">
        <v>106</v>
      </c>
      <c r="C482" s="180" t="s">
        <v>802</v>
      </c>
      <c r="D482" s="180">
        <f t="shared" si="95"/>
        <v>1095</v>
      </c>
      <c r="E482" s="184">
        <v>45497</v>
      </c>
      <c r="F482" s="184">
        <f t="shared" si="96"/>
        <v>46592</v>
      </c>
      <c r="G482" s="184">
        <f t="shared" si="97"/>
        <v>46562</v>
      </c>
      <c r="H482" s="180" t="str">
        <f t="shared" ca="1" si="98"/>
        <v>VÁLIDO</v>
      </c>
      <c r="I482" s="183">
        <v>55</v>
      </c>
      <c r="J482" s="182">
        <v>260</v>
      </c>
      <c r="K482" s="182">
        <f t="shared" si="99"/>
        <v>205</v>
      </c>
      <c r="L482" s="181">
        <f t="shared" si="100"/>
        <v>0.78846153846153844</v>
      </c>
      <c r="M482" s="180" t="s">
        <v>777</v>
      </c>
    </row>
    <row r="483" spans="1:13" ht="18.75" customHeight="1">
      <c r="A483" s="180" t="s">
        <v>1578</v>
      </c>
      <c r="B483" s="180" t="s">
        <v>1578</v>
      </c>
      <c r="C483" s="180" t="s">
        <v>802</v>
      </c>
      <c r="D483" s="180">
        <f t="shared" si="95"/>
        <v>1095</v>
      </c>
      <c r="E483" s="184">
        <v>45502</v>
      </c>
      <c r="F483" s="184">
        <f t="shared" si="96"/>
        <v>46597</v>
      </c>
      <c r="G483" s="184">
        <f t="shared" si="97"/>
        <v>46567</v>
      </c>
      <c r="H483" s="180" t="str">
        <f t="shared" ca="1" si="98"/>
        <v>VÁLIDO</v>
      </c>
      <c r="I483" s="183">
        <v>55</v>
      </c>
      <c r="J483" s="182">
        <v>260</v>
      </c>
      <c r="K483" s="182">
        <f t="shared" si="99"/>
        <v>205</v>
      </c>
      <c r="L483" s="181">
        <f t="shared" si="100"/>
        <v>0.78846153846153844</v>
      </c>
      <c r="M483" s="180" t="s">
        <v>777</v>
      </c>
    </row>
    <row r="484" spans="1:13" ht="18.75" customHeight="1">
      <c r="A484" s="180" t="s">
        <v>1579</v>
      </c>
      <c r="B484" s="180" t="s">
        <v>1579</v>
      </c>
      <c r="C484" s="180" t="s">
        <v>778</v>
      </c>
      <c r="D484" s="180">
        <f t="shared" si="95"/>
        <v>365</v>
      </c>
      <c r="E484" s="184">
        <v>45502</v>
      </c>
      <c r="F484" s="184">
        <f t="shared" si="96"/>
        <v>45867</v>
      </c>
      <c r="G484" s="184">
        <f t="shared" si="97"/>
        <v>45837</v>
      </c>
      <c r="H484" s="180" t="str">
        <f t="shared" ca="1" si="98"/>
        <v>VENCIDO</v>
      </c>
      <c r="I484" s="183">
        <f t="shared" ref="I484:I542" si="101">VLOOKUP(C484,$M$3:$O$6,2,0)</f>
        <v>65</v>
      </c>
      <c r="J484" s="182">
        <f t="shared" ref="J484:J542" si="102">VLOOKUP(C484,$M$3:$O$6,3,0)</f>
        <v>100</v>
      </c>
      <c r="K484" s="182">
        <f t="shared" si="99"/>
        <v>35</v>
      </c>
      <c r="L484" s="181">
        <f t="shared" si="100"/>
        <v>0.35</v>
      </c>
      <c r="M484" s="180" t="s">
        <v>777</v>
      </c>
    </row>
    <row r="485" spans="1:13" ht="18.75" customHeight="1">
      <c r="A485" s="451" t="s">
        <v>1583</v>
      </c>
      <c r="B485" s="452"/>
      <c r="C485" s="452"/>
      <c r="D485" s="452"/>
      <c r="E485" s="452"/>
      <c r="F485" s="452"/>
      <c r="G485" s="452"/>
      <c r="H485" s="452"/>
      <c r="I485" s="452"/>
      <c r="J485" s="452"/>
      <c r="K485" s="452"/>
      <c r="L485" s="452"/>
      <c r="M485" s="453"/>
    </row>
    <row r="486" spans="1:13" ht="18.75" customHeight="1">
      <c r="A486" s="180" t="s">
        <v>1584</v>
      </c>
      <c r="B486" s="180" t="s">
        <v>1584</v>
      </c>
      <c r="C486" s="180" t="s">
        <v>778</v>
      </c>
      <c r="D486" s="180">
        <f t="shared" si="95"/>
        <v>365</v>
      </c>
      <c r="E486" s="184">
        <v>45518</v>
      </c>
      <c r="F486" s="184">
        <f t="shared" si="96"/>
        <v>45883</v>
      </c>
      <c r="G486" s="184">
        <f t="shared" si="97"/>
        <v>45853</v>
      </c>
      <c r="H486" s="180" t="str">
        <f t="shared" ca="1" si="98"/>
        <v>VENCIDO</v>
      </c>
      <c r="I486" s="183">
        <v>125</v>
      </c>
      <c r="J486" s="182">
        <v>190</v>
      </c>
      <c r="K486" s="182">
        <f t="shared" si="99"/>
        <v>65</v>
      </c>
      <c r="L486" s="181">
        <f t="shared" si="100"/>
        <v>0.34210526315789475</v>
      </c>
      <c r="M486" s="180" t="s">
        <v>777</v>
      </c>
    </row>
    <row r="487" spans="1:13" ht="18.75" customHeight="1">
      <c r="A487" s="180" t="s">
        <v>870</v>
      </c>
      <c r="B487" s="180" t="s">
        <v>870</v>
      </c>
      <c r="C487" s="180" t="s">
        <v>781</v>
      </c>
      <c r="D487" s="180">
        <f t="shared" si="95"/>
        <v>365</v>
      </c>
      <c r="E487" s="184">
        <v>45519</v>
      </c>
      <c r="F487" s="184">
        <f t="shared" si="96"/>
        <v>45884</v>
      </c>
      <c r="G487" s="184">
        <f t="shared" si="97"/>
        <v>45854</v>
      </c>
      <c r="H487" s="180" t="str">
        <f t="shared" ca="1" si="98"/>
        <v>VENCIDO</v>
      </c>
      <c r="I487" s="183">
        <v>75</v>
      </c>
      <c r="J487" s="182">
        <v>150</v>
      </c>
      <c r="K487" s="182">
        <f t="shared" si="99"/>
        <v>75</v>
      </c>
      <c r="L487" s="181">
        <f t="shared" si="100"/>
        <v>0.5</v>
      </c>
      <c r="M487" s="180" t="s">
        <v>777</v>
      </c>
    </row>
    <row r="488" spans="1:13" ht="18.75" customHeight="1">
      <c r="A488" s="180" t="s">
        <v>786</v>
      </c>
      <c r="B488" s="180" t="s">
        <v>786</v>
      </c>
      <c r="C488" s="180" t="s">
        <v>802</v>
      </c>
      <c r="D488" s="180">
        <f t="shared" si="95"/>
        <v>1095</v>
      </c>
      <c r="E488" s="184">
        <v>45520</v>
      </c>
      <c r="F488" s="184">
        <f t="shared" si="96"/>
        <v>46615</v>
      </c>
      <c r="G488" s="184">
        <f t="shared" si="97"/>
        <v>46585</v>
      </c>
      <c r="H488" s="180" t="str">
        <f t="shared" ca="1" si="98"/>
        <v>VÁLIDO</v>
      </c>
      <c r="I488" s="183">
        <v>55</v>
      </c>
      <c r="J488" s="182">
        <v>260</v>
      </c>
      <c r="K488" s="182">
        <f t="shared" si="99"/>
        <v>205</v>
      </c>
      <c r="L488" s="181">
        <f t="shared" si="100"/>
        <v>0.78846153846153844</v>
      </c>
      <c r="M488" s="180" t="s">
        <v>777</v>
      </c>
    </row>
    <row r="489" spans="1:13" ht="18.75" customHeight="1">
      <c r="A489" s="180" t="s">
        <v>1585</v>
      </c>
      <c r="B489" s="180" t="s">
        <v>1585</v>
      </c>
      <c r="C489" s="180" t="s">
        <v>785</v>
      </c>
      <c r="D489" s="180">
        <f t="shared" si="95"/>
        <v>1095</v>
      </c>
      <c r="E489" s="184">
        <v>45520</v>
      </c>
      <c r="F489" s="184">
        <f t="shared" si="96"/>
        <v>46615</v>
      </c>
      <c r="G489" s="184">
        <f t="shared" si="97"/>
        <v>46585</v>
      </c>
      <c r="H489" s="180" t="str">
        <f t="shared" ca="1" si="98"/>
        <v>VÁLIDO</v>
      </c>
      <c r="I489" s="183">
        <v>85</v>
      </c>
      <c r="J489" s="182">
        <v>240</v>
      </c>
      <c r="K489" s="182">
        <f t="shared" si="99"/>
        <v>155</v>
      </c>
      <c r="L489" s="181">
        <f t="shared" si="100"/>
        <v>0.64583333333333337</v>
      </c>
      <c r="M489" s="180" t="s">
        <v>777</v>
      </c>
    </row>
    <row r="490" spans="1:13" ht="18.75" customHeight="1">
      <c r="A490" s="180" t="s">
        <v>1586</v>
      </c>
      <c r="B490" s="180" t="s">
        <v>1586</v>
      </c>
      <c r="C490" s="180" t="s">
        <v>781</v>
      </c>
      <c r="D490" s="180">
        <f t="shared" si="95"/>
        <v>365</v>
      </c>
      <c r="E490" s="184">
        <v>45523</v>
      </c>
      <c r="F490" s="184">
        <f t="shared" si="96"/>
        <v>45888</v>
      </c>
      <c r="G490" s="184">
        <f t="shared" si="97"/>
        <v>45858</v>
      </c>
      <c r="H490" s="180" t="str">
        <f t="shared" ca="1" si="98"/>
        <v>VENCIDO</v>
      </c>
      <c r="I490" s="183">
        <v>75</v>
      </c>
      <c r="J490" s="182">
        <v>150</v>
      </c>
      <c r="K490" s="182">
        <f t="shared" si="99"/>
        <v>75</v>
      </c>
      <c r="L490" s="181">
        <f t="shared" si="100"/>
        <v>0.5</v>
      </c>
      <c r="M490" s="180" t="s">
        <v>777</v>
      </c>
    </row>
    <row r="491" spans="1:13" ht="18.75" customHeight="1">
      <c r="A491" s="180" t="s">
        <v>1587</v>
      </c>
      <c r="B491" s="180" t="s">
        <v>1587</v>
      </c>
      <c r="C491" s="180" t="s">
        <v>778</v>
      </c>
      <c r="D491" s="180">
        <f t="shared" si="95"/>
        <v>365</v>
      </c>
      <c r="E491" s="184">
        <v>45523</v>
      </c>
      <c r="F491" s="184">
        <f t="shared" si="96"/>
        <v>45888</v>
      </c>
      <c r="G491" s="184">
        <f t="shared" si="97"/>
        <v>45858</v>
      </c>
      <c r="H491" s="180" t="str">
        <f t="shared" ca="1" si="98"/>
        <v>VENCIDO</v>
      </c>
      <c r="I491" s="183">
        <v>45</v>
      </c>
      <c r="J491" s="182">
        <f t="shared" si="102"/>
        <v>100</v>
      </c>
      <c r="K491" s="182">
        <f t="shared" si="99"/>
        <v>55</v>
      </c>
      <c r="L491" s="181">
        <f t="shared" si="100"/>
        <v>0.55000000000000004</v>
      </c>
      <c r="M491" s="180" t="s">
        <v>777</v>
      </c>
    </row>
    <row r="492" spans="1:13" ht="18.75" customHeight="1">
      <c r="A492" s="180" t="s">
        <v>1588</v>
      </c>
      <c r="B492" s="180" t="s">
        <v>1588</v>
      </c>
      <c r="C492" s="180" t="s">
        <v>778</v>
      </c>
      <c r="D492" s="180">
        <f t="shared" si="95"/>
        <v>365</v>
      </c>
      <c r="E492" s="184">
        <v>45524</v>
      </c>
      <c r="F492" s="184">
        <f t="shared" si="96"/>
        <v>45889</v>
      </c>
      <c r="G492" s="184">
        <f t="shared" si="97"/>
        <v>45859</v>
      </c>
      <c r="H492" s="180" t="str">
        <f t="shared" ca="1" si="98"/>
        <v>VENCIDO</v>
      </c>
      <c r="I492" s="183">
        <v>125</v>
      </c>
      <c r="J492" s="182">
        <v>190</v>
      </c>
      <c r="K492" s="182">
        <f t="shared" si="99"/>
        <v>65</v>
      </c>
      <c r="L492" s="181">
        <f t="shared" si="100"/>
        <v>0.34210526315789475</v>
      </c>
      <c r="M492" s="180" t="s">
        <v>777</v>
      </c>
    </row>
    <row r="493" spans="1:13" ht="18.75" customHeight="1">
      <c r="A493" s="180" t="s">
        <v>1589</v>
      </c>
      <c r="B493" s="180" t="s">
        <v>1589</v>
      </c>
      <c r="C493" s="180" t="s">
        <v>778</v>
      </c>
      <c r="D493" s="180">
        <f t="shared" si="95"/>
        <v>365</v>
      </c>
      <c r="E493" s="184">
        <v>45524</v>
      </c>
      <c r="F493" s="184">
        <f t="shared" si="96"/>
        <v>45889</v>
      </c>
      <c r="G493" s="184">
        <f t="shared" si="97"/>
        <v>45859</v>
      </c>
      <c r="H493" s="180" t="str">
        <f t="shared" ca="1" si="98"/>
        <v>VENCIDO</v>
      </c>
      <c r="I493" s="183">
        <v>65</v>
      </c>
      <c r="J493" s="182">
        <f t="shared" si="102"/>
        <v>100</v>
      </c>
      <c r="K493" s="182">
        <f t="shared" si="99"/>
        <v>35</v>
      </c>
      <c r="L493" s="181">
        <f t="shared" si="100"/>
        <v>0.35</v>
      </c>
      <c r="M493" s="180" t="s">
        <v>777</v>
      </c>
    </row>
    <row r="494" spans="1:13" ht="18.75" customHeight="1">
      <c r="A494" s="180" t="s">
        <v>1590</v>
      </c>
      <c r="B494" s="180" t="s">
        <v>1590</v>
      </c>
      <c r="C494" s="180" t="s">
        <v>802</v>
      </c>
      <c r="D494" s="180">
        <f t="shared" si="95"/>
        <v>1095</v>
      </c>
      <c r="E494" s="184">
        <v>45525</v>
      </c>
      <c r="F494" s="184">
        <f t="shared" si="96"/>
        <v>46620</v>
      </c>
      <c r="G494" s="184">
        <f t="shared" si="97"/>
        <v>46590</v>
      </c>
      <c r="H494" s="180" t="str">
        <f t="shared" ca="1" si="98"/>
        <v>VÁLIDO</v>
      </c>
      <c r="I494" s="183">
        <v>135</v>
      </c>
      <c r="J494" s="182">
        <v>260</v>
      </c>
      <c r="K494" s="182">
        <f t="shared" si="99"/>
        <v>125</v>
      </c>
      <c r="L494" s="181">
        <f t="shared" si="100"/>
        <v>0.48076923076923078</v>
      </c>
      <c r="M494" s="180" t="s">
        <v>777</v>
      </c>
    </row>
    <row r="495" spans="1:13" ht="18.75" customHeight="1">
      <c r="A495" s="180" t="s">
        <v>863</v>
      </c>
      <c r="B495" s="180" t="s">
        <v>863</v>
      </c>
      <c r="C495" s="180" t="s">
        <v>781</v>
      </c>
      <c r="D495" s="180">
        <f t="shared" si="95"/>
        <v>365</v>
      </c>
      <c r="E495" s="184">
        <v>45526</v>
      </c>
      <c r="F495" s="184">
        <f t="shared" si="96"/>
        <v>45891</v>
      </c>
      <c r="G495" s="184">
        <f t="shared" si="97"/>
        <v>45861</v>
      </c>
      <c r="H495" s="180" t="str">
        <f t="shared" ca="1" si="98"/>
        <v>VENCIDO</v>
      </c>
      <c r="I495" s="183">
        <v>75</v>
      </c>
      <c r="J495" s="182">
        <v>150</v>
      </c>
      <c r="K495" s="182">
        <f t="shared" si="99"/>
        <v>75</v>
      </c>
      <c r="L495" s="181">
        <f t="shared" si="100"/>
        <v>0.5</v>
      </c>
      <c r="M495" s="180" t="s">
        <v>777</v>
      </c>
    </row>
    <row r="496" spans="1:13" ht="18.75" customHeight="1">
      <c r="A496" s="180" t="s">
        <v>1591</v>
      </c>
      <c r="B496" s="180" t="s">
        <v>1591</v>
      </c>
      <c r="C496" s="180" t="s">
        <v>802</v>
      </c>
      <c r="D496" s="180">
        <f t="shared" si="95"/>
        <v>1095</v>
      </c>
      <c r="E496" s="184">
        <v>45526</v>
      </c>
      <c r="F496" s="184">
        <f t="shared" si="96"/>
        <v>46621</v>
      </c>
      <c r="G496" s="184">
        <f t="shared" si="97"/>
        <v>46591</v>
      </c>
      <c r="H496" s="180" t="str">
        <f t="shared" ca="1" si="98"/>
        <v>VÁLIDO</v>
      </c>
      <c r="I496" s="183">
        <v>135</v>
      </c>
      <c r="J496" s="182">
        <v>260</v>
      </c>
      <c r="K496" s="182">
        <f t="shared" si="99"/>
        <v>125</v>
      </c>
      <c r="L496" s="181">
        <f t="shared" si="100"/>
        <v>0.48076923076923078</v>
      </c>
      <c r="M496" s="180" t="s">
        <v>777</v>
      </c>
    </row>
    <row r="497" spans="1:13" ht="18.75" customHeight="1">
      <c r="A497" s="180" t="s">
        <v>1141</v>
      </c>
      <c r="B497" s="180" t="s">
        <v>1141</v>
      </c>
      <c r="C497" s="180" t="s">
        <v>781</v>
      </c>
      <c r="D497" s="180">
        <f t="shared" si="95"/>
        <v>365</v>
      </c>
      <c r="E497" s="184">
        <v>45527</v>
      </c>
      <c r="F497" s="184">
        <f t="shared" si="96"/>
        <v>45892</v>
      </c>
      <c r="G497" s="184">
        <f t="shared" si="97"/>
        <v>45862</v>
      </c>
      <c r="H497" s="180" t="str">
        <f t="shared" ca="1" si="98"/>
        <v>VENCIDO</v>
      </c>
      <c r="I497" s="183">
        <v>75</v>
      </c>
      <c r="J497" s="182">
        <v>150</v>
      </c>
      <c r="K497" s="182">
        <f t="shared" si="99"/>
        <v>75</v>
      </c>
      <c r="L497" s="181">
        <f t="shared" si="100"/>
        <v>0.5</v>
      </c>
      <c r="M497" s="180" t="s">
        <v>777</v>
      </c>
    </row>
    <row r="498" spans="1:13" ht="18.75" customHeight="1">
      <c r="A498" s="180" t="s">
        <v>1592</v>
      </c>
      <c r="B498" s="180" t="s">
        <v>1592</v>
      </c>
      <c r="C498" s="180" t="s">
        <v>778</v>
      </c>
      <c r="D498" s="180">
        <f t="shared" si="95"/>
        <v>365</v>
      </c>
      <c r="E498" s="184">
        <v>45532</v>
      </c>
      <c r="F498" s="184">
        <f t="shared" si="96"/>
        <v>45897</v>
      </c>
      <c r="G498" s="184">
        <f t="shared" si="97"/>
        <v>45867</v>
      </c>
      <c r="H498" s="180" t="str">
        <f t="shared" ca="1" si="98"/>
        <v>VENCIDO</v>
      </c>
      <c r="I498" s="183">
        <v>50</v>
      </c>
      <c r="J498" s="182">
        <v>230</v>
      </c>
      <c r="K498" s="182">
        <f t="shared" si="99"/>
        <v>180</v>
      </c>
      <c r="L498" s="181">
        <f t="shared" si="100"/>
        <v>0.78260869565217395</v>
      </c>
      <c r="M498" s="180" t="s">
        <v>777</v>
      </c>
    </row>
    <row r="499" spans="1:13" ht="18.75" customHeight="1">
      <c r="A499" s="180" t="s">
        <v>1593</v>
      </c>
      <c r="B499" s="180" t="s">
        <v>1593</v>
      </c>
      <c r="C499" s="180" t="s">
        <v>802</v>
      </c>
      <c r="D499" s="180">
        <f t="shared" si="95"/>
        <v>1095</v>
      </c>
      <c r="E499" s="184">
        <v>45533</v>
      </c>
      <c r="F499" s="184">
        <f t="shared" si="96"/>
        <v>46628</v>
      </c>
      <c r="G499" s="184">
        <f t="shared" si="97"/>
        <v>46598</v>
      </c>
      <c r="H499" s="180" t="str">
        <f t="shared" ca="1" si="98"/>
        <v>VÁLIDO</v>
      </c>
      <c r="I499" s="183">
        <v>135</v>
      </c>
      <c r="J499" s="182">
        <f t="shared" si="102"/>
        <v>250</v>
      </c>
      <c r="K499" s="182">
        <f t="shared" si="99"/>
        <v>115</v>
      </c>
      <c r="L499" s="181">
        <f t="shared" si="100"/>
        <v>0.46</v>
      </c>
      <c r="M499" s="180" t="s">
        <v>777</v>
      </c>
    </row>
    <row r="500" spans="1:13" ht="18.75" customHeight="1">
      <c r="A500" s="180" t="s">
        <v>1594</v>
      </c>
      <c r="B500" s="180" t="s">
        <v>1594</v>
      </c>
      <c r="C500" s="180" t="s">
        <v>778</v>
      </c>
      <c r="D500" s="180">
        <f t="shared" si="95"/>
        <v>365</v>
      </c>
      <c r="E500" s="184">
        <v>45533</v>
      </c>
      <c r="F500" s="184">
        <f t="shared" si="96"/>
        <v>45898</v>
      </c>
      <c r="G500" s="184">
        <f t="shared" si="97"/>
        <v>45868</v>
      </c>
      <c r="H500" s="180" t="str">
        <f t="shared" ca="1" si="98"/>
        <v>VENCIDO</v>
      </c>
      <c r="I500" s="183">
        <v>65</v>
      </c>
      <c r="J500" s="182">
        <f t="shared" si="102"/>
        <v>100</v>
      </c>
      <c r="K500" s="182">
        <f t="shared" si="99"/>
        <v>35</v>
      </c>
      <c r="L500" s="181">
        <f t="shared" si="100"/>
        <v>0.35</v>
      </c>
      <c r="M500" s="180" t="s">
        <v>777</v>
      </c>
    </row>
    <row r="501" spans="1:13" ht="18.75" customHeight="1">
      <c r="A501" s="180" t="s">
        <v>277</v>
      </c>
      <c r="B501" s="180" t="s">
        <v>277</v>
      </c>
      <c r="C501" s="180" t="s">
        <v>778</v>
      </c>
      <c r="D501" s="180">
        <f t="shared" si="95"/>
        <v>365</v>
      </c>
      <c r="E501" s="184">
        <v>45533</v>
      </c>
      <c r="F501" s="184">
        <f t="shared" si="96"/>
        <v>45898</v>
      </c>
      <c r="G501" s="184">
        <f t="shared" si="97"/>
        <v>45868</v>
      </c>
      <c r="H501" s="180" t="str">
        <f t="shared" ca="1" si="98"/>
        <v>VENCIDO</v>
      </c>
      <c r="I501" s="183">
        <v>65</v>
      </c>
      <c r="J501" s="182">
        <f t="shared" si="102"/>
        <v>100</v>
      </c>
      <c r="K501" s="182">
        <f t="shared" si="99"/>
        <v>35</v>
      </c>
      <c r="L501" s="181">
        <f t="shared" si="100"/>
        <v>0.35</v>
      </c>
      <c r="M501" s="180"/>
    </row>
    <row r="502" spans="1:13" ht="18.75" customHeight="1">
      <c r="A502" s="180" t="s">
        <v>1148</v>
      </c>
      <c r="B502" s="180" t="s">
        <v>1148</v>
      </c>
      <c r="C502" s="180" t="s">
        <v>781</v>
      </c>
      <c r="D502" s="180">
        <f t="shared" si="95"/>
        <v>365</v>
      </c>
      <c r="E502" s="184">
        <v>45533</v>
      </c>
      <c r="F502" s="184">
        <f t="shared" si="96"/>
        <v>45898</v>
      </c>
      <c r="G502" s="184">
        <f t="shared" si="97"/>
        <v>45868</v>
      </c>
      <c r="H502" s="180" t="str">
        <f t="shared" ca="1" si="98"/>
        <v>VENCIDO</v>
      </c>
      <c r="I502" s="183">
        <v>75</v>
      </c>
      <c r="J502" s="182">
        <v>150</v>
      </c>
      <c r="K502" s="182">
        <f t="shared" si="99"/>
        <v>75</v>
      </c>
      <c r="L502" s="181">
        <f t="shared" si="100"/>
        <v>0.5</v>
      </c>
      <c r="M502" s="180" t="s">
        <v>777</v>
      </c>
    </row>
    <row r="503" spans="1:13" ht="18.75" customHeight="1">
      <c r="A503" s="451" t="s">
        <v>1596</v>
      </c>
      <c r="B503" s="452"/>
      <c r="C503" s="452"/>
      <c r="D503" s="452"/>
      <c r="E503" s="452"/>
      <c r="F503" s="452"/>
      <c r="G503" s="452"/>
      <c r="H503" s="452"/>
      <c r="I503" s="452"/>
      <c r="J503" s="452"/>
      <c r="K503" s="452"/>
      <c r="L503" s="452"/>
      <c r="M503" s="453"/>
    </row>
    <row r="504" spans="1:13" ht="18.75" customHeight="1">
      <c r="A504" s="180" t="s">
        <v>795</v>
      </c>
      <c r="B504" s="180" t="s">
        <v>795</v>
      </c>
      <c r="C504" s="180" t="s">
        <v>781</v>
      </c>
      <c r="D504" s="180">
        <f t="shared" si="95"/>
        <v>365</v>
      </c>
      <c r="E504" s="184">
        <v>45537</v>
      </c>
      <c r="F504" s="184">
        <f t="shared" si="96"/>
        <v>45902</v>
      </c>
      <c r="G504" s="184">
        <f t="shared" si="97"/>
        <v>45872</v>
      </c>
      <c r="H504" s="180" t="str">
        <f t="shared" ca="1" si="98"/>
        <v>VENCIDO</v>
      </c>
      <c r="I504" s="183">
        <v>75</v>
      </c>
      <c r="J504" s="182">
        <v>150</v>
      </c>
      <c r="K504" s="182">
        <f t="shared" si="99"/>
        <v>75</v>
      </c>
      <c r="L504" s="181">
        <f t="shared" si="100"/>
        <v>0.5</v>
      </c>
      <c r="M504" s="180" t="s">
        <v>777</v>
      </c>
    </row>
    <row r="505" spans="1:13" ht="18.75" customHeight="1">
      <c r="A505" s="180" t="s">
        <v>1157</v>
      </c>
      <c r="B505" s="180"/>
      <c r="C505" s="180" t="s">
        <v>781</v>
      </c>
      <c r="D505" s="180">
        <f t="shared" si="95"/>
        <v>365</v>
      </c>
      <c r="E505" s="184">
        <v>45538</v>
      </c>
      <c r="F505" s="184">
        <f t="shared" si="96"/>
        <v>45903</v>
      </c>
      <c r="G505" s="184">
        <f t="shared" si="97"/>
        <v>45873</v>
      </c>
      <c r="H505" s="180" t="str">
        <f t="shared" ca="1" si="98"/>
        <v>VENCIDO</v>
      </c>
      <c r="I505" s="183">
        <v>75</v>
      </c>
      <c r="J505" s="182">
        <v>150</v>
      </c>
      <c r="K505" s="182">
        <f t="shared" si="99"/>
        <v>75</v>
      </c>
      <c r="L505" s="181">
        <f t="shared" si="100"/>
        <v>0.5</v>
      </c>
      <c r="M505" s="180" t="s">
        <v>777</v>
      </c>
    </row>
    <row r="506" spans="1:13" ht="18.75" customHeight="1">
      <c r="A506" s="180" t="s">
        <v>1597</v>
      </c>
      <c r="B506" s="180" t="s">
        <v>1597</v>
      </c>
      <c r="C506" s="180" t="s">
        <v>778</v>
      </c>
      <c r="D506" s="180">
        <f t="shared" si="95"/>
        <v>365</v>
      </c>
      <c r="E506" s="184">
        <v>45540</v>
      </c>
      <c r="F506" s="184">
        <f t="shared" si="96"/>
        <v>45905</v>
      </c>
      <c r="G506" s="184">
        <f t="shared" si="97"/>
        <v>45875</v>
      </c>
      <c r="H506" s="180" t="str">
        <f t="shared" ca="1" si="98"/>
        <v>VENCIDO</v>
      </c>
      <c r="I506" s="183">
        <v>65</v>
      </c>
      <c r="J506" s="182">
        <f t="shared" si="102"/>
        <v>100</v>
      </c>
      <c r="K506" s="182">
        <f t="shared" si="99"/>
        <v>35</v>
      </c>
      <c r="L506" s="181">
        <f t="shared" si="100"/>
        <v>0.35</v>
      </c>
      <c r="M506" s="180" t="s">
        <v>777</v>
      </c>
    </row>
    <row r="507" spans="1:13" ht="18.75" customHeight="1">
      <c r="A507" s="180" t="s">
        <v>1173</v>
      </c>
      <c r="B507" s="180" t="s">
        <v>1173</v>
      </c>
      <c r="C507" s="180" t="s">
        <v>778</v>
      </c>
      <c r="D507" s="180">
        <f t="shared" si="95"/>
        <v>365</v>
      </c>
      <c r="E507" s="184">
        <v>45545</v>
      </c>
      <c r="F507" s="184">
        <f t="shared" si="96"/>
        <v>45910</v>
      </c>
      <c r="G507" s="184">
        <f t="shared" si="97"/>
        <v>45880</v>
      </c>
      <c r="H507" s="180" t="str">
        <f t="shared" ca="1" si="98"/>
        <v>VENCIDO</v>
      </c>
      <c r="I507" s="183">
        <f t="shared" si="101"/>
        <v>65</v>
      </c>
      <c r="J507" s="182">
        <f t="shared" si="102"/>
        <v>100</v>
      </c>
      <c r="K507" s="182">
        <f t="shared" si="99"/>
        <v>35</v>
      </c>
      <c r="L507" s="181">
        <f t="shared" si="100"/>
        <v>0.35</v>
      </c>
      <c r="M507" s="180" t="s">
        <v>777</v>
      </c>
    </row>
    <row r="508" spans="1:13" ht="18.75" customHeight="1">
      <c r="A508" s="180" t="s">
        <v>1118</v>
      </c>
      <c r="B508" s="180" t="s">
        <v>1118</v>
      </c>
      <c r="C508" s="180" t="s">
        <v>778</v>
      </c>
      <c r="D508" s="180">
        <f t="shared" si="95"/>
        <v>365</v>
      </c>
      <c r="E508" s="184">
        <v>45547</v>
      </c>
      <c r="F508" s="184">
        <f t="shared" si="96"/>
        <v>45912</v>
      </c>
      <c r="G508" s="184">
        <f t="shared" si="97"/>
        <v>45882</v>
      </c>
      <c r="H508" s="180" t="str">
        <f t="shared" ca="1" si="98"/>
        <v>VENCIDO</v>
      </c>
      <c r="I508" s="183">
        <f t="shared" si="101"/>
        <v>65</v>
      </c>
      <c r="J508" s="182">
        <f t="shared" si="102"/>
        <v>100</v>
      </c>
      <c r="K508" s="182">
        <f t="shared" si="99"/>
        <v>35</v>
      </c>
      <c r="L508" s="181">
        <f t="shared" si="100"/>
        <v>0.35</v>
      </c>
      <c r="M508" s="180" t="s">
        <v>777</v>
      </c>
    </row>
    <row r="509" spans="1:13" ht="18.75" customHeight="1">
      <c r="A509" s="180" t="s">
        <v>756</v>
      </c>
      <c r="B509" s="180" t="s">
        <v>756</v>
      </c>
      <c r="C509" s="180" t="s">
        <v>781</v>
      </c>
      <c r="D509" s="180">
        <f t="shared" si="95"/>
        <v>365</v>
      </c>
      <c r="E509" s="184">
        <v>45551</v>
      </c>
      <c r="F509" s="184">
        <f t="shared" si="96"/>
        <v>45916</v>
      </c>
      <c r="G509" s="184">
        <f t="shared" si="97"/>
        <v>45886</v>
      </c>
      <c r="H509" s="180" t="str">
        <f t="shared" ca="1" si="98"/>
        <v>VENCIDO</v>
      </c>
      <c r="I509" s="183">
        <v>75</v>
      </c>
      <c r="J509" s="182">
        <v>150</v>
      </c>
      <c r="K509" s="182">
        <f t="shared" si="99"/>
        <v>75</v>
      </c>
      <c r="L509" s="181">
        <f t="shared" si="100"/>
        <v>0.5</v>
      </c>
      <c r="M509" s="180" t="s">
        <v>777</v>
      </c>
    </row>
    <row r="510" spans="1:13" ht="18.75" customHeight="1">
      <c r="A510" s="180" t="s">
        <v>860</v>
      </c>
      <c r="B510" s="180" t="s">
        <v>860</v>
      </c>
      <c r="C510" s="180" t="s">
        <v>778</v>
      </c>
      <c r="D510" s="180">
        <f t="shared" si="95"/>
        <v>365</v>
      </c>
      <c r="E510" s="184">
        <v>45552</v>
      </c>
      <c r="F510" s="184">
        <f t="shared" si="96"/>
        <v>45917</v>
      </c>
      <c r="G510" s="184">
        <f t="shared" si="97"/>
        <v>45887</v>
      </c>
      <c r="H510" s="180" t="str">
        <f t="shared" ca="1" si="98"/>
        <v>VENCIDO</v>
      </c>
      <c r="I510" s="183">
        <f t="shared" si="101"/>
        <v>65</v>
      </c>
      <c r="J510" s="182">
        <f t="shared" si="102"/>
        <v>100</v>
      </c>
      <c r="K510" s="182">
        <f t="shared" si="99"/>
        <v>35</v>
      </c>
      <c r="L510" s="181">
        <f t="shared" si="100"/>
        <v>0.35</v>
      </c>
      <c r="M510" s="180"/>
    </row>
    <row r="511" spans="1:13" ht="18.75" customHeight="1">
      <c r="A511" s="180" t="s">
        <v>861</v>
      </c>
      <c r="B511" s="180" t="s">
        <v>860</v>
      </c>
      <c r="C511" s="180" t="s">
        <v>781</v>
      </c>
      <c r="D511" s="180">
        <f t="shared" si="95"/>
        <v>365</v>
      </c>
      <c r="E511" s="184">
        <v>45552</v>
      </c>
      <c r="F511" s="184">
        <f t="shared" si="96"/>
        <v>45917</v>
      </c>
      <c r="G511" s="184">
        <f t="shared" si="97"/>
        <v>45887</v>
      </c>
      <c r="H511" s="180" t="str">
        <f t="shared" ca="1" si="98"/>
        <v>VENCIDO</v>
      </c>
      <c r="I511" s="183">
        <v>75</v>
      </c>
      <c r="J511" s="182">
        <v>150</v>
      </c>
      <c r="K511" s="182">
        <f t="shared" si="99"/>
        <v>75</v>
      </c>
      <c r="L511" s="181">
        <f t="shared" si="100"/>
        <v>0.5</v>
      </c>
      <c r="M511" s="180"/>
    </row>
    <row r="512" spans="1:13" ht="18.75" customHeight="1">
      <c r="A512" s="180" t="s">
        <v>1598</v>
      </c>
      <c r="B512" s="180" t="s">
        <v>1598</v>
      </c>
      <c r="C512" s="180" t="s">
        <v>802</v>
      </c>
      <c r="D512" s="180">
        <f t="shared" si="95"/>
        <v>1095</v>
      </c>
      <c r="E512" s="184">
        <v>45554</v>
      </c>
      <c r="F512" s="184">
        <f t="shared" si="96"/>
        <v>46649</v>
      </c>
      <c r="G512" s="184">
        <f t="shared" si="97"/>
        <v>46619</v>
      </c>
      <c r="H512" s="180" t="str">
        <f t="shared" ca="1" si="98"/>
        <v>VÁLIDO</v>
      </c>
      <c r="I512" s="183">
        <v>135</v>
      </c>
      <c r="J512" s="182">
        <v>260</v>
      </c>
      <c r="K512" s="182">
        <f t="shared" si="99"/>
        <v>125</v>
      </c>
      <c r="L512" s="181">
        <f t="shared" si="100"/>
        <v>0.48076923076923078</v>
      </c>
      <c r="M512" s="180" t="s">
        <v>777</v>
      </c>
    </row>
    <row r="513" spans="1:13" ht="18.75" customHeight="1">
      <c r="A513" s="180" t="s">
        <v>1599</v>
      </c>
      <c r="B513" s="180" t="s">
        <v>1599</v>
      </c>
      <c r="C513" s="180" t="s">
        <v>802</v>
      </c>
      <c r="D513" s="180">
        <f t="shared" si="95"/>
        <v>1095</v>
      </c>
      <c r="E513" s="184">
        <v>45555</v>
      </c>
      <c r="F513" s="184">
        <f t="shared" si="96"/>
        <v>46650</v>
      </c>
      <c r="G513" s="184">
        <f t="shared" si="97"/>
        <v>46620</v>
      </c>
      <c r="H513" s="180" t="str">
        <f t="shared" ca="1" si="98"/>
        <v>VÁLIDO</v>
      </c>
      <c r="I513" s="183">
        <v>135</v>
      </c>
      <c r="J513" s="182">
        <v>260</v>
      </c>
      <c r="K513" s="182">
        <f t="shared" si="99"/>
        <v>125</v>
      </c>
      <c r="L513" s="181">
        <f t="shared" si="100"/>
        <v>0.48076923076923078</v>
      </c>
      <c r="M513" s="180" t="s">
        <v>777</v>
      </c>
    </row>
    <row r="514" spans="1:13" ht="18.75" customHeight="1">
      <c r="A514" s="180" t="s">
        <v>1098</v>
      </c>
      <c r="B514" s="180" t="s">
        <v>1098</v>
      </c>
      <c r="C514" s="180" t="s">
        <v>785</v>
      </c>
      <c r="D514" s="180">
        <f t="shared" si="95"/>
        <v>1095</v>
      </c>
      <c r="E514" s="184">
        <v>45555</v>
      </c>
      <c r="F514" s="184">
        <f t="shared" si="96"/>
        <v>46650</v>
      </c>
      <c r="G514" s="184">
        <f t="shared" si="97"/>
        <v>46620</v>
      </c>
      <c r="H514" s="180" t="str">
        <f t="shared" ca="1" si="98"/>
        <v>VÁLIDO</v>
      </c>
      <c r="I514" s="183">
        <v>135</v>
      </c>
      <c r="J514" s="182">
        <v>270</v>
      </c>
      <c r="K514" s="182">
        <f t="shared" si="99"/>
        <v>135</v>
      </c>
      <c r="L514" s="181">
        <f t="shared" si="100"/>
        <v>0.5</v>
      </c>
      <c r="M514" s="180" t="s">
        <v>777</v>
      </c>
    </row>
    <row r="515" spans="1:13" ht="18.75" customHeight="1">
      <c r="A515" s="180" t="s">
        <v>1388</v>
      </c>
      <c r="B515" s="180" t="s">
        <v>1388</v>
      </c>
      <c r="C515" s="180" t="s">
        <v>778</v>
      </c>
      <c r="D515" s="180">
        <f t="shared" si="95"/>
        <v>365</v>
      </c>
      <c r="E515" s="184">
        <v>45561</v>
      </c>
      <c r="F515" s="184">
        <f t="shared" si="96"/>
        <v>45926</v>
      </c>
      <c r="G515" s="184">
        <f t="shared" si="97"/>
        <v>45896</v>
      </c>
      <c r="H515" s="180" t="str">
        <f t="shared" ca="1" si="98"/>
        <v>VENCIDO</v>
      </c>
      <c r="I515" s="183">
        <f t="shared" si="101"/>
        <v>65</v>
      </c>
      <c r="J515" s="182">
        <f t="shared" si="102"/>
        <v>100</v>
      </c>
      <c r="K515" s="182">
        <f t="shared" si="99"/>
        <v>35</v>
      </c>
      <c r="L515" s="181">
        <f t="shared" si="100"/>
        <v>0.35</v>
      </c>
      <c r="M515" s="180" t="s">
        <v>777</v>
      </c>
    </row>
    <row r="516" spans="1:13" ht="18.75" customHeight="1">
      <c r="A516" s="180" t="s">
        <v>1600</v>
      </c>
      <c r="B516" s="180" t="s">
        <v>1600</v>
      </c>
      <c r="C516" s="180" t="s">
        <v>778</v>
      </c>
      <c r="D516" s="180">
        <f t="shared" si="95"/>
        <v>365</v>
      </c>
      <c r="E516" s="184">
        <v>45565</v>
      </c>
      <c r="F516" s="184">
        <f t="shared" si="96"/>
        <v>45930</v>
      </c>
      <c r="G516" s="184">
        <f t="shared" si="97"/>
        <v>45900</v>
      </c>
      <c r="H516" s="180" t="str">
        <f t="shared" ca="1" si="98"/>
        <v>VENCIDO</v>
      </c>
      <c r="I516" s="183">
        <f t="shared" si="101"/>
        <v>65</v>
      </c>
      <c r="J516" s="182">
        <f t="shared" si="102"/>
        <v>100</v>
      </c>
      <c r="K516" s="182">
        <f t="shared" si="99"/>
        <v>35</v>
      </c>
      <c r="L516" s="181">
        <f t="shared" si="100"/>
        <v>0.35</v>
      </c>
      <c r="M516" s="180" t="s">
        <v>777</v>
      </c>
    </row>
    <row r="517" spans="1:13" ht="18.75" customHeight="1">
      <c r="A517" s="180" t="s">
        <v>1601</v>
      </c>
      <c r="B517" s="180"/>
      <c r="C517" s="180" t="s">
        <v>781</v>
      </c>
      <c r="D517" s="180">
        <f t="shared" si="95"/>
        <v>365</v>
      </c>
      <c r="E517" s="184">
        <v>45565</v>
      </c>
      <c r="F517" s="184">
        <f t="shared" si="96"/>
        <v>45930</v>
      </c>
      <c r="G517" s="184">
        <f t="shared" si="97"/>
        <v>45900</v>
      </c>
      <c r="H517" s="180" t="str">
        <f t="shared" ca="1" si="98"/>
        <v>VENCIDO</v>
      </c>
      <c r="I517" s="183">
        <v>75</v>
      </c>
      <c r="J517" s="182">
        <v>150</v>
      </c>
      <c r="K517" s="182">
        <f t="shared" si="99"/>
        <v>75</v>
      </c>
      <c r="L517" s="181">
        <f t="shared" si="100"/>
        <v>0.5</v>
      </c>
      <c r="M517" s="180" t="s">
        <v>777</v>
      </c>
    </row>
    <row r="518" spans="1:13" ht="18.75" customHeight="1">
      <c r="A518" s="451" t="s">
        <v>1602</v>
      </c>
      <c r="B518" s="452"/>
      <c r="C518" s="452"/>
      <c r="D518" s="452"/>
      <c r="E518" s="452"/>
      <c r="F518" s="452"/>
      <c r="G518" s="452"/>
      <c r="H518" s="452"/>
      <c r="I518" s="452"/>
      <c r="J518" s="452"/>
      <c r="K518" s="452"/>
      <c r="L518" s="452"/>
      <c r="M518" s="453"/>
    </row>
    <row r="519" spans="1:13" ht="18.75" customHeight="1">
      <c r="A519" s="180" t="s">
        <v>1607</v>
      </c>
      <c r="B519" s="180" t="s">
        <v>1607</v>
      </c>
      <c r="C519" s="180" t="s">
        <v>778</v>
      </c>
      <c r="D519" s="180">
        <f t="shared" si="95"/>
        <v>365</v>
      </c>
      <c r="E519" s="184">
        <v>45566</v>
      </c>
      <c r="F519" s="184">
        <f t="shared" si="96"/>
        <v>45931</v>
      </c>
      <c r="G519" s="184">
        <f t="shared" si="97"/>
        <v>45901</v>
      </c>
      <c r="H519" s="180" t="str">
        <f t="shared" ca="1" si="98"/>
        <v>VENCIDO</v>
      </c>
      <c r="I519" s="183">
        <f t="shared" si="101"/>
        <v>65</v>
      </c>
      <c r="J519" s="182">
        <f t="shared" si="102"/>
        <v>100</v>
      </c>
      <c r="K519" s="182">
        <f t="shared" si="99"/>
        <v>35</v>
      </c>
      <c r="L519" s="181">
        <f t="shared" si="100"/>
        <v>0.35</v>
      </c>
      <c r="M519" s="180" t="s">
        <v>777</v>
      </c>
    </row>
    <row r="520" spans="1:13" ht="18.75" customHeight="1">
      <c r="A520" s="180" t="s">
        <v>1608</v>
      </c>
      <c r="B520" s="180" t="s">
        <v>1608</v>
      </c>
      <c r="C520" s="180" t="s">
        <v>778</v>
      </c>
      <c r="D520" s="180">
        <f t="shared" si="95"/>
        <v>365</v>
      </c>
      <c r="E520" s="184">
        <v>45566</v>
      </c>
      <c r="F520" s="184">
        <f t="shared" si="96"/>
        <v>45931</v>
      </c>
      <c r="G520" s="184">
        <f t="shared" si="97"/>
        <v>45901</v>
      </c>
      <c r="H520" s="180" t="str">
        <f t="shared" ca="1" si="98"/>
        <v>VENCIDO</v>
      </c>
      <c r="I520" s="183">
        <f t="shared" si="101"/>
        <v>65</v>
      </c>
      <c r="J520" s="182">
        <f t="shared" si="102"/>
        <v>100</v>
      </c>
      <c r="K520" s="182">
        <f t="shared" si="99"/>
        <v>35</v>
      </c>
      <c r="L520" s="181">
        <f t="shared" si="100"/>
        <v>0.35</v>
      </c>
      <c r="M520" s="180" t="s">
        <v>777</v>
      </c>
    </row>
    <row r="521" spans="1:13" ht="18.75" customHeight="1">
      <c r="A521" s="180" t="s">
        <v>1200</v>
      </c>
      <c r="B521" s="180" t="s">
        <v>1200</v>
      </c>
      <c r="C521" s="180" t="s">
        <v>781</v>
      </c>
      <c r="D521" s="180">
        <f t="shared" si="95"/>
        <v>365</v>
      </c>
      <c r="E521" s="184">
        <v>45567</v>
      </c>
      <c r="F521" s="184">
        <f t="shared" si="96"/>
        <v>45932</v>
      </c>
      <c r="G521" s="184">
        <f t="shared" si="97"/>
        <v>45902</v>
      </c>
      <c r="H521" s="180" t="str">
        <f t="shared" ca="1" si="98"/>
        <v>VENCIDO</v>
      </c>
      <c r="I521" s="183">
        <v>75</v>
      </c>
      <c r="J521" s="182">
        <v>150</v>
      </c>
      <c r="K521" s="182">
        <f t="shared" si="99"/>
        <v>75</v>
      </c>
      <c r="L521" s="181">
        <f t="shared" si="100"/>
        <v>0.5</v>
      </c>
      <c r="M521" s="180" t="s">
        <v>777</v>
      </c>
    </row>
    <row r="522" spans="1:13" ht="18.75" customHeight="1">
      <c r="A522" s="180" t="s">
        <v>1202</v>
      </c>
      <c r="B522" s="180" t="s">
        <v>658</v>
      </c>
      <c r="C522" s="180" t="s">
        <v>781</v>
      </c>
      <c r="D522" s="180">
        <f t="shared" si="95"/>
        <v>365</v>
      </c>
      <c r="E522" s="184">
        <v>45572</v>
      </c>
      <c r="F522" s="184">
        <f t="shared" si="96"/>
        <v>45937</v>
      </c>
      <c r="G522" s="184">
        <f t="shared" si="97"/>
        <v>45907</v>
      </c>
      <c r="H522" s="180" t="str">
        <f t="shared" ca="1" si="98"/>
        <v>VENCIDO</v>
      </c>
      <c r="I522" s="183">
        <v>75</v>
      </c>
      <c r="J522" s="182">
        <v>150</v>
      </c>
      <c r="K522" s="182">
        <f t="shared" si="99"/>
        <v>75</v>
      </c>
      <c r="L522" s="181">
        <f t="shared" si="100"/>
        <v>0.5</v>
      </c>
      <c r="M522" s="180" t="s">
        <v>777</v>
      </c>
    </row>
    <row r="523" spans="1:13" ht="18.75" customHeight="1">
      <c r="A523" s="180" t="s">
        <v>1609</v>
      </c>
      <c r="B523" s="180"/>
      <c r="C523" s="180" t="s">
        <v>781</v>
      </c>
      <c r="D523" s="180">
        <f t="shared" si="95"/>
        <v>365</v>
      </c>
      <c r="E523" s="184">
        <v>45572</v>
      </c>
      <c r="F523" s="184">
        <f t="shared" si="96"/>
        <v>45937</v>
      </c>
      <c r="G523" s="184">
        <f t="shared" si="97"/>
        <v>45907</v>
      </c>
      <c r="H523" s="180" t="str">
        <f t="shared" ca="1" si="98"/>
        <v>VENCIDO</v>
      </c>
      <c r="I523" s="183">
        <v>75</v>
      </c>
      <c r="J523" s="182">
        <v>150</v>
      </c>
      <c r="K523" s="182">
        <f t="shared" si="99"/>
        <v>75</v>
      </c>
      <c r="L523" s="181">
        <f t="shared" si="100"/>
        <v>0.5</v>
      </c>
      <c r="M523" s="180" t="s">
        <v>777</v>
      </c>
    </row>
    <row r="524" spans="1:13" ht="18.75" customHeight="1">
      <c r="A524" s="180" t="s">
        <v>1239</v>
      </c>
      <c r="B524" s="180" t="s">
        <v>1239</v>
      </c>
      <c r="C524" s="180" t="s">
        <v>778</v>
      </c>
      <c r="D524" s="180">
        <f t="shared" si="95"/>
        <v>365</v>
      </c>
      <c r="E524" s="184">
        <v>45574</v>
      </c>
      <c r="F524" s="184">
        <f t="shared" si="96"/>
        <v>45939</v>
      </c>
      <c r="G524" s="184">
        <f t="shared" si="97"/>
        <v>45909</v>
      </c>
      <c r="H524" s="180" t="str">
        <f t="shared" ca="1" si="98"/>
        <v>VENCIDO</v>
      </c>
      <c r="I524" s="183">
        <f t="shared" si="101"/>
        <v>65</v>
      </c>
      <c r="J524" s="182">
        <f t="shared" si="102"/>
        <v>100</v>
      </c>
      <c r="K524" s="182">
        <f t="shared" si="99"/>
        <v>35</v>
      </c>
      <c r="L524" s="181">
        <f t="shared" si="100"/>
        <v>0.35</v>
      </c>
      <c r="M524" s="180" t="s">
        <v>777</v>
      </c>
    </row>
    <row r="525" spans="1:13" ht="18.75" customHeight="1">
      <c r="A525" s="180" t="s">
        <v>1231</v>
      </c>
      <c r="B525" s="180" t="s">
        <v>1231</v>
      </c>
      <c r="C525" s="180" t="s">
        <v>781</v>
      </c>
      <c r="D525" s="180">
        <f t="shared" si="95"/>
        <v>365</v>
      </c>
      <c r="E525" s="184">
        <v>45574</v>
      </c>
      <c r="F525" s="184">
        <f t="shared" si="96"/>
        <v>45939</v>
      </c>
      <c r="G525" s="184">
        <f t="shared" si="97"/>
        <v>45909</v>
      </c>
      <c r="H525" s="180" t="str">
        <f t="shared" ca="1" si="98"/>
        <v>VENCIDO</v>
      </c>
      <c r="I525" s="183">
        <v>75</v>
      </c>
      <c r="J525" s="182">
        <v>150</v>
      </c>
      <c r="K525" s="182">
        <f t="shared" si="99"/>
        <v>75</v>
      </c>
      <c r="L525" s="181">
        <f t="shared" si="100"/>
        <v>0.5</v>
      </c>
      <c r="M525" s="180" t="s">
        <v>777</v>
      </c>
    </row>
    <row r="526" spans="1:13" ht="18.75" customHeight="1">
      <c r="A526" s="180" t="s">
        <v>1610</v>
      </c>
      <c r="B526" s="180" t="s">
        <v>1611</v>
      </c>
      <c r="C526" s="180" t="s">
        <v>781</v>
      </c>
      <c r="D526" s="180">
        <f t="shared" si="95"/>
        <v>365</v>
      </c>
      <c r="E526" s="184">
        <v>45575</v>
      </c>
      <c r="F526" s="184">
        <f t="shared" si="96"/>
        <v>45940</v>
      </c>
      <c r="G526" s="184">
        <f t="shared" si="97"/>
        <v>45910</v>
      </c>
      <c r="H526" s="180" t="str">
        <f t="shared" ca="1" si="98"/>
        <v>VENCIDO</v>
      </c>
      <c r="I526" s="183">
        <v>75</v>
      </c>
      <c r="J526" s="182">
        <v>150</v>
      </c>
      <c r="K526" s="182">
        <f t="shared" si="99"/>
        <v>75</v>
      </c>
      <c r="L526" s="181">
        <f t="shared" si="100"/>
        <v>0.5</v>
      </c>
      <c r="M526" s="180" t="s">
        <v>777</v>
      </c>
    </row>
    <row r="527" spans="1:13" ht="18.75" customHeight="1">
      <c r="A527" s="180" t="s">
        <v>29</v>
      </c>
      <c r="B527" s="180" t="s">
        <v>1612</v>
      </c>
      <c r="C527" s="180" t="s">
        <v>781</v>
      </c>
      <c r="D527" s="180">
        <f t="shared" si="95"/>
        <v>365</v>
      </c>
      <c r="E527" s="184">
        <v>45576</v>
      </c>
      <c r="F527" s="184">
        <f t="shared" si="96"/>
        <v>45941</v>
      </c>
      <c r="G527" s="184">
        <f t="shared" si="97"/>
        <v>45911</v>
      </c>
      <c r="H527" s="180" t="str">
        <f t="shared" ca="1" si="98"/>
        <v>VENCIDO</v>
      </c>
      <c r="I527" s="183">
        <v>75</v>
      </c>
      <c r="J527" s="182">
        <v>150</v>
      </c>
      <c r="K527" s="182">
        <f t="shared" si="99"/>
        <v>75</v>
      </c>
      <c r="L527" s="181">
        <f t="shared" si="100"/>
        <v>0.5</v>
      </c>
      <c r="M527" s="180" t="s">
        <v>777</v>
      </c>
    </row>
    <row r="528" spans="1:13" ht="18.75" customHeight="1">
      <c r="A528" s="180" t="s">
        <v>1228</v>
      </c>
      <c r="B528" s="180" t="s">
        <v>1613</v>
      </c>
      <c r="C528" s="180" t="s">
        <v>785</v>
      </c>
      <c r="D528" s="180">
        <f t="shared" si="95"/>
        <v>1095</v>
      </c>
      <c r="E528" s="184">
        <v>45576</v>
      </c>
      <c r="F528" s="184">
        <f t="shared" si="96"/>
        <v>46671</v>
      </c>
      <c r="G528" s="184">
        <f t="shared" si="97"/>
        <v>46641</v>
      </c>
      <c r="H528" s="180" t="str">
        <f t="shared" ca="1" si="98"/>
        <v>VÁLIDO</v>
      </c>
      <c r="I528" s="183">
        <v>135</v>
      </c>
      <c r="J528" s="182">
        <v>270</v>
      </c>
      <c r="K528" s="182">
        <f t="shared" si="99"/>
        <v>135</v>
      </c>
      <c r="L528" s="181">
        <f t="shared" si="100"/>
        <v>0.5</v>
      </c>
      <c r="M528" s="180" t="s">
        <v>777</v>
      </c>
    </row>
    <row r="529" spans="1:13" ht="18.75" customHeight="1">
      <c r="A529" s="180" t="s">
        <v>1614</v>
      </c>
      <c r="B529" s="180" t="s">
        <v>1614</v>
      </c>
      <c r="C529" s="180" t="s">
        <v>781</v>
      </c>
      <c r="D529" s="180">
        <f t="shared" si="95"/>
        <v>365</v>
      </c>
      <c r="E529" s="184">
        <v>45583</v>
      </c>
      <c r="F529" s="184">
        <f t="shared" si="96"/>
        <v>45948</v>
      </c>
      <c r="G529" s="184">
        <f t="shared" si="97"/>
        <v>45918</v>
      </c>
      <c r="H529" s="180" t="str">
        <f t="shared" ca="1" si="98"/>
        <v>VENCIDO</v>
      </c>
      <c r="I529" s="183">
        <v>75</v>
      </c>
      <c r="J529" s="182">
        <v>150</v>
      </c>
      <c r="K529" s="182">
        <f t="shared" si="99"/>
        <v>75</v>
      </c>
      <c r="L529" s="181">
        <f t="shared" si="100"/>
        <v>0.5</v>
      </c>
      <c r="M529" s="180" t="s">
        <v>777</v>
      </c>
    </row>
    <row r="530" spans="1:13" ht="18.75" customHeight="1">
      <c r="A530" s="180" t="s">
        <v>1615</v>
      </c>
      <c r="B530" s="180" t="s">
        <v>1615</v>
      </c>
      <c r="C530" s="180" t="s">
        <v>802</v>
      </c>
      <c r="D530" s="180">
        <f t="shared" si="95"/>
        <v>1095</v>
      </c>
      <c r="E530" s="184">
        <v>45583</v>
      </c>
      <c r="F530" s="184">
        <f t="shared" si="96"/>
        <v>46678</v>
      </c>
      <c r="G530" s="184">
        <f t="shared" si="97"/>
        <v>46648</v>
      </c>
      <c r="H530" s="180" t="str">
        <f t="shared" ca="1" si="98"/>
        <v>VÁLIDO</v>
      </c>
      <c r="I530" s="183">
        <v>135</v>
      </c>
      <c r="J530" s="182">
        <v>260</v>
      </c>
      <c r="K530" s="182">
        <f t="shared" si="99"/>
        <v>125</v>
      </c>
      <c r="L530" s="181">
        <f t="shared" si="100"/>
        <v>0.48076923076923078</v>
      </c>
      <c r="M530" s="180" t="s">
        <v>777</v>
      </c>
    </row>
    <row r="531" spans="1:13" ht="18.75" customHeight="1">
      <c r="A531" s="180" t="s">
        <v>1616</v>
      </c>
      <c r="B531" s="180" t="s">
        <v>1616</v>
      </c>
      <c r="C531" s="180" t="s">
        <v>802</v>
      </c>
      <c r="D531" s="180">
        <f t="shared" si="95"/>
        <v>1095</v>
      </c>
      <c r="E531" s="184">
        <v>45590</v>
      </c>
      <c r="F531" s="184">
        <f t="shared" si="96"/>
        <v>46685</v>
      </c>
      <c r="G531" s="184">
        <f t="shared" si="97"/>
        <v>46655</v>
      </c>
      <c r="H531" s="180" t="str">
        <f t="shared" ca="1" si="98"/>
        <v>VÁLIDO</v>
      </c>
      <c r="I531" s="183">
        <v>135</v>
      </c>
      <c r="J531" s="182">
        <v>260</v>
      </c>
      <c r="K531" s="182">
        <f t="shared" si="99"/>
        <v>125</v>
      </c>
      <c r="L531" s="181">
        <f t="shared" si="100"/>
        <v>0.48076923076923078</v>
      </c>
      <c r="M531" s="180" t="s">
        <v>777</v>
      </c>
    </row>
    <row r="532" spans="1:13" ht="18.75" customHeight="1">
      <c r="A532" s="180" t="s">
        <v>1617</v>
      </c>
      <c r="B532" s="180" t="s">
        <v>814</v>
      </c>
      <c r="C532" s="180" t="s">
        <v>781</v>
      </c>
      <c r="D532" s="180">
        <f t="shared" si="95"/>
        <v>365</v>
      </c>
      <c r="E532" s="184">
        <v>45590</v>
      </c>
      <c r="F532" s="184">
        <f t="shared" si="96"/>
        <v>45955</v>
      </c>
      <c r="G532" s="184">
        <f t="shared" si="97"/>
        <v>45925</v>
      </c>
      <c r="H532" s="180" t="str">
        <f t="shared" ca="1" si="98"/>
        <v>VENCIDO</v>
      </c>
      <c r="I532" s="183">
        <v>75</v>
      </c>
      <c r="J532" s="182">
        <v>150</v>
      </c>
      <c r="K532" s="182">
        <f t="shared" si="99"/>
        <v>75</v>
      </c>
      <c r="L532" s="181">
        <f t="shared" si="100"/>
        <v>0.5</v>
      </c>
      <c r="M532" s="180" t="s">
        <v>777</v>
      </c>
    </row>
    <row r="533" spans="1:13" ht="18.75" customHeight="1">
      <c r="A533" s="180" t="s">
        <v>1618</v>
      </c>
      <c r="B533" s="180" t="s">
        <v>1618</v>
      </c>
      <c r="C533" s="180" t="s">
        <v>802</v>
      </c>
      <c r="D533" s="180">
        <f t="shared" si="95"/>
        <v>1095</v>
      </c>
      <c r="E533" s="184">
        <v>45590</v>
      </c>
      <c r="F533" s="184">
        <f t="shared" si="96"/>
        <v>46685</v>
      </c>
      <c r="G533" s="184">
        <f t="shared" si="97"/>
        <v>46655</v>
      </c>
      <c r="H533" s="180" t="str">
        <f t="shared" ca="1" si="98"/>
        <v>VÁLIDO</v>
      </c>
      <c r="I533" s="183">
        <f t="shared" si="101"/>
        <v>100</v>
      </c>
      <c r="J533" s="182">
        <v>260</v>
      </c>
      <c r="K533" s="182">
        <f t="shared" si="99"/>
        <v>160</v>
      </c>
      <c r="L533" s="181">
        <f t="shared" si="100"/>
        <v>0.61538461538461542</v>
      </c>
      <c r="M533" s="180" t="s">
        <v>777</v>
      </c>
    </row>
    <row r="534" spans="1:13" ht="18.75" customHeight="1">
      <c r="A534" s="180" t="s">
        <v>1620</v>
      </c>
      <c r="B534" s="180" t="s">
        <v>1620</v>
      </c>
      <c r="C534" s="180" t="s">
        <v>778</v>
      </c>
      <c r="D534" s="180">
        <f t="shared" si="95"/>
        <v>365</v>
      </c>
      <c r="E534" s="184">
        <v>45595</v>
      </c>
      <c r="F534" s="184">
        <f t="shared" si="96"/>
        <v>45960</v>
      </c>
      <c r="G534" s="184">
        <f t="shared" si="97"/>
        <v>45930</v>
      </c>
      <c r="H534" s="180" t="str">
        <f t="shared" ca="1" si="98"/>
        <v>VENCIDO</v>
      </c>
      <c r="I534" s="183">
        <f t="shared" si="101"/>
        <v>65</v>
      </c>
      <c r="J534" s="182">
        <f t="shared" si="102"/>
        <v>100</v>
      </c>
      <c r="K534" s="182">
        <f t="shared" si="99"/>
        <v>35</v>
      </c>
      <c r="L534" s="181">
        <f t="shared" si="100"/>
        <v>0.35</v>
      </c>
      <c r="M534" s="180" t="s">
        <v>777</v>
      </c>
    </row>
    <row r="535" spans="1:13" ht="18.75" customHeight="1">
      <c r="A535" s="451" t="s">
        <v>1621</v>
      </c>
      <c r="B535" s="452"/>
      <c r="C535" s="452"/>
      <c r="D535" s="452"/>
      <c r="E535" s="452"/>
      <c r="F535" s="452"/>
      <c r="G535" s="452"/>
      <c r="H535" s="452"/>
      <c r="I535" s="452"/>
      <c r="J535" s="452"/>
      <c r="K535" s="452"/>
      <c r="L535" s="452"/>
      <c r="M535" s="453"/>
    </row>
    <row r="536" spans="1:13" ht="18.75" customHeight="1">
      <c r="A536" s="180" t="s">
        <v>182</v>
      </c>
      <c r="B536" s="180" t="s">
        <v>1623</v>
      </c>
      <c r="C536" s="180" t="s">
        <v>781</v>
      </c>
      <c r="D536" s="180">
        <f t="shared" si="95"/>
        <v>365</v>
      </c>
      <c r="E536" s="184">
        <v>45597</v>
      </c>
      <c r="F536" s="184">
        <f t="shared" si="96"/>
        <v>45962</v>
      </c>
      <c r="G536" s="184">
        <f t="shared" si="97"/>
        <v>45932</v>
      </c>
      <c r="H536" s="180" t="str">
        <f t="shared" ca="1" si="98"/>
        <v>VENCIDO</v>
      </c>
      <c r="I536" s="183">
        <v>75</v>
      </c>
      <c r="J536" s="182">
        <v>150</v>
      </c>
      <c r="K536" s="182">
        <f t="shared" si="99"/>
        <v>75</v>
      </c>
      <c r="L536" s="181">
        <f t="shared" si="100"/>
        <v>0.5</v>
      </c>
      <c r="M536" s="180"/>
    </row>
    <row r="537" spans="1:13" ht="18.75" customHeight="1">
      <c r="A537" s="180" t="s">
        <v>1624</v>
      </c>
      <c r="B537" s="180" t="s">
        <v>1625</v>
      </c>
      <c r="C537" s="180" t="s">
        <v>781</v>
      </c>
      <c r="D537" s="180">
        <f t="shared" si="95"/>
        <v>365</v>
      </c>
      <c r="E537" s="184">
        <v>45600</v>
      </c>
      <c r="F537" s="184">
        <f t="shared" si="96"/>
        <v>45965</v>
      </c>
      <c r="G537" s="184">
        <f t="shared" si="97"/>
        <v>45935</v>
      </c>
      <c r="H537" s="180" t="str">
        <f t="shared" ca="1" si="98"/>
        <v>VENCIDO</v>
      </c>
      <c r="I537" s="183">
        <v>75</v>
      </c>
      <c r="J537" s="182">
        <v>150</v>
      </c>
      <c r="K537" s="182">
        <f t="shared" si="99"/>
        <v>75</v>
      </c>
      <c r="L537" s="181">
        <f t="shared" si="100"/>
        <v>0.5</v>
      </c>
      <c r="M537" s="180" t="s">
        <v>777</v>
      </c>
    </row>
    <row r="538" spans="1:13" ht="18.75" customHeight="1">
      <c r="A538" s="180" t="s">
        <v>1626</v>
      </c>
      <c r="B538" s="180"/>
      <c r="C538" s="180" t="s">
        <v>781</v>
      </c>
      <c r="D538" s="180">
        <f t="shared" si="95"/>
        <v>365</v>
      </c>
      <c r="E538" s="184">
        <v>45602</v>
      </c>
      <c r="F538" s="184">
        <f t="shared" si="96"/>
        <v>45967</v>
      </c>
      <c r="G538" s="184">
        <f t="shared" si="97"/>
        <v>45937</v>
      </c>
      <c r="H538" s="180" t="str">
        <f t="shared" ca="1" si="98"/>
        <v>VENCIDO</v>
      </c>
      <c r="I538" s="183">
        <v>75</v>
      </c>
      <c r="J538" s="182">
        <v>150</v>
      </c>
      <c r="K538" s="182">
        <f t="shared" si="99"/>
        <v>75</v>
      </c>
      <c r="L538" s="181">
        <f t="shared" si="100"/>
        <v>0.5</v>
      </c>
      <c r="M538" s="180" t="s">
        <v>777</v>
      </c>
    </row>
    <row r="539" spans="1:13" ht="18.75" customHeight="1">
      <c r="A539" s="180" t="s">
        <v>1291</v>
      </c>
      <c r="B539" s="180" t="s">
        <v>1293</v>
      </c>
      <c r="C539" s="180" t="s">
        <v>781</v>
      </c>
      <c r="D539" s="180">
        <f t="shared" si="95"/>
        <v>365</v>
      </c>
      <c r="E539" s="184">
        <v>45603</v>
      </c>
      <c r="F539" s="184">
        <f t="shared" si="96"/>
        <v>45968</v>
      </c>
      <c r="G539" s="184">
        <f t="shared" si="97"/>
        <v>45938</v>
      </c>
      <c r="H539" s="180" t="str">
        <f t="shared" ca="1" si="98"/>
        <v>VENCIDO</v>
      </c>
      <c r="I539" s="183">
        <v>75</v>
      </c>
      <c r="J539" s="182">
        <v>150</v>
      </c>
      <c r="K539" s="182">
        <f t="shared" si="99"/>
        <v>75</v>
      </c>
      <c r="L539" s="181">
        <f t="shared" si="100"/>
        <v>0.5</v>
      </c>
      <c r="M539" s="180" t="s">
        <v>777</v>
      </c>
    </row>
    <row r="540" spans="1:13" ht="18.75" customHeight="1">
      <c r="A540" s="180" t="s">
        <v>1627</v>
      </c>
      <c r="B540" s="180" t="s">
        <v>1627</v>
      </c>
      <c r="C540" s="180" t="s">
        <v>802</v>
      </c>
      <c r="D540" s="180">
        <f t="shared" si="95"/>
        <v>1095</v>
      </c>
      <c r="E540" s="184">
        <v>45607</v>
      </c>
      <c r="F540" s="184">
        <f t="shared" si="96"/>
        <v>46702</v>
      </c>
      <c r="G540" s="184">
        <f t="shared" si="97"/>
        <v>46672</v>
      </c>
      <c r="H540" s="180" t="str">
        <f t="shared" ca="1" si="98"/>
        <v>VÁLIDO</v>
      </c>
      <c r="I540" s="183">
        <v>135</v>
      </c>
      <c r="J540" s="182">
        <v>190</v>
      </c>
      <c r="K540" s="182">
        <f t="shared" si="99"/>
        <v>55</v>
      </c>
      <c r="L540" s="181">
        <f t="shared" si="100"/>
        <v>0.28947368421052633</v>
      </c>
      <c r="M540" s="180" t="s">
        <v>777</v>
      </c>
    </row>
    <row r="541" spans="1:13" ht="18.75" customHeight="1">
      <c r="A541" s="180" t="s">
        <v>1628</v>
      </c>
      <c r="B541" s="180" t="s">
        <v>1628</v>
      </c>
      <c r="C541" s="180" t="s">
        <v>802</v>
      </c>
      <c r="D541" s="180">
        <f t="shared" si="95"/>
        <v>1095</v>
      </c>
      <c r="E541" s="184">
        <v>45608</v>
      </c>
      <c r="F541" s="184">
        <f t="shared" si="96"/>
        <v>46703</v>
      </c>
      <c r="G541" s="184">
        <f t="shared" si="97"/>
        <v>46673</v>
      </c>
      <c r="H541" s="180" t="str">
        <f t="shared" ca="1" si="98"/>
        <v>VÁLIDO</v>
      </c>
      <c r="I541" s="183">
        <v>135</v>
      </c>
      <c r="J541" s="182">
        <v>190</v>
      </c>
      <c r="K541" s="182">
        <f t="shared" si="99"/>
        <v>55</v>
      </c>
      <c r="L541" s="181">
        <f t="shared" si="100"/>
        <v>0.28947368421052633</v>
      </c>
      <c r="M541" s="180" t="s">
        <v>777</v>
      </c>
    </row>
    <row r="542" spans="1:13" ht="18.75" customHeight="1">
      <c r="A542" s="180" t="s">
        <v>1629</v>
      </c>
      <c r="B542" s="180" t="s">
        <v>1630</v>
      </c>
      <c r="C542" s="180" t="s">
        <v>778</v>
      </c>
      <c r="D542" s="180">
        <f t="shared" si="95"/>
        <v>365</v>
      </c>
      <c r="E542" s="184">
        <v>45609</v>
      </c>
      <c r="F542" s="184">
        <f t="shared" si="96"/>
        <v>45974</v>
      </c>
      <c r="G542" s="184">
        <f t="shared" si="97"/>
        <v>45944</v>
      </c>
      <c r="H542" s="180" t="str">
        <f t="shared" ca="1" si="98"/>
        <v>VENCIDO</v>
      </c>
      <c r="I542" s="183">
        <f t="shared" si="101"/>
        <v>65</v>
      </c>
      <c r="J542" s="182">
        <f t="shared" si="102"/>
        <v>100</v>
      </c>
      <c r="K542" s="182">
        <f t="shared" si="99"/>
        <v>35</v>
      </c>
      <c r="L542" s="181">
        <f t="shared" si="100"/>
        <v>0.35</v>
      </c>
      <c r="M542" s="180" t="s">
        <v>777</v>
      </c>
    </row>
    <row r="543" spans="1:13" ht="18.75" customHeight="1">
      <c r="A543" s="180" t="s">
        <v>1631</v>
      </c>
      <c r="B543" s="180" t="s">
        <v>1631</v>
      </c>
      <c r="C543" s="180" t="s">
        <v>778</v>
      </c>
      <c r="D543" s="180">
        <f t="shared" ref="D543:D605" si="103">IF(C543="A1 - 1 ano PJ",365,IF(C543="A1 - 1 ano PF",365,(365*3)))</f>
        <v>365</v>
      </c>
      <c r="E543" s="184">
        <v>45614</v>
      </c>
      <c r="F543" s="184">
        <f t="shared" ref="F543:F605" si="104">E543+D543</f>
        <v>45979</v>
      </c>
      <c r="G543" s="184">
        <f t="shared" ref="G543:G605" si="105">F543-30</f>
        <v>45949</v>
      </c>
      <c r="H543" s="180" t="str">
        <f t="shared" ref="H543:H605" ca="1" si="106">IF($A$6&lt;G543,"VÁLIDO",IF($A$6&gt;F543,"VENCIDO","A VENCER"))</f>
        <v>VENCIDO</v>
      </c>
      <c r="I543" s="183">
        <f t="shared" ref="I543:I557" si="107">VLOOKUP(C543,$M$3:$O$6,2,0)</f>
        <v>65</v>
      </c>
      <c r="J543" s="182">
        <f t="shared" ref="J543:J604" si="108">VLOOKUP(C543,$M$3:$O$6,3,0)</f>
        <v>100</v>
      </c>
      <c r="K543" s="182">
        <f t="shared" ref="K543:K605" si="109">J543-I543</f>
        <v>35</v>
      </c>
      <c r="L543" s="181">
        <f t="shared" ref="L543:L605" si="110">K543/J543</f>
        <v>0.35</v>
      </c>
      <c r="M543" s="180" t="s">
        <v>777</v>
      </c>
    </row>
    <row r="544" spans="1:13" ht="18.75" customHeight="1">
      <c r="A544" s="180" t="s">
        <v>1546</v>
      </c>
      <c r="B544" s="180" t="s">
        <v>1546</v>
      </c>
      <c r="C544" s="180" t="s">
        <v>778</v>
      </c>
      <c r="D544" s="180">
        <f t="shared" si="103"/>
        <v>365</v>
      </c>
      <c r="E544" s="184">
        <v>45614</v>
      </c>
      <c r="F544" s="184">
        <f t="shared" si="104"/>
        <v>45979</v>
      </c>
      <c r="G544" s="184">
        <f t="shared" si="105"/>
        <v>45949</v>
      </c>
      <c r="H544" s="180" t="str">
        <f t="shared" ca="1" si="106"/>
        <v>VENCIDO</v>
      </c>
      <c r="I544" s="183">
        <f t="shared" si="107"/>
        <v>65</v>
      </c>
      <c r="J544" s="182">
        <f t="shared" si="108"/>
        <v>100</v>
      </c>
      <c r="K544" s="182">
        <f t="shared" si="109"/>
        <v>35</v>
      </c>
      <c r="L544" s="181">
        <f t="shared" si="110"/>
        <v>0.35</v>
      </c>
      <c r="M544" s="180" t="s">
        <v>777</v>
      </c>
    </row>
    <row r="545" spans="1:13" ht="18.75" customHeight="1">
      <c r="A545" s="180" t="s">
        <v>1632</v>
      </c>
      <c r="B545" s="180" t="s">
        <v>1632</v>
      </c>
      <c r="C545" s="180" t="s">
        <v>802</v>
      </c>
      <c r="D545" s="180">
        <f t="shared" si="103"/>
        <v>1095</v>
      </c>
      <c r="E545" s="184">
        <v>45614</v>
      </c>
      <c r="F545" s="184">
        <f t="shared" si="104"/>
        <v>46709</v>
      </c>
      <c r="G545" s="184">
        <f t="shared" si="105"/>
        <v>46679</v>
      </c>
      <c r="H545" s="180" t="str">
        <f t="shared" ca="1" si="106"/>
        <v>VÁLIDO</v>
      </c>
      <c r="I545" s="183">
        <v>125</v>
      </c>
      <c r="J545" s="182">
        <v>190</v>
      </c>
      <c r="K545" s="182">
        <f t="shared" si="109"/>
        <v>65</v>
      </c>
      <c r="L545" s="181">
        <f t="shared" si="110"/>
        <v>0.34210526315789475</v>
      </c>
      <c r="M545" s="180" t="s">
        <v>777</v>
      </c>
    </row>
    <row r="546" spans="1:13" ht="18.75" customHeight="1">
      <c r="A546" s="180" t="s">
        <v>1633</v>
      </c>
      <c r="B546" s="180" t="s">
        <v>1633</v>
      </c>
      <c r="C546" s="180" t="s">
        <v>778</v>
      </c>
      <c r="D546" s="180">
        <f t="shared" si="103"/>
        <v>365</v>
      </c>
      <c r="E546" s="184">
        <v>45617</v>
      </c>
      <c r="F546" s="184">
        <f t="shared" si="104"/>
        <v>45982</v>
      </c>
      <c r="G546" s="184">
        <f t="shared" si="105"/>
        <v>45952</v>
      </c>
      <c r="H546" s="180" t="str">
        <f t="shared" ca="1" si="106"/>
        <v>VENCIDO</v>
      </c>
      <c r="I546" s="183">
        <f t="shared" si="107"/>
        <v>65</v>
      </c>
      <c r="J546" s="182">
        <f t="shared" si="108"/>
        <v>100</v>
      </c>
      <c r="K546" s="182">
        <f t="shared" si="109"/>
        <v>35</v>
      </c>
      <c r="L546" s="181">
        <f t="shared" si="110"/>
        <v>0.35</v>
      </c>
      <c r="M546" s="180" t="s">
        <v>777</v>
      </c>
    </row>
    <row r="547" spans="1:13" ht="18.75" customHeight="1">
      <c r="A547" s="180" t="s">
        <v>1633</v>
      </c>
      <c r="B547" s="180" t="s">
        <v>1633</v>
      </c>
      <c r="C547" s="180" t="s">
        <v>781</v>
      </c>
      <c r="D547" s="180">
        <f t="shared" si="103"/>
        <v>365</v>
      </c>
      <c r="E547" s="184">
        <v>45617</v>
      </c>
      <c r="F547" s="184">
        <f t="shared" si="104"/>
        <v>45982</v>
      </c>
      <c r="G547" s="184">
        <f t="shared" si="105"/>
        <v>45952</v>
      </c>
      <c r="H547" s="180" t="str">
        <f t="shared" ca="1" si="106"/>
        <v>VENCIDO</v>
      </c>
      <c r="I547" s="183">
        <v>75</v>
      </c>
      <c r="J547" s="182">
        <v>150</v>
      </c>
      <c r="K547" s="182">
        <f t="shared" si="109"/>
        <v>75</v>
      </c>
      <c r="L547" s="181">
        <f t="shared" si="110"/>
        <v>0.5</v>
      </c>
      <c r="M547" s="180" t="s">
        <v>777</v>
      </c>
    </row>
    <row r="548" spans="1:13" ht="18.75" customHeight="1">
      <c r="A548" s="180" t="s">
        <v>1634</v>
      </c>
      <c r="B548" s="180" t="s">
        <v>1634</v>
      </c>
      <c r="C548" s="180" t="s">
        <v>781</v>
      </c>
      <c r="D548" s="180">
        <f t="shared" si="103"/>
        <v>365</v>
      </c>
      <c r="E548" s="184">
        <v>45621</v>
      </c>
      <c r="F548" s="184">
        <f t="shared" si="104"/>
        <v>45986</v>
      </c>
      <c r="G548" s="184">
        <f t="shared" si="105"/>
        <v>45956</v>
      </c>
      <c r="H548" s="180" t="str">
        <f t="shared" ca="1" si="106"/>
        <v>VENCIDO</v>
      </c>
      <c r="I548" s="183">
        <v>75</v>
      </c>
      <c r="J548" s="182">
        <v>150</v>
      </c>
      <c r="K548" s="182">
        <f t="shared" si="109"/>
        <v>75</v>
      </c>
      <c r="L548" s="181">
        <f t="shared" si="110"/>
        <v>0.5</v>
      </c>
      <c r="M548" s="180" t="s">
        <v>777</v>
      </c>
    </row>
    <row r="549" spans="1:13" ht="18.75" customHeight="1">
      <c r="A549" s="180" t="s">
        <v>2</v>
      </c>
      <c r="B549" s="180" t="s">
        <v>2</v>
      </c>
      <c r="C549" s="180" t="s">
        <v>781</v>
      </c>
      <c r="D549" s="180">
        <f t="shared" si="103"/>
        <v>365</v>
      </c>
      <c r="E549" s="184">
        <v>45621</v>
      </c>
      <c r="F549" s="184">
        <f t="shared" si="104"/>
        <v>45986</v>
      </c>
      <c r="G549" s="184">
        <f t="shared" si="105"/>
        <v>45956</v>
      </c>
      <c r="H549" s="180" t="str">
        <f t="shared" ca="1" si="106"/>
        <v>VENCIDO</v>
      </c>
      <c r="I549" s="183">
        <v>75</v>
      </c>
      <c r="J549" s="182">
        <v>150</v>
      </c>
      <c r="K549" s="182">
        <f t="shared" si="109"/>
        <v>75</v>
      </c>
      <c r="L549" s="181">
        <f t="shared" si="110"/>
        <v>0.5</v>
      </c>
      <c r="M549" s="180" t="s">
        <v>777</v>
      </c>
    </row>
    <row r="550" spans="1:13" ht="18.75" customHeight="1">
      <c r="A550" s="180" t="s">
        <v>1635</v>
      </c>
      <c r="B550" s="180" t="s">
        <v>1635</v>
      </c>
      <c r="C550" s="180" t="s">
        <v>802</v>
      </c>
      <c r="D550" s="180">
        <f t="shared" si="103"/>
        <v>1095</v>
      </c>
      <c r="E550" s="184">
        <v>45622</v>
      </c>
      <c r="F550" s="184">
        <f t="shared" si="104"/>
        <v>46717</v>
      </c>
      <c r="G550" s="184">
        <f t="shared" si="105"/>
        <v>46687</v>
      </c>
      <c r="H550" s="180" t="str">
        <f t="shared" ca="1" si="106"/>
        <v>VÁLIDO</v>
      </c>
      <c r="I550" s="183">
        <v>135</v>
      </c>
      <c r="J550" s="182">
        <v>260</v>
      </c>
      <c r="K550" s="182">
        <f t="shared" si="109"/>
        <v>125</v>
      </c>
      <c r="L550" s="181">
        <f t="shared" si="110"/>
        <v>0.48076923076923078</v>
      </c>
      <c r="M550" s="180" t="s">
        <v>777</v>
      </c>
    </row>
    <row r="551" spans="1:13" ht="18.75" customHeight="1">
      <c r="A551" s="180" t="s">
        <v>639</v>
      </c>
      <c r="B551" s="180" t="s">
        <v>1636</v>
      </c>
      <c r="C551" s="180" t="s">
        <v>781</v>
      </c>
      <c r="D551" s="180">
        <f t="shared" si="103"/>
        <v>365</v>
      </c>
      <c r="E551" s="184">
        <v>45624</v>
      </c>
      <c r="F551" s="184">
        <f t="shared" si="104"/>
        <v>45989</v>
      </c>
      <c r="G551" s="184">
        <f t="shared" si="105"/>
        <v>45959</v>
      </c>
      <c r="H551" s="180" t="str">
        <f t="shared" ca="1" si="106"/>
        <v>VENCIDO</v>
      </c>
      <c r="I551" s="183">
        <v>75</v>
      </c>
      <c r="J551" s="182">
        <v>150</v>
      </c>
      <c r="K551" s="182">
        <f t="shared" si="109"/>
        <v>75</v>
      </c>
      <c r="L551" s="181">
        <f t="shared" si="110"/>
        <v>0.5</v>
      </c>
      <c r="M551" s="180" t="s">
        <v>777</v>
      </c>
    </row>
    <row r="552" spans="1:13" ht="18.75" customHeight="1">
      <c r="A552" s="180" t="s">
        <v>782</v>
      </c>
      <c r="B552" s="180" t="s">
        <v>1637</v>
      </c>
      <c r="C552" s="180" t="s">
        <v>781</v>
      </c>
      <c r="D552" s="180">
        <f t="shared" si="103"/>
        <v>365</v>
      </c>
      <c r="E552" s="184">
        <v>45625</v>
      </c>
      <c r="F552" s="184">
        <f t="shared" si="104"/>
        <v>45990</v>
      </c>
      <c r="G552" s="184">
        <f t="shared" si="105"/>
        <v>45960</v>
      </c>
      <c r="H552" s="180" t="str">
        <f t="shared" ca="1" si="106"/>
        <v>VENCIDO</v>
      </c>
      <c r="I552" s="183">
        <v>75</v>
      </c>
      <c r="J552" s="182">
        <v>150</v>
      </c>
      <c r="K552" s="182">
        <f t="shared" si="109"/>
        <v>75</v>
      </c>
      <c r="L552" s="181">
        <f t="shared" si="110"/>
        <v>0.5</v>
      </c>
      <c r="M552" s="180" t="s">
        <v>777</v>
      </c>
    </row>
    <row r="553" spans="1:13" ht="18.75" customHeight="1">
      <c r="A553" s="180" t="s">
        <v>626</v>
      </c>
      <c r="B553" s="180" t="s">
        <v>865</v>
      </c>
      <c r="C553" s="180" t="s">
        <v>778</v>
      </c>
      <c r="D553" s="180">
        <f t="shared" si="103"/>
        <v>365</v>
      </c>
      <c r="E553" s="184">
        <v>45625</v>
      </c>
      <c r="F553" s="184">
        <f t="shared" si="104"/>
        <v>45990</v>
      </c>
      <c r="G553" s="184">
        <f t="shared" si="105"/>
        <v>45960</v>
      </c>
      <c r="H553" s="180" t="str">
        <f t="shared" ca="1" si="106"/>
        <v>VENCIDO</v>
      </c>
      <c r="I553" s="183">
        <f t="shared" si="107"/>
        <v>65</v>
      </c>
      <c r="J553" s="182">
        <f t="shared" si="108"/>
        <v>100</v>
      </c>
      <c r="K553" s="182">
        <f t="shared" si="109"/>
        <v>35</v>
      </c>
      <c r="L553" s="181">
        <f t="shared" si="110"/>
        <v>0.35</v>
      </c>
      <c r="M553" s="180" t="s">
        <v>777</v>
      </c>
    </row>
    <row r="554" spans="1:13" ht="18.75" customHeight="1">
      <c r="A554" s="180" t="s">
        <v>1638</v>
      </c>
      <c r="B554" s="180" t="s">
        <v>1639</v>
      </c>
      <c r="C554" s="180" t="s">
        <v>802</v>
      </c>
      <c r="D554" s="180">
        <f t="shared" si="103"/>
        <v>1095</v>
      </c>
      <c r="E554" s="184">
        <v>45625</v>
      </c>
      <c r="F554" s="184">
        <f t="shared" si="104"/>
        <v>46720</v>
      </c>
      <c r="G554" s="184">
        <f t="shared" si="105"/>
        <v>46690</v>
      </c>
      <c r="H554" s="180" t="str">
        <f t="shared" ca="1" si="106"/>
        <v>VÁLIDO</v>
      </c>
      <c r="I554" s="183">
        <v>135</v>
      </c>
      <c r="J554" s="182">
        <v>260</v>
      </c>
      <c r="K554" s="182">
        <f t="shared" si="109"/>
        <v>125</v>
      </c>
      <c r="L554" s="181">
        <f t="shared" si="110"/>
        <v>0.48076923076923078</v>
      </c>
      <c r="M554" s="180" t="s">
        <v>777</v>
      </c>
    </row>
    <row r="555" spans="1:13" ht="18.75" customHeight="1">
      <c r="A555" s="180" t="s">
        <v>1619</v>
      </c>
      <c r="B555" s="180" t="s">
        <v>1619</v>
      </c>
      <c r="C555" s="180" t="s">
        <v>778</v>
      </c>
      <c r="D555" s="180">
        <f t="shared" si="103"/>
        <v>365</v>
      </c>
      <c r="E555" s="184">
        <v>45625</v>
      </c>
      <c r="F555" s="184">
        <f t="shared" si="104"/>
        <v>45990</v>
      </c>
      <c r="G555" s="184">
        <f t="shared" si="105"/>
        <v>45960</v>
      </c>
      <c r="H555" s="180" t="str">
        <f t="shared" ca="1" si="106"/>
        <v>VENCIDO</v>
      </c>
      <c r="I555" s="183">
        <f t="shared" si="107"/>
        <v>65</v>
      </c>
      <c r="J555" s="182">
        <f t="shared" si="108"/>
        <v>100</v>
      </c>
      <c r="K555" s="182">
        <f t="shared" si="109"/>
        <v>35</v>
      </c>
      <c r="L555" s="181">
        <f t="shared" si="110"/>
        <v>0.35</v>
      </c>
      <c r="M555" s="180" t="s">
        <v>777</v>
      </c>
    </row>
    <row r="556" spans="1:13" ht="18.75" customHeight="1">
      <c r="A556" s="451" t="s">
        <v>1640</v>
      </c>
      <c r="B556" s="452"/>
      <c r="C556" s="452"/>
      <c r="D556" s="452"/>
      <c r="E556" s="452"/>
      <c r="F556" s="452"/>
      <c r="G556" s="452"/>
      <c r="H556" s="452"/>
      <c r="I556" s="452"/>
      <c r="J556" s="452"/>
      <c r="K556" s="452"/>
      <c r="L556" s="452"/>
      <c r="M556" s="453"/>
    </row>
    <row r="557" spans="1:13" ht="18.75" customHeight="1">
      <c r="A557" s="180" t="s">
        <v>1641</v>
      </c>
      <c r="B557" s="180" t="s">
        <v>857</v>
      </c>
      <c r="C557" s="180" t="s">
        <v>778</v>
      </c>
      <c r="D557" s="180">
        <f t="shared" si="103"/>
        <v>365</v>
      </c>
      <c r="E557" s="184">
        <v>45629</v>
      </c>
      <c r="F557" s="184">
        <f t="shared" si="104"/>
        <v>45994</v>
      </c>
      <c r="G557" s="184">
        <f t="shared" si="105"/>
        <v>45964</v>
      </c>
      <c r="H557" s="180" t="str">
        <f t="shared" ca="1" si="106"/>
        <v>VENCIDO</v>
      </c>
      <c r="I557" s="183">
        <f t="shared" si="107"/>
        <v>65</v>
      </c>
      <c r="J557" s="182">
        <f t="shared" si="108"/>
        <v>100</v>
      </c>
      <c r="K557" s="182">
        <f t="shared" si="109"/>
        <v>35</v>
      </c>
      <c r="L557" s="181">
        <f t="shared" si="110"/>
        <v>0.35</v>
      </c>
      <c r="M557" s="180" t="s">
        <v>777</v>
      </c>
    </row>
    <row r="558" spans="1:13" ht="18.75" customHeight="1">
      <c r="A558" s="180" t="s">
        <v>930</v>
      </c>
      <c r="B558" s="180" t="s">
        <v>930</v>
      </c>
      <c r="C558" s="180" t="s">
        <v>781</v>
      </c>
      <c r="D558" s="180">
        <f t="shared" si="103"/>
        <v>365</v>
      </c>
      <c r="E558" s="184">
        <v>45630</v>
      </c>
      <c r="F558" s="184">
        <f t="shared" si="104"/>
        <v>45995</v>
      </c>
      <c r="G558" s="184">
        <f t="shared" si="105"/>
        <v>45965</v>
      </c>
      <c r="H558" s="180" t="str">
        <f t="shared" ca="1" si="106"/>
        <v>VENCIDO</v>
      </c>
      <c r="I558" s="183">
        <v>75</v>
      </c>
      <c r="J558" s="182">
        <v>150</v>
      </c>
      <c r="K558" s="182">
        <f t="shared" si="109"/>
        <v>75</v>
      </c>
      <c r="L558" s="181">
        <f t="shared" si="110"/>
        <v>0.5</v>
      </c>
      <c r="M558" s="180" t="s">
        <v>777</v>
      </c>
    </row>
    <row r="559" spans="1:13" ht="18.75" customHeight="1">
      <c r="A559" s="180" t="s">
        <v>1642</v>
      </c>
      <c r="B559" s="180" t="s">
        <v>1643</v>
      </c>
      <c r="C559" s="180" t="s">
        <v>781</v>
      </c>
      <c r="D559" s="180">
        <f t="shared" si="103"/>
        <v>365</v>
      </c>
      <c r="E559" s="184">
        <v>45630</v>
      </c>
      <c r="F559" s="184">
        <f t="shared" si="104"/>
        <v>45995</v>
      </c>
      <c r="G559" s="184">
        <f t="shared" si="105"/>
        <v>45965</v>
      </c>
      <c r="H559" s="180" t="str">
        <f t="shared" ca="1" si="106"/>
        <v>VENCIDO</v>
      </c>
      <c r="I559" s="183">
        <v>75</v>
      </c>
      <c r="J559" s="182">
        <v>150</v>
      </c>
      <c r="K559" s="182">
        <f t="shared" si="109"/>
        <v>75</v>
      </c>
      <c r="L559" s="181">
        <f t="shared" si="110"/>
        <v>0.5</v>
      </c>
      <c r="M559" s="180" t="s">
        <v>777</v>
      </c>
    </row>
    <row r="560" spans="1:13" ht="18.75" customHeight="1">
      <c r="A560" s="362"/>
      <c r="B560" s="362"/>
      <c r="C560" s="362"/>
      <c r="D560" s="362"/>
      <c r="E560" s="363"/>
      <c r="F560" s="363"/>
      <c r="G560" s="363"/>
      <c r="H560" s="362"/>
      <c r="I560" s="364"/>
      <c r="J560" s="365"/>
      <c r="K560" s="365"/>
      <c r="L560" s="366"/>
      <c r="M560" s="362"/>
    </row>
    <row r="561" spans="1:13" ht="18.75" customHeight="1">
      <c r="A561" s="180" t="s">
        <v>7</v>
      </c>
      <c r="B561" s="180" t="s">
        <v>7</v>
      </c>
      <c r="C561" s="180" t="s">
        <v>781</v>
      </c>
      <c r="D561" s="180">
        <f t="shared" si="103"/>
        <v>365</v>
      </c>
      <c r="E561" s="184">
        <v>45642</v>
      </c>
      <c r="F561" s="184">
        <f t="shared" si="104"/>
        <v>46007</v>
      </c>
      <c r="G561" s="184">
        <f t="shared" si="105"/>
        <v>45977</v>
      </c>
      <c r="H561" s="180" t="str">
        <f t="shared" ca="1" si="106"/>
        <v>VENCIDO</v>
      </c>
      <c r="I561" s="183">
        <v>29.9</v>
      </c>
      <c r="J561" s="182">
        <v>150</v>
      </c>
      <c r="K561" s="182">
        <f t="shared" si="109"/>
        <v>120.1</v>
      </c>
      <c r="L561" s="181">
        <f t="shared" si="110"/>
        <v>0.80066666666666664</v>
      </c>
      <c r="M561" s="180" t="s">
        <v>777</v>
      </c>
    </row>
    <row r="562" spans="1:13" ht="18.75" customHeight="1">
      <c r="A562" s="180" t="s">
        <v>1644</v>
      </c>
      <c r="B562" s="180" t="s">
        <v>1644</v>
      </c>
      <c r="C562" s="180" t="s">
        <v>778</v>
      </c>
      <c r="D562" s="180">
        <f t="shared" si="103"/>
        <v>365</v>
      </c>
      <c r="E562" s="184">
        <v>45643</v>
      </c>
      <c r="F562" s="184">
        <f t="shared" si="104"/>
        <v>46008</v>
      </c>
      <c r="G562" s="184">
        <f t="shared" si="105"/>
        <v>45978</v>
      </c>
      <c r="H562" s="180" t="str">
        <f t="shared" ca="1" si="106"/>
        <v>VENCIDO</v>
      </c>
      <c r="I562" s="183">
        <v>94.9</v>
      </c>
      <c r="J562" s="182">
        <v>190</v>
      </c>
      <c r="K562" s="182">
        <f t="shared" si="109"/>
        <v>95.1</v>
      </c>
      <c r="L562" s="181">
        <f t="shared" si="110"/>
        <v>0.50052631578947371</v>
      </c>
      <c r="M562" s="180" t="s">
        <v>777</v>
      </c>
    </row>
    <row r="563" spans="1:13" ht="18.75" customHeight="1">
      <c r="A563" s="180" t="s">
        <v>231</v>
      </c>
      <c r="B563" s="180" t="s">
        <v>231</v>
      </c>
      <c r="C563" s="180" t="s">
        <v>778</v>
      </c>
      <c r="D563" s="180">
        <f t="shared" si="103"/>
        <v>365</v>
      </c>
      <c r="E563" s="184">
        <v>45644</v>
      </c>
      <c r="F563" s="184">
        <f t="shared" si="104"/>
        <v>46009</v>
      </c>
      <c r="G563" s="184">
        <f t="shared" si="105"/>
        <v>45979</v>
      </c>
      <c r="H563" s="180" t="str">
        <f t="shared" ca="1" si="106"/>
        <v>VENCIDO</v>
      </c>
      <c r="I563" s="183">
        <v>29.9</v>
      </c>
      <c r="J563" s="182">
        <f t="shared" si="108"/>
        <v>100</v>
      </c>
      <c r="K563" s="182">
        <f t="shared" si="109"/>
        <v>70.099999999999994</v>
      </c>
      <c r="L563" s="181">
        <f t="shared" si="110"/>
        <v>0.70099999999999996</v>
      </c>
      <c r="M563" s="180" t="s">
        <v>777</v>
      </c>
    </row>
    <row r="564" spans="1:13" ht="18.75" customHeight="1">
      <c r="A564" s="180" t="s">
        <v>1645</v>
      </c>
      <c r="B564" s="180" t="s">
        <v>1645</v>
      </c>
      <c r="C564" s="180" t="s">
        <v>781</v>
      </c>
      <c r="D564" s="180">
        <f t="shared" si="103"/>
        <v>365</v>
      </c>
      <c r="E564" s="184">
        <v>45644</v>
      </c>
      <c r="F564" s="184">
        <f t="shared" si="104"/>
        <v>46009</v>
      </c>
      <c r="G564" s="184">
        <f t="shared" si="105"/>
        <v>45979</v>
      </c>
      <c r="H564" s="180" t="str">
        <f t="shared" ca="1" si="106"/>
        <v>VENCIDO</v>
      </c>
      <c r="I564" s="183">
        <v>29.9</v>
      </c>
      <c r="J564" s="182">
        <v>150</v>
      </c>
      <c r="K564" s="182">
        <f t="shared" si="109"/>
        <v>120.1</v>
      </c>
      <c r="L564" s="181">
        <f t="shared" si="110"/>
        <v>0.80066666666666664</v>
      </c>
      <c r="M564" s="180" t="s">
        <v>777</v>
      </c>
    </row>
    <row r="565" spans="1:13" ht="18.75" customHeight="1">
      <c r="A565" s="180" t="s">
        <v>1646</v>
      </c>
      <c r="B565" s="180" t="s">
        <v>1646</v>
      </c>
      <c r="C565" s="180" t="s">
        <v>778</v>
      </c>
      <c r="D565" s="180">
        <f t="shared" si="103"/>
        <v>365</v>
      </c>
      <c r="E565" s="184">
        <v>45644</v>
      </c>
      <c r="F565" s="184">
        <f t="shared" si="104"/>
        <v>46009</v>
      </c>
      <c r="G565" s="184">
        <f t="shared" si="105"/>
        <v>45979</v>
      </c>
      <c r="H565" s="180" t="str">
        <f t="shared" ca="1" si="106"/>
        <v>VENCIDO</v>
      </c>
      <c r="I565" s="183">
        <v>29.9</v>
      </c>
      <c r="J565" s="182">
        <f t="shared" si="108"/>
        <v>100</v>
      </c>
      <c r="K565" s="182">
        <f t="shared" si="109"/>
        <v>70.099999999999994</v>
      </c>
      <c r="L565" s="181">
        <f t="shared" si="110"/>
        <v>0.70099999999999996</v>
      </c>
      <c r="M565" s="180" t="s">
        <v>777</v>
      </c>
    </row>
    <row r="566" spans="1:13" ht="18.75" customHeight="1">
      <c r="A566" s="180" t="s">
        <v>1647</v>
      </c>
      <c r="B566" s="180" t="s">
        <v>1647</v>
      </c>
      <c r="C566" s="180" t="s">
        <v>802</v>
      </c>
      <c r="D566" s="180">
        <f t="shared" si="103"/>
        <v>1095</v>
      </c>
      <c r="E566" s="184">
        <v>45644</v>
      </c>
      <c r="F566" s="184">
        <f t="shared" si="104"/>
        <v>46739</v>
      </c>
      <c r="G566" s="184">
        <f t="shared" si="105"/>
        <v>46709</v>
      </c>
      <c r="H566" s="180" t="str">
        <f t="shared" ca="1" si="106"/>
        <v>VÁLIDO</v>
      </c>
      <c r="I566" s="183">
        <v>94.9</v>
      </c>
      <c r="J566" s="182">
        <v>260</v>
      </c>
      <c r="K566" s="182">
        <f t="shared" si="109"/>
        <v>165.1</v>
      </c>
      <c r="L566" s="181">
        <f t="shared" si="110"/>
        <v>0.63500000000000001</v>
      </c>
      <c r="M566" s="180" t="s">
        <v>777</v>
      </c>
    </row>
    <row r="567" spans="1:13" ht="18.75" customHeight="1">
      <c r="A567" s="180" t="s">
        <v>1648</v>
      </c>
      <c r="B567" s="180" t="s">
        <v>1648</v>
      </c>
      <c r="C567" s="180" t="s">
        <v>778</v>
      </c>
      <c r="D567" s="180">
        <f t="shared" si="103"/>
        <v>365</v>
      </c>
      <c r="E567" s="184">
        <v>45646</v>
      </c>
      <c r="F567" s="184">
        <f t="shared" si="104"/>
        <v>46011</v>
      </c>
      <c r="G567" s="184">
        <f t="shared" si="105"/>
        <v>45981</v>
      </c>
      <c r="H567" s="180" t="str">
        <f t="shared" ca="1" si="106"/>
        <v>VENCIDO</v>
      </c>
      <c r="I567" s="183">
        <v>29.9</v>
      </c>
      <c r="J567" s="182">
        <f t="shared" si="108"/>
        <v>100</v>
      </c>
      <c r="K567" s="182">
        <f t="shared" si="109"/>
        <v>70.099999999999994</v>
      </c>
      <c r="L567" s="181">
        <f t="shared" si="110"/>
        <v>0.70099999999999996</v>
      </c>
      <c r="M567" s="180" t="s">
        <v>777</v>
      </c>
    </row>
    <row r="568" spans="1:13" ht="18.75" customHeight="1">
      <c r="A568" s="180" t="s">
        <v>1649</v>
      </c>
      <c r="B568" s="180" t="s">
        <v>1649</v>
      </c>
      <c r="C568" s="180" t="s">
        <v>778</v>
      </c>
      <c r="D568" s="180">
        <f t="shared" si="103"/>
        <v>365</v>
      </c>
      <c r="E568" s="184">
        <v>45646</v>
      </c>
      <c r="F568" s="184">
        <f t="shared" si="104"/>
        <v>46011</v>
      </c>
      <c r="G568" s="184">
        <f t="shared" si="105"/>
        <v>45981</v>
      </c>
      <c r="H568" s="180" t="str">
        <f t="shared" ca="1" si="106"/>
        <v>VENCIDO</v>
      </c>
      <c r="I568" s="183">
        <v>94.9</v>
      </c>
      <c r="J568" s="182">
        <v>190</v>
      </c>
      <c r="K568" s="182">
        <f t="shared" si="109"/>
        <v>95.1</v>
      </c>
      <c r="L568" s="181">
        <f t="shared" si="110"/>
        <v>0.50052631578947371</v>
      </c>
      <c r="M568" s="180" t="s">
        <v>777</v>
      </c>
    </row>
    <row r="569" spans="1:13" ht="18.75" customHeight="1">
      <c r="A569" s="180" t="s">
        <v>605</v>
      </c>
      <c r="B569" s="180" t="s">
        <v>1650</v>
      </c>
      <c r="C569" s="180" t="s">
        <v>778</v>
      </c>
      <c r="D569" s="180">
        <f t="shared" si="103"/>
        <v>365</v>
      </c>
      <c r="E569" s="184">
        <v>45649</v>
      </c>
      <c r="F569" s="184">
        <f t="shared" si="104"/>
        <v>46014</v>
      </c>
      <c r="G569" s="184">
        <f t="shared" si="105"/>
        <v>45984</v>
      </c>
      <c r="H569" s="180" t="str">
        <f t="shared" ca="1" si="106"/>
        <v>VENCIDO</v>
      </c>
      <c r="I569" s="183">
        <v>29.9</v>
      </c>
      <c r="J569" s="182">
        <f t="shared" si="108"/>
        <v>100</v>
      </c>
      <c r="K569" s="182">
        <f t="shared" si="109"/>
        <v>70.099999999999994</v>
      </c>
      <c r="L569" s="181">
        <f t="shared" si="110"/>
        <v>0.70099999999999996</v>
      </c>
      <c r="M569" s="180" t="s">
        <v>777</v>
      </c>
    </row>
    <row r="570" spans="1:13" ht="18.75" customHeight="1">
      <c r="A570" s="180" t="s">
        <v>1651</v>
      </c>
      <c r="B570" s="180" t="s">
        <v>1654</v>
      </c>
      <c r="C570" s="180" t="s">
        <v>778</v>
      </c>
      <c r="D570" s="180">
        <f t="shared" si="103"/>
        <v>365</v>
      </c>
      <c r="E570" s="184">
        <v>45649</v>
      </c>
      <c r="F570" s="184">
        <f t="shared" si="104"/>
        <v>46014</v>
      </c>
      <c r="G570" s="184">
        <f t="shared" si="105"/>
        <v>45984</v>
      </c>
      <c r="H570" s="180" t="str">
        <f t="shared" ca="1" si="106"/>
        <v>VENCIDO</v>
      </c>
      <c r="I570" s="183">
        <v>29.9</v>
      </c>
      <c r="J570" s="182">
        <f t="shared" si="108"/>
        <v>100</v>
      </c>
      <c r="K570" s="182">
        <f t="shared" si="109"/>
        <v>70.099999999999994</v>
      </c>
      <c r="L570" s="181">
        <f t="shared" si="110"/>
        <v>0.70099999999999996</v>
      </c>
      <c r="M570" s="180" t="s">
        <v>777</v>
      </c>
    </row>
    <row r="571" spans="1:13" ht="18.75" customHeight="1">
      <c r="A571" s="180" t="s">
        <v>1652</v>
      </c>
      <c r="B571" s="180" t="s">
        <v>1655</v>
      </c>
      <c r="C571" s="180" t="s">
        <v>802</v>
      </c>
      <c r="D571" s="180">
        <f t="shared" si="103"/>
        <v>1095</v>
      </c>
      <c r="E571" s="184">
        <v>45656</v>
      </c>
      <c r="F571" s="184">
        <f t="shared" si="104"/>
        <v>46751</v>
      </c>
      <c r="G571" s="184">
        <f t="shared" si="105"/>
        <v>46721</v>
      </c>
      <c r="H571" s="180" t="str">
        <f t="shared" ca="1" si="106"/>
        <v>VÁLIDO</v>
      </c>
      <c r="I571" s="183">
        <v>94.9</v>
      </c>
      <c r="J571" s="182">
        <v>250</v>
      </c>
      <c r="K571" s="182">
        <f t="shared" si="109"/>
        <v>155.1</v>
      </c>
      <c r="L571" s="181">
        <f t="shared" si="110"/>
        <v>0.62039999999999995</v>
      </c>
      <c r="M571" s="180" t="s">
        <v>777</v>
      </c>
    </row>
    <row r="572" spans="1:13" ht="18.75" customHeight="1">
      <c r="A572" s="180" t="s">
        <v>1653</v>
      </c>
      <c r="B572" s="180" t="s">
        <v>1656</v>
      </c>
      <c r="C572" s="180" t="s">
        <v>778</v>
      </c>
      <c r="D572" s="180">
        <f t="shared" si="103"/>
        <v>365</v>
      </c>
      <c r="E572" s="184">
        <v>45656</v>
      </c>
      <c r="F572" s="184">
        <f t="shared" si="104"/>
        <v>46021</v>
      </c>
      <c r="G572" s="184">
        <f t="shared" si="105"/>
        <v>45991</v>
      </c>
      <c r="H572" s="180" t="str">
        <f t="shared" ca="1" si="106"/>
        <v>VENCIDO</v>
      </c>
      <c r="I572" s="183">
        <v>29.9</v>
      </c>
      <c r="J572" s="182">
        <f t="shared" si="108"/>
        <v>100</v>
      </c>
      <c r="K572" s="182">
        <f t="shared" si="109"/>
        <v>70.099999999999994</v>
      </c>
      <c r="L572" s="181">
        <f t="shared" si="110"/>
        <v>0.70099999999999996</v>
      </c>
      <c r="M572" s="180" t="s">
        <v>777</v>
      </c>
    </row>
    <row r="573" spans="1:13" ht="18.75" customHeight="1">
      <c r="A573" s="180" t="s">
        <v>1657</v>
      </c>
      <c r="B573" s="180" t="s">
        <v>1512</v>
      </c>
      <c r="C573" s="180" t="s">
        <v>778</v>
      </c>
      <c r="D573" s="180">
        <f t="shared" si="103"/>
        <v>365</v>
      </c>
      <c r="E573" s="184">
        <v>45656</v>
      </c>
      <c r="F573" s="184">
        <f t="shared" si="104"/>
        <v>46021</v>
      </c>
      <c r="G573" s="184">
        <f t="shared" si="105"/>
        <v>45991</v>
      </c>
      <c r="H573" s="180" t="str">
        <f t="shared" ca="1" si="106"/>
        <v>VENCIDO</v>
      </c>
      <c r="I573" s="183">
        <v>29.9</v>
      </c>
      <c r="J573" s="182">
        <f t="shared" si="108"/>
        <v>100</v>
      </c>
      <c r="K573" s="182">
        <f t="shared" si="109"/>
        <v>70.099999999999994</v>
      </c>
      <c r="L573" s="181">
        <f t="shared" si="110"/>
        <v>0.70099999999999996</v>
      </c>
      <c r="M573" s="180" t="s">
        <v>777</v>
      </c>
    </row>
    <row r="574" spans="1:13" ht="18.75" customHeight="1">
      <c r="A574" s="454" t="s">
        <v>1692</v>
      </c>
      <c r="B574" s="449"/>
      <c r="C574" s="449"/>
      <c r="D574" s="449"/>
      <c r="E574" s="449"/>
      <c r="F574" s="449"/>
      <c r="G574" s="449"/>
      <c r="H574" s="449"/>
      <c r="I574" s="449"/>
      <c r="J574" s="449"/>
      <c r="K574" s="449"/>
      <c r="L574" s="449"/>
      <c r="M574" s="450"/>
    </row>
    <row r="575" spans="1:13" ht="18.75" customHeight="1">
      <c r="A575" s="180" t="s">
        <v>1662</v>
      </c>
      <c r="B575" s="180" t="s">
        <v>1662</v>
      </c>
      <c r="C575" s="180" t="s">
        <v>778</v>
      </c>
      <c r="D575" s="180">
        <f t="shared" si="103"/>
        <v>365</v>
      </c>
      <c r="E575" s="184">
        <v>45659</v>
      </c>
      <c r="F575" s="184">
        <f t="shared" si="104"/>
        <v>46024</v>
      </c>
      <c r="G575" s="184">
        <f t="shared" si="105"/>
        <v>45994</v>
      </c>
      <c r="H575" s="180" t="str">
        <f t="shared" ca="1" si="106"/>
        <v>VENCIDO</v>
      </c>
      <c r="I575" s="183">
        <v>29.9</v>
      </c>
      <c r="J575" s="182">
        <f t="shared" si="108"/>
        <v>100</v>
      </c>
      <c r="K575" s="182">
        <f>J575-I575</f>
        <v>70.099999999999994</v>
      </c>
      <c r="L575" s="181">
        <f t="shared" si="110"/>
        <v>0.70099999999999996</v>
      </c>
      <c r="M575" s="180" t="s">
        <v>777</v>
      </c>
    </row>
    <row r="576" spans="1:13" ht="18.75" customHeight="1">
      <c r="A576" s="180" t="s">
        <v>40</v>
      </c>
      <c r="B576" s="180" t="s">
        <v>81</v>
      </c>
      <c r="C576" s="180" t="s">
        <v>781</v>
      </c>
      <c r="D576" s="180">
        <f t="shared" si="103"/>
        <v>365</v>
      </c>
      <c r="E576" s="184">
        <v>45660</v>
      </c>
      <c r="F576" s="184">
        <f t="shared" si="104"/>
        <v>46025</v>
      </c>
      <c r="G576" s="184">
        <f t="shared" si="105"/>
        <v>45995</v>
      </c>
      <c r="H576" s="180" t="str">
        <f t="shared" ca="1" si="106"/>
        <v>VENCIDO</v>
      </c>
      <c r="I576" s="183">
        <v>29.9</v>
      </c>
      <c r="J576" s="182">
        <v>150</v>
      </c>
      <c r="K576" s="182">
        <f t="shared" si="109"/>
        <v>120.1</v>
      </c>
      <c r="L576" s="181">
        <f t="shared" si="110"/>
        <v>0.80066666666666664</v>
      </c>
      <c r="M576" s="180" t="s">
        <v>777</v>
      </c>
    </row>
    <row r="577" spans="1:13" ht="18.75" customHeight="1">
      <c r="A577" s="180" t="s">
        <v>14</v>
      </c>
      <c r="B577" s="180" t="s">
        <v>876</v>
      </c>
      <c r="C577" s="180" t="s">
        <v>781</v>
      </c>
      <c r="D577" s="180">
        <f t="shared" si="103"/>
        <v>365</v>
      </c>
      <c r="E577" s="184">
        <v>45664</v>
      </c>
      <c r="F577" s="184">
        <f t="shared" si="104"/>
        <v>46029</v>
      </c>
      <c r="G577" s="184">
        <f t="shared" si="105"/>
        <v>45999</v>
      </c>
      <c r="H577" s="180" t="str">
        <f t="shared" ca="1" si="106"/>
        <v>A VENCER</v>
      </c>
      <c r="I577" s="183">
        <v>29.9</v>
      </c>
      <c r="J577" s="182">
        <v>150</v>
      </c>
      <c r="K577" s="182">
        <f t="shared" si="109"/>
        <v>120.1</v>
      </c>
      <c r="L577" s="181">
        <f t="shared" si="110"/>
        <v>0.80066666666666664</v>
      </c>
      <c r="M577" s="180" t="s">
        <v>777</v>
      </c>
    </row>
    <row r="578" spans="1:13" ht="18.75" customHeight="1">
      <c r="A578" s="180" t="s">
        <v>1663</v>
      </c>
      <c r="B578" s="180" t="s">
        <v>1664</v>
      </c>
      <c r="C578" s="180" t="s">
        <v>781</v>
      </c>
      <c r="D578" s="180">
        <f t="shared" si="103"/>
        <v>365</v>
      </c>
      <c r="E578" s="184">
        <v>45664</v>
      </c>
      <c r="F578" s="184">
        <f t="shared" si="104"/>
        <v>46029</v>
      </c>
      <c r="G578" s="184">
        <f t="shared" si="105"/>
        <v>45999</v>
      </c>
      <c r="H578" s="180" t="str">
        <f t="shared" ca="1" si="106"/>
        <v>A VENCER</v>
      </c>
      <c r="I578" s="183">
        <v>29.9</v>
      </c>
      <c r="J578" s="182">
        <v>150</v>
      </c>
      <c r="K578" s="182">
        <f t="shared" si="109"/>
        <v>120.1</v>
      </c>
      <c r="L578" s="181">
        <f t="shared" si="110"/>
        <v>0.80066666666666664</v>
      </c>
      <c r="M578" s="180" t="s">
        <v>1668</v>
      </c>
    </row>
    <row r="579" spans="1:13" ht="18.75" customHeight="1">
      <c r="A579" s="180" t="s">
        <v>1665</v>
      </c>
      <c r="B579" s="180" t="s">
        <v>1665</v>
      </c>
      <c r="C579" s="180" t="s">
        <v>778</v>
      </c>
      <c r="D579" s="180">
        <f t="shared" si="103"/>
        <v>365</v>
      </c>
      <c r="E579" s="184">
        <v>45665</v>
      </c>
      <c r="F579" s="184">
        <f t="shared" si="104"/>
        <v>46030</v>
      </c>
      <c r="G579" s="184">
        <f t="shared" si="105"/>
        <v>46000</v>
      </c>
      <c r="H579" s="180" t="str">
        <f t="shared" ca="1" si="106"/>
        <v>A VENCER</v>
      </c>
      <c r="I579" s="183">
        <v>29.9</v>
      </c>
      <c r="J579" s="182">
        <f t="shared" si="108"/>
        <v>100</v>
      </c>
      <c r="K579" s="182">
        <f t="shared" si="109"/>
        <v>70.099999999999994</v>
      </c>
      <c r="L579" s="181">
        <f t="shared" si="110"/>
        <v>0.70099999999999996</v>
      </c>
      <c r="M579" s="180" t="s">
        <v>1668</v>
      </c>
    </row>
    <row r="580" spans="1:13" ht="18.75" customHeight="1">
      <c r="A580" s="180" t="s">
        <v>2249</v>
      </c>
      <c r="B580" s="180" t="s">
        <v>1665</v>
      </c>
      <c r="C580" s="180" t="s">
        <v>781</v>
      </c>
      <c r="D580" s="180">
        <f t="shared" si="103"/>
        <v>365</v>
      </c>
      <c r="E580" s="184">
        <v>45665</v>
      </c>
      <c r="F580" s="184">
        <f t="shared" si="104"/>
        <v>46030</v>
      </c>
      <c r="G580" s="184">
        <f t="shared" si="105"/>
        <v>46000</v>
      </c>
      <c r="H580" s="180" t="str">
        <f t="shared" ca="1" si="106"/>
        <v>A VENCER</v>
      </c>
      <c r="I580" s="183">
        <v>29.9</v>
      </c>
      <c r="J580" s="182">
        <v>150</v>
      </c>
      <c r="K580" s="182">
        <f t="shared" si="109"/>
        <v>120.1</v>
      </c>
      <c r="L580" s="181">
        <f t="shared" si="110"/>
        <v>0.80066666666666664</v>
      </c>
      <c r="M580" s="180" t="s">
        <v>777</v>
      </c>
    </row>
    <row r="581" spans="1:13" ht="18.75" customHeight="1">
      <c r="A581" s="180" t="s">
        <v>1666</v>
      </c>
      <c r="B581" s="180" t="s">
        <v>1667</v>
      </c>
      <c r="C581" s="180" t="s">
        <v>781</v>
      </c>
      <c r="D581" s="180">
        <f t="shared" si="103"/>
        <v>365</v>
      </c>
      <c r="E581" s="184">
        <v>45665</v>
      </c>
      <c r="F581" s="184">
        <f t="shared" si="104"/>
        <v>46030</v>
      </c>
      <c r="G581" s="184">
        <f t="shared" si="105"/>
        <v>46000</v>
      </c>
      <c r="H581" s="180" t="str">
        <f t="shared" ca="1" si="106"/>
        <v>A VENCER</v>
      </c>
      <c r="I581" s="183">
        <v>29.9</v>
      </c>
      <c r="J581" s="182">
        <v>150</v>
      </c>
      <c r="K581" s="182">
        <f t="shared" si="109"/>
        <v>120.1</v>
      </c>
      <c r="L581" s="181">
        <f t="shared" si="110"/>
        <v>0.80066666666666664</v>
      </c>
      <c r="M581" s="180" t="s">
        <v>777</v>
      </c>
    </row>
    <row r="582" spans="1:13" ht="18.75" customHeight="1">
      <c r="A582" s="180" t="s">
        <v>1670</v>
      </c>
      <c r="B582" s="180" t="s">
        <v>1671</v>
      </c>
      <c r="C582" s="180" t="s">
        <v>778</v>
      </c>
      <c r="D582" s="180">
        <f t="shared" si="103"/>
        <v>365</v>
      </c>
      <c r="E582" s="184">
        <v>45666</v>
      </c>
      <c r="F582" s="184">
        <f t="shared" si="104"/>
        <v>46031</v>
      </c>
      <c r="G582" s="184">
        <f t="shared" si="105"/>
        <v>46001</v>
      </c>
      <c r="H582" s="180" t="str">
        <f t="shared" ca="1" si="106"/>
        <v>A VENCER</v>
      </c>
      <c r="I582" s="183">
        <v>29.9</v>
      </c>
      <c r="J582" s="182">
        <f t="shared" si="108"/>
        <v>100</v>
      </c>
      <c r="K582" s="182">
        <f t="shared" si="109"/>
        <v>70.099999999999994</v>
      </c>
      <c r="L582" s="181">
        <f t="shared" si="110"/>
        <v>0.70099999999999996</v>
      </c>
      <c r="M582" s="180" t="s">
        <v>777</v>
      </c>
    </row>
    <row r="583" spans="1:13" ht="18.75" customHeight="1">
      <c r="A583" s="180" t="s">
        <v>1672</v>
      </c>
      <c r="B583" s="180" t="s">
        <v>1656</v>
      </c>
      <c r="C583" s="180" t="s">
        <v>781</v>
      </c>
      <c r="D583" s="180">
        <f t="shared" si="103"/>
        <v>365</v>
      </c>
      <c r="E583" s="184">
        <v>45667</v>
      </c>
      <c r="F583" s="184">
        <f t="shared" si="104"/>
        <v>46032</v>
      </c>
      <c r="G583" s="184">
        <f t="shared" si="105"/>
        <v>46002</v>
      </c>
      <c r="H583" s="180" t="str">
        <f t="shared" ca="1" si="106"/>
        <v>A VENCER</v>
      </c>
      <c r="I583" s="183">
        <v>29.9</v>
      </c>
      <c r="J583" s="182">
        <v>150</v>
      </c>
      <c r="K583" s="182">
        <f t="shared" si="109"/>
        <v>120.1</v>
      </c>
      <c r="L583" s="181">
        <f t="shared" si="110"/>
        <v>0.80066666666666664</v>
      </c>
      <c r="M583" s="180" t="s">
        <v>1668</v>
      </c>
    </row>
    <row r="584" spans="1:13" ht="18.75" customHeight="1">
      <c r="A584" s="180" t="s">
        <v>1673</v>
      </c>
      <c r="B584" s="180" t="s">
        <v>1674</v>
      </c>
      <c r="C584" s="180" t="s">
        <v>778</v>
      </c>
      <c r="D584" s="180">
        <f t="shared" si="103"/>
        <v>365</v>
      </c>
      <c r="E584" s="184">
        <v>45671</v>
      </c>
      <c r="F584" s="184">
        <f t="shared" si="104"/>
        <v>46036</v>
      </c>
      <c r="G584" s="184">
        <f t="shared" si="105"/>
        <v>46006</v>
      </c>
      <c r="H584" s="180" t="str">
        <f t="shared" ca="1" si="106"/>
        <v>A VENCER</v>
      </c>
      <c r="I584" s="183">
        <v>29.9</v>
      </c>
      <c r="J584" s="182">
        <f t="shared" si="108"/>
        <v>100</v>
      </c>
      <c r="K584" s="182">
        <f t="shared" si="109"/>
        <v>70.099999999999994</v>
      </c>
      <c r="L584" s="181">
        <f t="shared" si="110"/>
        <v>0.70099999999999996</v>
      </c>
      <c r="M584" s="180" t="s">
        <v>777</v>
      </c>
    </row>
    <row r="585" spans="1:13" ht="18.75" customHeight="1">
      <c r="A585" s="180" t="s">
        <v>1676</v>
      </c>
      <c r="B585" s="180" t="s">
        <v>1662</v>
      </c>
      <c r="C585" s="180" t="s">
        <v>781</v>
      </c>
      <c r="D585" s="180">
        <f t="shared" si="103"/>
        <v>365</v>
      </c>
      <c r="E585" s="184">
        <v>45674</v>
      </c>
      <c r="F585" s="184">
        <f t="shared" si="104"/>
        <v>46039</v>
      </c>
      <c r="G585" s="184">
        <f t="shared" si="105"/>
        <v>46009</v>
      </c>
      <c r="H585" s="180" t="str">
        <f t="shared" ca="1" si="106"/>
        <v>A VENCER</v>
      </c>
      <c r="I585" s="183">
        <v>29.9</v>
      </c>
      <c r="J585" s="182">
        <v>150</v>
      </c>
      <c r="K585" s="182">
        <f t="shared" si="109"/>
        <v>120.1</v>
      </c>
      <c r="L585" s="181">
        <f t="shared" si="110"/>
        <v>0.80066666666666664</v>
      </c>
      <c r="M585" s="180" t="s">
        <v>1668</v>
      </c>
    </row>
    <row r="586" spans="1:13" ht="18.75" customHeight="1">
      <c r="A586" s="180" t="s">
        <v>1677</v>
      </c>
      <c r="B586" s="180" t="s">
        <v>1677</v>
      </c>
      <c r="C586" s="180" t="s">
        <v>778</v>
      </c>
      <c r="D586" s="180">
        <f t="shared" si="103"/>
        <v>365</v>
      </c>
      <c r="E586" s="184">
        <v>45674</v>
      </c>
      <c r="F586" s="184">
        <f t="shared" si="104"/>
        <v>46039</v>
      </c>
      <c r="G586" s="184">
        <f t="shared" si="105"/>
        <v>46009</v>
      </c>
      <c r="H586" s="180" t="str">
        <f t="shared" ca="1" si="106"/>
        <v>A VENCER</v>
      </c>
      <c r="I586" s="183">
        <v>29.9</v>
      </c>
      <c r="J586" s="182">
        <f t="shared" si="108"/>
        <v>100</v>
      </c>
      <c r="K586" s="182">
        <f t="shared" si="109"/>
        <v>70.099999999999994</v>
      </c>
      <c r="L586" s="181">
        <f t="shared" si="110"/>
        <v>0.70099999999999996</v>
      </c>
      <c r="M586" s="180" t="s">
        <v>777</v>
      </c>
    </row>
    <row r="587" spans="1:13" ht="18.75" customHeight="1">
      <c r="A587" s="180" t="s">
        <v>1678</v>
      </c>
      <c r="B587" s="180" t="s">
        <v>1678</v>
      </c>
      <c r="C587" s="180" t="s">
        <v>778</v>
      </c>
      <c r="D587" s="180">
        <f t="shared" si="103"/>
        <v>365</v>
      </c>
      <c r="E587" s="184">
        <v>45674</v>
      </c>
      <c r="F587" s="184">
        <f t="shared" si="104"/>
        <v>46039</v>
      </c>
      <c r="G587" s="184">
        <f t="shared" si="105"/>
        <v>46009</v>
      </c>
      <c r="H587" s="180" t="str">
        <f t="shared" ca="1" si="106"/>
        <v>A VENCER</v>
      </c>
      <c r="I587" s="183">
        <v>29.9</v>
      </c>
      <c r="J587" s="182">
        <f t="shared" si="108"/>
        <v>100</v>
      </c>
      <c r="K587" s="182">
        <f t="shared" si="109"/>
        <v>70.099999999999994</v>
      </c>
      <c r="L587" s="181">
        <f t="shared" si="110"/>
        <v>0.70099999999999996</v>
      </c>
      <c r="M587" s="180" t="s">
        <v>777</v>
      </c>
    </row>
    <row r="588" spans="1:13" ht="18.75" customHeight="1">
      <c r="A588" s="180" t="s">
        <v>1679</v>
      </c>
      <c r="B588" s="180" t="s">
        <v>1679</v>
      </c>
      <c r="C588" s="180" t="s">
        <v>778</v>
      </c>
      <c r="D588" s="180">
        <f t="shared" si="103"/>
        <v>365</v>
      </c>
      <c r="E588" s="184">
        <v>45674</v>
      </c>
      <c r="F588" s="184">
        <f t="shared" si="104"/>
        <v>46039</v>
      </c>
      <c r="G588" s="184">
        <f t="shared" si="105"/>
        <v>46009</v>
      </c>
      <c r="H588" s="180" t="str">
        <f t="shared" ca="1" si="106"/>
        <v>A VENCER</v>
      </c>
      <c r="I588" s="183">
        <v>29.9</v>
      </c>
      <c r="J588" s="182">
        <f t="shared" si="108"/>
        <v>100</v>
      </c>
      <c r="K588" s="182">
        <f t="shared" si="109"/>
        <v>70.099999999999994</v>
      </c>
      <c r="L588" s="181">
        <f t="shared" si="110"/>
        <v>0.70099999999999996</v>
      </c>
      <c r="M588" s="180" t="s">
        <v>777</v>
      </c>
    </row>
    <row r="589" spans="1:13" ht="18.75" customHeight="1">
      <c r="A589" s="180" t="s">
        <v>1680</v>
      </c>
      <c r="B589" s="180" t="s">
        <v>1680</v>
      </c>
      <c r="C589" s="180" t="s">
        <v>778</v>
      </c>
      <c r="D589" s="180">
        <f t="shared" si="103"/>
        <v>365</v>
      </c>
      <c r="E589" s="184">
        <v>45674</v>
      </c>
      <c r="F589" s="184">
        <f t="shared" si="104"/>
        <v>46039</v>
      </c>
      <c r="G589" s="184">
        <f t="shared" si="105"/>
        <v>46009</v>
      </c>
      <c r="H589" s="180" t="str">
        <f t="shared" ca="1" si="106"/>
        <v>A VENCER</v>
      </c>
      <c r="I589" s="183">
        <v>29.9</v>
      </c>
      <c r="J589" s="182">
        <f t="shared" si="108"/>
        <v>100</v>
      </c>
      <c r="K589" s="182">
        <f t="shared" si="109"/>
        <v>70.099999999999994</v>
      </c>
      <c r="L589" s="181">
        <f t="shared" si="110"/>
        <v>0.70099999999999996</v>
      </c>
      <c r="M589" s="180" t="s">
        <v>777</v>
      </c>
    </row>
    <row r="590" spans="1:13" ht="18.75" customHeight="1">
      <c r="A590" s="180" t="s">
        <v>1681</v>
      </c>
      <c r="B590" s="180" t="s">
        <v>1681</v>
      </c>
      <c r="C590" s="180" t="s">
        <v>778</v>
      </c>
      <c r="D590" s="180">
        <f t="shared" si="103"/>
        <v>365</v>
      </c>
      <c r="E590" s="184">
        <v>45677</v>
      </c>
      <c r="F590" s="184">
        <f t="shared" si="104"/>
        <v>46042</v>
      </c>
      <c r="G590" s="184">
        <f t="shared" si="105"/>
        <v>46012</v>
      </c>
      <c r="H590" s="180" t="str">
        <f t="shared" ca="1" si="106"/>
        <v>A VENCER</v>
      </c>
      <c r="I590" s="183">
        <v>29.9</v>
      </c>
      <c r="J590" s="182">
        <f t="shared" si="108"/>
        <v>100</v>
      </c>
      <c r="K590" s="182">
        <f t="shared" si="109"/>
        <v>70.099999999999994</v>
      </c>
      <c r="L590" s="181">
        <f t="shared" si="110"/>
        <v>0.70099999999999996</v>
      </c>
      <c r="M590" s="180" t="s">
        <v>777</v>
      </c>
    </row>
    <row r="591" spans="1:13" ht="18.75" customHeight="1">
      <c r="A591" s="180" t="s">
        <v>614</v>
      </c>
      <c r="B591" s="180" t="s">
        <v>614</v>
      </c>
      <c r="C591" s="180" t="s">
        <v>778</v>
      </c>
      <c r="D591" s="180">
        <f t="shared" si="103"/>
        <v>365</v>
      </c>
      <c r="E591" s="184">
        <v>45677</v>
      </c>
      <c r="F591" s="184">
        <f t="shared" si="104"/>
        <v>46042</v>
      </c>
      <c r="G591" s="184">
        <f t="shared" si="105"/>
        <v>46012</v>
      </c>
      <c r="H591" s="180" t="str">
        <f t="shared" ca="1" si="106"/>
        <v>A VENCER</v>
      </c>
      <c r="I591" s="183">
        <v>29.9</v>
      </c>
      <c r="J591" s="182">
        <f t="shared" si="108"/>
        <v>100</v>
      </c>
      <c r="K591" s="182">
        <f t="shared" si="109"/>
        <v>70.099999999999994</v>
      </c>
      <c r="L591" s="181">
        <f t="shared" si="110"/>
        <v>0.70099999999999996</v>
      </c>
      <c r="M591" s="180" t="s">
        <v>1328</v>
      </c>
    </row>
    <row r="592" spans="1:13" ht="18.75" customHeight="1">
      <c r="A592" s="180" t="s">
        <v>1682</v>
      </c>
      <c r="B592" s="180" t="s">
        <v>1682</v>
      </c>
      <c r="C592" s="180" t="s">
        <v>778</v>
      </c>
      <c r="D592" s="180">
        <f t="shared" si="103"/>
        <v>365</v>
      </c>
      <c r="E592" s="184">
        <v>45684</v>
      </c>
      <c r="F592" s="184">
        <f t="shared" si="104"/>
        <v>46049</v>
      </c>
      <c r="G592" s="184">
        <f t="shared" si="105"/>
        <v>46019</v>
      </c>
      <c r="H592" s="180" t="str">
        <f t="shared" ca="1" si="106"/>
        <v>A VENCER</v>
      </c>
      <c r="I592" s="183">
        <v>29.9</v>
      </c>
      <c r="J592" s="182">
        <f t="shared" si="108"/>
        <v>100</v>
      </c>
      <c r="K592" s="182">
        <f t="shared" si="109"/>
        <v>70.099999999999994</v>
      </c>
      <c r="L592" s="181">
        <f t="shared" si="110"/>
        <v>0.70099999999999996</v>
      </c>
      <c r="M592" s="180" t="s">
        <v>777</v>
      </c>
    </row>
    <row r="593" spans="1:13" ht="18.75" customHeight="1">
      <c r="A593" s="180" t="s">
        <v>1684</v>
      </c>
      <c r="B593" s="180" t="s">
        <v>1684</v>
      </c>
      <c r="C593" s="180" t="s">
        <v>778</v>
      </c>
      <c r="D593" s="180">
        <f t="shared" si="103"/>
        <v>365</v>
      </c>
      <c r="E593" s="184">
        <v>45687</v>
      </c>
      <c r="F593" s="184">
        <f t="shared" si="104"/>
        <v>46052</v>
      </c>
      <c r="G593" s="184">
        <f t="shared" si="105"/>
        <v>46022</v>
      </c>
      <c r="H593" s="180" t="str">
        <f t="shared" ca="1" si="106"/>
        <v>A VENCER</v>
      </c>
      <c r="I593" s="183">
        <v>29.9</v>
      </c>
      <c r="J593" s="182">
        <f t="shared" si="108"/>
        <v>100</v>
      </c>
      <c r="K593" s="182">
        <f t="shared" si="109"/>
        <v>70.099999999999994</v>
      </c>
      <c r="L593" s="181">
        <f t="shared" si="110"/>
        <v>0.70099999999999996</v>
      </c>
      <c r="M593" s="180" t="s">
        <v>777</v>
      </c>
    </row>
    <row r="594" spans="1:13" ht="18.75" customHeight="1">
      <c r="A594" s="180" t="s">
        <v>1686</v>
      </c>
      <c r="B594" s="180" t="s">
        <v>1687</v>
      </c>
      <c r="C594" s="180" t="s">
        <v>778</v>
      </c>
      <c r="D594" s="180">
        <f t="shared" si="103"/>
        <v>365</v>
      </c>
      <c r="E594" s="184">
        <v>45688</v>
      </c>
      <c r="F594" s="184">
        <f t="shared" si="104"/>
        <v>46053</v>
      </c>
      <c r="G594" s="184">
        <f t="shared" si="105"/>
        <v>46023</v>
      </c>
      <c r="H594" s="180" t="str">
        <f t="shared" ca="1" si="106"/>
        <v>A VENCER</v>
      </c>
      <c r="I594" s="183">
        <v>29.9</v>
      </c>
      <c r="J594" s="182">
        <f t="shared" si="108"/>
        <v>100</v>
      </c>
      <c r="K594" s="182">
        <f t="shared" si="109"/>
        <v>70.099999999999994</v>
      </c>
      <c r="L594" s="181">
        <f t="shared" si="110"/>
        <v>0.70099999999999996</v>
      </c>
      <c r="M594" s="180" t="s">
        <v>777</v>
      </c>
    </row>
    <row r="595" spans="1:13" ht="18.75" customHeight="1">
      <c r="A595" s="180" t="s">
        <v>1688</v>
      </c>
      <c r="B595" s="180" t="s">
        <v>1688</v>
      </c>
      <c r="C595" s="180" t="s">
        <v>778</v>
      </c>
      <c r="D595" s="180">
        <f t="shared" si="103"/>
        <v>365</v>
      </c>
      <c r="E595" s="184">
        <v>45688</v>
      </c>
      <c r="F595" s="184">
        <f t="shared" si="104"/>
        <v>46053</v>
      </c>
      <c r="G595" s="184">
        <f t="shared" si="105"/>
        <v>46023</v>
      </c>
      <c r="H595" s="180" t="str">
        <f t="shared" ca="1" si="106"/>
        <v>A VENCER</v>
      </c>
      <c r="I595" s="183">
        <v>29.9</v>
      </c>
      <c r="J595" s="182">
        <f t="shared" si="108"/>
        <v>100</v>
      </c>
      <c r="K595" s="182">
        <f t="shared" si="109"/>
        <v>70.099999999999994</v>
      </c>
      <c r="L595" s="181">
        <f t="shared" si="110"/>
        <v>0.70099999999999996</v>
      </c>
      <c r="M595" s="180" t="s">
        <v>777</v>
      </c>
    </row>
    <row r="596" spans="1:13" ht="18.75" customHeight="1">
      <c r="A596" s="180" t="s">
        <v>1689</v>
      </c>
      <c r="B596" s="180"/>
      <c r="C596" s="180" t="s">
        <v>778</v>
      </c>
      <c r="D596" s="180">
        <f t="shared" si="103"/>
        <v>365</v>
      </c>
      <c r="E596" s="184">
        <v>45688</v>
      </c>
      <c r="F596" s="184">
        <f t="shared" si="104"/>
        <v>46053</v>
      </c>
      <c r="G596" s="184">
        <f t="shared" si="105"/>
        <v>46023</v>
      </c>
      <c r="H596" s="180" t="str">
        <f t="shared" ca="1" si="106"/>
        <v>A VENCER</v>
      </c>
      <c r="I596" s="183">
        <v>29.9</v>
      </c>
      <c r="J596" s="182">
        <f t="shared" si="108"/>
        <v>100</v>
      </c>
      <c r="K596" s="182">
        <f t="shared" si="109"/>
        <v>70.099999999999994</v>
      </c>
      <c r="L596" s="181">
        <f t="shared" si="110"/>
        <v>0.70099999999999996</v>
      </c>
      <c r="M596" s="180" t="s">
        <v>777</v>
      </c>
    </row>
    <row r="597" spans="1:13" ht="18.75" customHeight="1">
      <c r="A597" s="180" t="s">
        <v>1690</v>
      </c>
      <c r="B597" s="180" t="s">
        <v>1690</v>
      </c>
      <c r="C597" s="180" t="s">
        <v>802</v>
      </c>
      <c r="D597" s="180">
        <f t="shared" si="103"/>
        <v>1095</v>
      </c>
      <c r="E597" s="184">
        <v>45688</v>
      </c>
      <c r="F597" s="184">
        <f t="shared" si="104"/>
        <v>46783</v>
      </c>
      <c r="G597" s="184">
        <f t="shared" si="105"/>
        <v>46753</v>
      </c>
      <c r="H597" s="180" t="str">
        <f t="shared" ca="1" si="106"/>
        <v>VÁLIDO</v>
      </c>
      <c r="I597" s="183">
        <v>29.9</v>
      </c>
      <c r="J597" s="182">
        <f t="shared" si="108"/>
        <v>250</v>
      </c>
      <c r="K597" s="182">
        <f t="shared" si="109"/>
        <v>220.1</v>
      </c>
      <c r="L597" s="181">
        <f t="shared" si="110"/>
        <v>0.88039999999999996</v>
      </c>
      <c r="M597" s="180" t="s">
        <v>777</v>
      </c>
    </row>
    <row r="598" spans="1:13" ht="18.75" customHeight="1">
      <c r="A598" s="180" t="s">
        <v>1662</v>
      </c>
      <c r="B598" s="180" t="s">
        <v>1662</v>
      </c>
      <c r="C598" s="180" t="s">
        <v>802</v>
      </c>
      <c r="D598" s="180">
        <f t="shared" si="103"/>
        <v>1095</v>
      </c>
      <c r="E598" s="184">
        <v>45688</v>
      </c>
      <c r="F598" s="184">
        <f t="shared" si="104"/>
        <v>46783</v>
      </c>
      <c r="G598" s="184">
        <f t="shared" si="105"/>
        <v>46753</v>
      </c>
      <c r="H598" s="180" t="str">
        <f t="shared" ca="1" si="106"/>
        <v>VÁLIDO</v>
      </c>
      <c r="I598" s="183">
        <v>29.9</v>
      </c>
      <c r="J598" s="182">
        <v>240</v>
      </c>
      <c r="K598" s="182">
        <f t="shared" si="109"/>
        <v>210.1</v>
      </c>
      <c r="L598" s="181">
        <f t="shared" si="110"/>
        <v>0.87541666666666662</v>
      </c>
      <c r="M598" s="180" t="s">
        <v>1668</v>
      </c>
    </row>
    <row r="599" spans="1:13" ht="18.75" customHeight="1">
      <c r="A599" s="454" t="s">
        <v>1691</v>
      </c>
      <c r="B599" s="449"/>
      <c r="C599" s="449"/>
      <c r="D599" s="449"/>
      <c r="E599" s="449"/>
      <c r="F599" s="449"/>
      <c r="G599" s="449"/>
      <c r="H599" s="449"/>
      <c r="I599" s="449"/>
      <c r="J599" s="449"/>
      <c r="K599" s="449"/>
      <c r="L599" s="449"/>
      <c r="M599" s="450"/>
    </row>
    <row r="600" spans="1:13" ht="18.75" customHeight="1">
      <c r="A600" s="180" t="s">
        <v>106</v>
      </c>
      <c r="B600" s="180" t="s">
        <v>106</v>
      </c>
      <c r="C600" s="180" t="s">
        <v>802</v>
      </c>
      <c r="D600" s="180">
        <f t="shared" si="103"/>
        <v>1095</v>
      </c>
      <c r="E600" s="184">
        <v>45692</v>
      </c>
      <c r="F600" s="184">
        <f t="shared" si="104"/>
        <v>46787</v>
      </c>
      <c r="G600" s="184">
        <f t="shared" si="105"/>
        <v>46757</v>
      </c>
      <c r="H600" s="180" t="str">
        <f t="shared" ca="1" si="106"/>
        <v>VÁLIDO</v>
      </c>
      <c r="I600" s="183">
        <v>29.9</v>
      </c>
      <c r="J600" s="182">
        <v>240</v>
      </c>
      <c r="K600" s="182">
        <f t="shared" si="109"/>
        <v>210.1</v>
      </c>
      <c r="L600" s="181">
        <f t="shared" si="110"/>
        <v>0.87541666666666662</v>
      </c>
      <c r="M600" s="180" t="s">
        <v>1668</v>
      </c>
    </row>
    <row r="601" spans="1:13" ht="18.75" customHeight="1">
      <c r="A601" s="180" t="s">
        <v>1695</v>
      </c>
      <c r="B601" s="180" t="s">
        <v>1695</v>
      </c>
      <c r="C601" s="180" t="s">
        <v>778</v>
      </c>
      <c r="D601" s="180">
        <f t="shared" si="103"/>
        <v>365</v>
      </c>
      <c r="E601" s="184">
        <v>45695</v>
      </c>
      <c r="F601" s="184">
        <f t="shared" si="104"/>
        <v>46060</v>
      </c>
      <c r="G601" s="184">
        <f t="shared" si="105"/>
        <v>46030</v>
      </c>
      <c r="H601" s="180" t="str">
        <f t="shared" ca="1" si="106"/>
        <v>VÁLIDO</v>
      </c>
      <c r="I601" s="183">
        <v>29.9</v>
      </c>
      <c r="J601" s="182">
        <f t="shared" si="108"/>
        <v>100</v>
      </c>
      <c r="K601" s="182">
        <f t="shared" si="109"/>
        <v>70.099999999999994</v>
      </c>
      <c r="L601" s="181">
        <f t="shared" si="110"/>
        <v>0.70099999999999996</v>
      </c>
      <c r="M601" s="180" t="s">
        <v>777</v>
      </c>
    </row>
    <row r="602" spans="1:13" ht="18.75" customHeight="1">
      <c r="A602" s="180" t="s">
        <v>1694</v>
      </c>
      <c r="B602" s="180" t="s">
        <v>1694</v>
      </c>
      <c r="C602" s="180" t="s">
        <v>802</v>
      </c>
      <c r="D602" s="180">
        <f t="shared" si="103"/>
        <v>1095</v>
      </c>
      <c r="E602" s="184">
        <v>45695</v>
      </c>
      <c r="F602" s="184">
        <f t="shared" si="104"/>
        <v>46790</v>
      </c>
      <c r="G602" s="184">
        <f t="shared" si="105"/>
        <v>46760</v>
      </c>
      <c r="H602" s="180" t="str">
        <f t="shared" ca="1" si="106"/>
        <v>VÁLIDO</v>
      </c>
      <c r="I602" s="183">
        <v>29.9</v>
      </c>
      <c r="J602" s="182">
        <v>240</v>
      </c>
      <c r="K602" s="182">
        <f t="shared" si="109"/>
        <v>210.1</v>
      </c>
      <c r="L602" s="181">
        <f t="shared" si="110"/>
        <v>0.87541666666666662</v>
      </c>
      <c r="M602" s="180" t="s">
        <v>777</v>
      </c>
    </row>
    <row r="603" spans="1:13" ht="18.75" customHeight="1">
      <c r="A603" s="180" t="s">
        <v>1701</v>
      </c>
      <c r="B603" s="180" t="s">
        <v>1701</v>
      </c>
      <c r="C603" s="180" t="s">
        <v>781</v>
      </c>
      <c r="D603" s="180">
        <f t="shared" si="103"/>
        <v>365</v>
      </c>
      <c r="E603" s="184">
        <v>45694</v>
      </c>
      <c r="F603" s="184">
        <f t="shared" si="104"/>
        <v>46059</v>
      </c>
      <c r="G603" s="184">
        <f t="shared" si="105"/>
        <v>46029</v>
      </c>
      <c r="H603" s="180" t="str">
        <f t="shared" ca="1" si="106"/>
        <v>VÁLIDO</v>
      </c>
      <c r="I603" s="183">
        <v>29.9</v>
      </c>
      <c r="J603" s="182">
        <v>150</v>
      </c>
      <c r="K603" s="182">
        <f t="shared" si="109"/>
        <v>120.1</v>
      </c>
      <c r="L603" s="181">
        <f t="shared" si="110"/>
        <v>0.80066666666666664</v>
      </c>
      <c r="M603" s="180" t="s">
        <v>1703</v>
      </c>
    </row>
    <row r="604" spans="1:13" ht="18.75" customHeight="1">
      <c r="A604" s="180" t="s">
        <v>1693</v>
      </c>
      <c r="B604" s="180" t="s">
        <v>1693</v>
      </c>
      <c r="C604" s="180" t="s">
        <v>778</v>
      </c>
      <c r="D604" s="180">
        <f t="shared" si="103"/>
        <v>365</v>
      </c>
      <c r="E604" s="184">
        <v>45695</v>
      </c>
      <c r="F604" s="184">
        <f t="shared" si="104"/>
        <v>46060</v>
      </c>
      <c r="G604" s="184">
        <f t="shared" si="105"/>
        <v>46030</v>
      </c>
      <c r="H604" s="180" t="str">
        <f t="shared" ca="1" si="106"/>
        <v>VÁLIDO</v>
      </c>
      <c r="I604" s="183">
        <v>29.9</v>
      </c>
      <c r="J604" s="182">
        <f t="shared" si="108"/>
        <v>100</v>
      </c>
      <c r="K604" s="182">
        <f t="shared" si="109"/>
        <v>70.099999999999994</v>
      </c>
      <c r="L604" s="181">
        <f t="shared" si="110"/>
        <v>0.70099999999999996</v>
      </c>
      <c r="M604" s="180" t="s">
        <v>1668</v>
      </c>
    </row>
    <row r="605" spans="1:13" ht="18.75" customHeight="1">
      <c r="A605" s="180" t="s">
        <v>1697</v>
      </c>
      <c r="B605" s="180"/>
      <c r="C605" s="180" t="s">
        <v>781</v>
      </c>
      <c r="D605" s="180">
        <f t="shared" si="103"/>
        <v>365</v>
      </c>
      <c r="E605" s="184">
        <v>45698</v>
      </c>
      <c r="F605" s="184">
        <f t="shared" si="104"/>
        <v>46063</v>
      </c>
      <c r="G605" s="184">
        <f t="shared" si="105"/>
        <v>46033</v>
      </c>
      <c r="H605" s="180" t="str">
        <f t="shared" ca="1" si="106"/>
        <v>VÁLIDO</v>
      </c>
      <c r="I605" s="183">
        <v>29.9</v>
      </c>
      <c r="J605" s="182">
        <v>150</v>
      </c>
      <c r="K605" s="182">
        <f t="shared" si="109"/>
        <v>120.1</v>
      </c>
      <c r="L605" s="181">
        <f t="shared" si="110"/>
        <v>0.80066666666666664</v>
      </c>
      <c r="M605" s="180" t="s">
        <v>1153</v>
      </c>
    </row>
    <row r="606" spans="1:13" ht="18.75" customHeight="1">
      <c r="A606" s="180" t="s">
        <v>1696</v>
      </c>
      <c r="B606" s="180" t="s">
        <v>1696</v>
      </c>
      <c r="C606" s="180" t="s">
        <v>778</v>
      </c>
      <c r="D606" s="180">
        <f t="shared" ref="D606:D669" si="111">IF(C606="A1 - 1 ano PJ",365,IF(C606="A1 - 1 ano PF",365,(365*3)))</f>
        <v>365</v>
      </c>
      <c r="E606" s="184">
        <v>45698</v>
      </c>
      <c r="F606" s="184">
        <f t="shared" ref="F606:F669" si="112">E606+D606</f>
        <v>46063</v>
      </c>
      <c r="G606" s="184">
        <f t="shared" ref="G606:G669" si="113">F606-30</f>
        <v>46033</v>
      </c>
      <c r="H606" s="180" t="str">
        <f t="shared" ref="H606:H669" ca="1" si="114">IF($A$6&lt;G606,"VÁLIDO",IF($A$6&gt;F606,"VENCIDO","A VENCER"))</f>
        <v>VÁLIDO</v>
      </c>
      <c r="I606" s="183">
        <v>29.9</v>
      </c>
      <c r="J606" s="182">
        <f t="shared" ref="J606:J661" si="115">VLOOKUP(C606,$M$3:$O$6,3,0)</f>
        <v>100</v>
      </c>
      <c r="K606" s="182">
        <f t="shared" ref="K606:K669" si="116">J606-I606</f>
        <v>70.099999999999994</v>
      </c>
      <c r="L606" s="181">
        <f t="shared" ref="L606:L669" si="117">K606/J606</f>
        <v>0.70099999999999996</v>
      </c>
      <c r="M606" s="180" t="s">
        <v>1668</v>
      </c>
    </row>
    <row r="607" spans="1:13" ht="18.75" customHeight="1">
      <c r="A607" s="180" t="s">
        <v>1700</v>
      </c>
      <c r="B607" s="180" t="s">
        <v>1700</v>
      </c>
      <c r="C607" s="180" t="s">
        <v>781</v>
      </c>
      <c r="D607" s="180">
        <f t="shared" si="111"/>
        <v>365</v>
      </c>
      <c r="E607" s="184">
        <v>45706</v>
      </c>
      <c r="F607" s="184">
        <f t="shared" si="112"/>
        <v>46071</v>
      </c>
      <c r="G607" s="184">
        <f t="shared" si="113"/>
        <v>46041</v>
      </c>
      <c r="H607" s="180" t="str">
        <f t="shared" ca="1" si="114"/>
        <v>VÁLIDO</v>
      </c>
      <c r="I607" s="183">
        <v>29.9</v>
      </c>
      <c r="J607" s="182">
        <v>150</v>
      </c>
      <c r="K607" s="182">
        <f t="shared" si="116"/>
        <v>120.1</v>
      </c>
      <c r="L607" s="181">
        <f t="shared" si="117"/>
        <v>0.80066666666666664</v>
      </c>
      <c r="M607" s="180" t="s">
        <v>1668</v>
      </c>
    </row>
    <row r="608" spans="1:13" ht="18.75" customHeight="1">
      <c r="A608" s="180" t="s">
        <v>672</v>
      </c>
      <c r="B608" s="180" t="s">
        <v>672</v>
      </c>
      <c r="C608" s="180" t="s">
        <v>778</v>
      </c>
      <c r="D608" s="180">
        <f t="shared" si="111"/>
        <v>365</v>
      </c>
      <c r="E608" s="184">
        <v>45700</v>
      </c>
      <c r="F608" s="184">
        <f t="shared" si="112"/>
        <v>46065</v>
      </c>
      <c r="G608" s="184">
        <f t="shared" si="113"/>
        <v>46035</v>
      </c>
      <c r="H608" s="180" t="str">
        <f t="shared" ca="1" si="114"/>
        <v>VÁLIDO</v>
      </c>
      <c r="I608" s="183">
        <v>29.9</v>
      </c>
      <c r="J608" s="182">
        <f t="shared" si="115"/>
        <v>100</v>
      </c>
      <c r="K608" s="182">
        <f t="shared" si="116"/>
        <v>70.099999999999994</v>
      </c>
      <c r="L608" s="181">
        <f t="shared" si="117"/>
        <v>0.70099999999999996</v>
      </c>
      <c r="M608" s="180" t="s">
        <v>777</v>
      </c>
    </row>
    <row r="609" spans="1:13" ht="18.75" customHeight="1">
      <c r="A609" s="180" t="s">
        <v>107</v>
      </c>
      <c r="B609" s="180" t="s">
        <v>107</v>
      </c>
      <c r="C609" s="180" t="s">
        <v>781</v>
      </c>
      <c r="D609" s="180">
        <f t="shared" si="111"/>
        <v>365</v>
      </c>
      <c r="E609" s="184">
        <v>45700</v>
      </c>
      <c r="F609" s="184">
        <f t="shared" si="112"/>
        <v>46065</v>
      </c>
      <c r="G609" s="184">
        <f t="shared" si="113"/>
        <v>46035</v>
      </c>
      <c r="H609" s="180" t="str">
        <f t="shared" ca="1" si="114"/>
        <v>VÁLIDO</v>
      </c>
      <c r="I609" s="183">
        <v>29.9</v>
      </c>
      <c r="J609" s="182">
        <v>150</v>
      </c>
      <c r="K609" s="182">
        <f t="shared" si="116"/>
        <v>120.1</v>
      </c>
      <c r="L609" s="181">
        <f t="shared" si="117"/>
        <v>0.80066666666666664</v>
      </c>
      <c r="M609" s="180" t="s">
        <v>1153</v>
      </c>
    </row>
    <row r="610" spans="1:13" ht="18.75" customHeight="1">
      <c r="A610" s="180" t="s">
        <v>23</v>
      </c>
      <c r="B610" s="180" t="s">
        <v>814</v>
      </c>
      <c r="C610" s="180" t="s">
        <v>781</v>
      </c>
      <c r="D610" s="180">
        <f t="shared" si="111"/>
        <v>365</v>
      </c>
      <c r="E610" s="184">
        <v>45705</v>
      </c>
      <c r="F610" s="184">
        <f t="shared" si="112"/>
        <v>46070</v>
      </c>
      <c r="G610" s="184">
        <f t="shared" si="113"/>
        <v>46040</v>
      </c>
      <c r="H610" s="180" t="str">
        <f t="shared" ca="1" si="114"/>
        <v>VÁLIDO</v>
      </c>
      <c r="I610" s="183">
        <v>29.9</v>
      </c>
      <c r="J610" s="182">
        <v>150</v>
      </c>
      <c r="K610" s="182">
        <f t="shared" si="116"/>
        <v>120.1</v>
      </c>
      <c r="L610" s="181">
        <f t="shared" si="117"/>
        <v>0.80066666666666664</v>
      </c>
      <c r="M610" s="180" t="s">
        <v>1153</v>
      </c>
    </row>
    <row r="611" spans="1:13" ht="18.75" customHeight="1">
      <c r="A611" s="180" t="s">
        <v>1702</v>
      </c>
      <c r="B611" s="180" t="s">
        <v>1699</v>
      </c>
      <c r="C611" s="180" t="s">
        <v>802</v>
      </c>
      <c r="D611" s="180">
        <f t="shared" si="111"/>
        <v>1095</v>
      </c>
      <c r="E611" s="184">
        <v>45706</v>
      </c>
      <c r="F611" s="184">
        <f t="shared" si="112"/>
        <v>46801</v>
      </c>
      <c r="G611" s="184">
        <f t="shared" si="113"/>
        <v>46771</v>
      </c>
      <c r="H611" s="180" t="str">
        <f t="shared" ca="1" si="114"/>
        <v>VÁLIDO</v>
      </c>
      <c r="I611" s="183">
        <v>29.9</v>
      </c>
      <c r="J611" s="182">
        <v>240</v>
      </c>
      <c r="K611" s="182">
        <f t="shared" si="116"/>
        <v>210.1</v>
      </c>
      <c r="L611" s="181">
        <f t="shared" si="117"/>
        <v>0.87541666666666662</v>
      </c>
      <c r="M611" s="180" t="s">
        <v>777</v>
      </c>
    </row>
    <row r="612" spans="1:13" ht="18.75" customHeight="1">
      <c r="A612" s="180" t="s">
        <v>1704</v>
      </c>
      <c r="B612" s="180" t="s">
        <v>1705</v>
      </c>
      <c r="C612" s="180" t="s">
        <v>785</v>
      </c>
      <c r="D612" s="180">
        <f t="shared" si="111"/>
        <v>1095</v>
      </c>
      <c r="E612" s="184">
        <v>45712</v>
      </c>
      <c r="F612" s="184">
        <f t="shared" si="112"/>
        <v>46807</v>
      </c>
      <c r="G612" s="184">
        <f t="shared" si="113"/>
        <v>46777</v>
      </c>
      <c r="H612" s="180" t="str">
        <f t="shared" ca="1" si="114"/>
        <v>VÁLIDO</v>
      </c>
      <c r="I612" s="183">
        <v>29.9</v>
      </c>
      <c r="J612" s="182">
        <v>270</v>
      </c>
      <c r="K612" s="182">
        <f>J612-I612</f>
        <v>240.1</v>
      </c>
      <c r="L612" s="181">
        <f t="shared" si="117"/>
        <v>0.88925925925925919</v>
      </c>
      <c r="M612" s="180" t="s">
        <v>1153</v>
      </c>
    </row>
    <row r="613" spans="1:13" ht="18.75" customHeight="1">
      <c r="A613" s="180" t="s">
        <v>1708</v>
      </c>
      <c r="B613" s="180" t="s">
        <v>1709</v>
      </c>
      <c r="C613" s="180" t="s">
        <v>781</v>
      </c>
      <c r="D613" s="180">
        <f t="shared" si="111"/>
        <v>365</v>
      </c>
      <c r="E613" s="184">
        <v>45715</v>
      </c>
      <c r="F613" s="184">
        <f t="shared" si="112"/>
        <v>46080</v>
      </c>
      <c r="G613" s="184">
        <f t="shared" si="113"/>
        <v>46050</v>
      </c>
      <c r="H613" s="180" t="str">
        <f t="shared" ca="1" si="114"/>
        <v>VÁLIDO</v>
      </c>
      <c r="I613" s="183">
        <v>29.9</v>
      </c>
      <c r="J613" s="182">
        <v>150</v>
      </c>
      <c r="K613" s="182">
        <f t="shared" si="116"/>
        <v>120.1</v>
      </c>
      <c r="L613" s="181">
        <f t="shared" si="117"/>
        <v>0.80066666666666664</v>
      </c>
      <c r="M613" s="180"/>
    </row>
    <row r="614" spans="1:13" ht="18.75" customHeight="1">
      <c r="A614" s="180"/>
      <c r="B614" s="180" t="s">
        <v>230</v>
      </c>
      <c r="C614" s="180" t="s">
        <v>778</v>
      </c>
      <c r="D614" s="180">
        <f t="shared" si="111"/>
        <v>365</v>
      </c>
      <c r="E614" s="184">
        <v>45716</v>
      </c>
      <c r="F614" s="184">
        <f t="shared" si="112"/>
        <v>46081</v>
      </c>
      <c r="G614" s="184">
        <f t="shared" si="113"/>
        <v>46051</v>
      </c>
      <c r="H614" s="180" t="str">
        <f t="shared" ca="1" si="114"/>
        <v>VÁLIDO</v>
      </c>
      <c r="I614" s="183">
        <v>29.9</v>
      </c>
      <c r="J614" s="182">
        <f t="shared" si="115"/>
        <v>100</v>
      </c>
      <c r="K614" s="182">
        <f t="shared" si="116"/>
        <v>70.099999999999994</v>
      </c>
      <c r="L614" s="181">
        <f t="shared" si="117"/>
        <v>0.70099999999999996</v>
      </c>
      <c r="M614" s="180"/>
    </row>
    <row r="615" spans="1:13" ht="18.75" customHeight="1">
      <c r="A615" s="454" t="s">
        <v>1711</v>
      </c>
      <c r="B615" s="449"/>
      <c r="C615" s="449"/>
      <c r="D615" s="449"/>
      <c r="E615" s="449"/>
      <c r="F615" s="449"/>
      <c r="G615" s="449"/>
      <c r="H615" s="449"/>
      <c r="I615" s="449"/>
      <c r="J615" s="449"/>
      <c r="K615" s="449"/>
      <c r="L615" s="449"/>
      <c r="M615" s="450"/>
    </row>
    <row r="616" spans="1:13" ht="18.75" customHeight="1">
      <c r="A616" s="180" t="s">
        <v>1710</v>
      </c>
      <c r="B616" s="180" t="s">
        <v>1710</v>
      </c>
      <c r="C616" s="180" t="s">
        <v>802</v>
      </c>
      <c r="D616" s="180">
        <f t="shared" si="111"/>
        <v>1095</v>
      </c>
      <c r="E616" s="184">
        <v>45721</v>
      </c>
      <c r="F616" s="184">
        <f t="shared" si="112"/>
        <v>46816</v>
      </c>
      <c r="G616" s="184">
        <f t="shared" si="113"/>
        <v>46786</v>
      </c>
      <c r="H616" s="180" t="str">
        <f t="shared" ca="1" si="114"/>
        <v>VÁLIDO</v>
      </c>
      <c r="I616" s="183">
        <v>94.9</v>
      </c>
      <c r="J616" s="182">
        <f t="shared" si="115"/>
        <v>250</v>
      </c>
      <c r="K616" s="182">
        <f t="shared" si="116"/>
        <v>155.1</v>
      </c>
      <c r="L616" s="181">
        <f t="shared" si="117"/>
        <v>0.62039999999999995</v>
      </c>
      <c r="M616" s="180" t="s">
        <v>777</v>
      </c>
    </row>
    <row r="617" spans="1:13" ht="18.75" customHeight="1">
      <c r="A617" s="180" t="s">
        <v>1712</v>
      </c>
      <c r="B617" s="180" t="s">
        <v>1712</v>
      </c>
      <c r="C617" s="180" t="s">
        <v>778</v>
      </c>
      <c r="D617" s="180">
        <f t="shared" si="111"/>
        <v>365</v>
      </c>
      <c r="E617" s="184">
        <v>45722</v>
      </c>
      <c r="F617" s="184">
        <f t="shared" si="112"/>
        <v>46087</v>
      </c>
      <c r="G617" s="184">
        <f t="shared" si="113"/>
        <v>46057</v>
      </c>
      <c r="H617" s="180" t="str">
        <f t="shared" ca="1" si="114"/>
        <v>VÁLIDO</v>
      </c>
      <c r="I617" s="183">
        <v>29.9</v>
      </c>
      <c r="J617" s="182">
        <f t="shared" si="115"/>
        <v>100</v>
      </c>
      <c r="K617" s="182">
        <f t="shared" si="116"/>
        <v>70.099999999999994</v>
      </c>
      <c r="L617" s="181">
        <f t="shared" si="117"/>
        <v>0.70099999999999996</v>
      </c>
      <c r="M617" s="180" t="s">
        <v>777</v>
      </c>
    </row>
    <row r="618" spans="1:13" ht="18.75" customHeight="1">
      <c r="A618" s="180" t="s">
        <v>1713</v>
      </c>
      <c r="B618" s="180" t="s">
        <v>1713</v>
      </c>
      <c r="C618" s="180" t="s">
        <v>781</v>
      </c>
      <c r="D618" s="180">
        <f t="shared" si="111"/>
        <v>365</v>
      </c>
      <c r="E618" s="184">
        <v>45722</v>
      </c>
      <c r="F618" s="184">
        <f t="shared" si="112"/>
        <v>46087</v>
      </c>
      <c r="G618" s="184">
        <f t="shared" si="113"/>
        <v>46057</v>
      </c>
      <c r="H618" s="180" t="str">
        <f t="shared" ca="1" si="114"/>
        <v>VÁLIDO</v>
      </c>
      <c r="I618" s="183">
        <v>29.9</v>
      </c>
      <c r="J618" s="182">
        <v>150</v>
      </c>
      <c r="K618" s="182">
        <f t="shared" si="116"/>
        <v>120.1</v>
      </c>
      <c r="L618" s="181">
        <f t="shared" si="117"/>
        <v>0.80066666666666664</v>
      </c>
      <c r="M618" s="180" t="s">
        <v>777</v>
      </c>
    </row>
    <row r="619" spans="1:13" ht="18.75" customHeight="1">
      <c r="A619" s="180" t="s">
        <v>106</v>
      </c>
      <c r="B619" s="180" t="s">
        <v>106</v>
      </c>
      <c r="C619" s="180" t="s">
        <v>778</v>
      </c>
      <c r="D619" s="180">
        <f t="shared" si="111"/>
        <v>365</v>
      </c>
      <c r="E619" s="184">
        <v>45723</v>
      </c>
      <c r="F619" s="184">
        <f t="shared" si="112"/>
        <v>46088</v>
      </c>
      <c r="G619" s="184">
        <f t="shared" si="113"/>
        <v>46058</v>
      </c>
      <c r="H619" s="180" t="str">
        <f t="shared" ca="1" si="114"/>
        <v>VÁLIDO</v>
      </c>
      <c r="I619" s="183">
        <v>29.9</v>
      </c>
      <c r="J619" s="182">
        <f t="shared" si="115"/>
        <v>100</v>
      </c>
      <c r="K619" s="182">
        <f t="shared" si="116"/>
        <v>70.099999999999994</v>
      </c>
      <c r="L619" s="181">
        <f t="shared" si="117"/>
        <v>0.70099999999999996</v>
      </c>
      <c r="M619" s="180"/>
    </row>
    <row r="620" spans="1:13" ht="18.75" customHeight="1">
      <c r="A620" s="180" t="s">
        <v>1715</v>
      </c>
      <c r="B620" s="180" t="s">
        <v>1715</v>
      </c>
      <c r="C620" s="180" t="s">
        <v>778</v>
      </c>
      <c r="D620" s="180">
        <f t="shared" si="111"/>
        <v>365</v>
      </c>
      <c r="E620" s="184">
        <v>45722</v>
      </c>
      <c r="F620" s="184">
        <f t="shared" si="112"/>
        <v>46087</v>
      </c>
      <c r="G620" s="184">
        <f t="shared" si="113"/>
        <v>46057</v>
      </c>
      <c r="H620" s="180" t="str">
        <f t="shared" ca="1" si="114"/>
        <v>VÁLIDO</v>
      </c>
      <c r="I620" s="183">
        <v>29.9</v>
      </c>
      <c r="J620" s="182">
        <f t="shared" si="115"/>
        <v>100</v>
      </c>
      <c r="K620" s="182">
        <f t="shared" si="116"/>
        <v>70.099999999999994</v>
      </c>
      <c r="L620" s="181">
        <f t="shared" si="117"/>
        <v>0.70099999999999996</v>
      </c>
      <c r="M620" s="180" t="s">
        <v>777</v>
      </c>
    </row>
    <row r="621" spans="1:13" ht="18.75" customHeight="1">
      <c r="A621" s="180" t="s">
        <v>1714</v>
      </c>
      <c r="B621" s="180" t="s">
        <v>1714</v>
      </c>
      <c r="C621" s="180" t="s">
        <v>781</v>
      </c>
      <c r="D621" s="180">
        <f t="shared" si="111"/>
        <v>365</v>
      </c>
      <c r="E621" s="184">
        <v>45726</v>
      </c>
      <c r="F621" s="184">
        <f t="shared" si="112"/>
        <v>46091</v>
      </c>
      <c r="G621" s="184">
        <f t="shared" si="113"/>
        <v>46061</v>
      </c>
      <c r="H621" s="180" t="str">
        <f t="shared" ca="1" si="114"/>
        <v>VÁLIDO</v>
      </c>
      <c r="I621" s="183">
        <v>29.9</v>
      </c>
      <c r="J621" s="182">
        <v>150</v>
      </c>
      <c r="K621" s="182">
        <f t="shared" si="116"/>
        <v>120.1</v>
      </c>
      <c r="L621" s="181">
        <f t="shared" si="117"/>
        <v>0.80066666666666664</v>
      </c>
      <c r="M621" s="180" t="s">
        <v>777</v>
      </c>
    </row>
    <row r="622" spans="1:13" ht="18.75" customHeight="1">
      <c r="A622" s="180" t="s">
        <v>1130</v>
      </c>
      <c r="B622" s="180" t="s">
        <v>1130</v>
      </c>
      <c r="C622" s="180" t="s">
        <v>781</v>
      </c>
      <c r="D622" s="180">
        <f t="shared" si="111"/>
        <v>365</v>
      </c>
      <c r="E622" s="184">
        <v>45728</v>
      </c>
      <c r="F622" s="184">
        <f t="shared" si="112"/>
        <v>46093</v>
      </c>
      <c r="G622" s="184">
        <f t="shared" si="113"/>
        <v>46063</v>
      </c>
      <c r="H622" s="180" t="str">
        <f t="shared" ca="1" si="114"/>
        <v>VÁLIDO</v>
      </c>
      <c r="I622" s="183">
        <v>29.9</v>
      </c>
      <c r="J622" s="182">
        <v>150</v>
      </c>
      <c r="K622" s="182">
        <f t="shared" si="116"/>
        <v>120.1</v>
      </c>
      <c r="L622" s="181">
        <f t="shared" si="117"/>
        <v>0.80066666666666664</v>
      </c>
      <c r="M622" s="180" t="s">
        <v>777</v>
      </c>
    </row>
    <row r="623" spans="1:13" ht="18.75" customHeight="1">
      <c r="A623" s="180" t="s">
        <v>1719</v>
      </c>
      <c r="B623" s="180" t="s">
        <v>1719</v>
      </c>
      <c r="C623" s="180" t="s">
        <v>781</v>
      </c>
      <c r="D623" s="180">
        <f t="shared" si="111"/>
        <v>365</v>
      </c>
      <c r="E623" s="184">
        <v>45728</v>
      </c>
      <c r="F623" s="184">
        <f t="shared" si="112"/>
        <v>46093</v>
      </c>
      <c r="G623" s="184">
        <f t="shared" si="113"/>
        <v>46063</v>
      </c>
      <c r="H623" s="180" t="str">
        <f t="shared" ca="1" si="114"/>
        <v>VÁLIDO</v>
      </c>
      <c r="I623" s="183">
        <v>29.9</v>
      </c>
      <c r="J623" s="182">
        <v>150</v>
      </c>
      <c r="K623" s="182">
        <f t="shared" si="116"/>
        <v>120.1</v>
      </c>
      <c r="L623" s="181">
        <f t="shared" si="117"/>
        <v>0.80066666666666664</v>
      </c>
      <c r="M623" s="180" t="s">
        <v>1153</v>
      </c>
    </row>
    <row r="624" spans="1:13" ht="18.75" customHeight="1">
      <c r="A624" s="180" t="s">
        <v>1720</v>
      </c>
      <c r="B624" s="180" t="s">
        <v>1720</v>
      </c>
      <c r="C624" s="180" t="s">
        <v>781</v>
      </c>
      <c r="D624" s="180">
        <f t="shared" si="111"/>
        <v>365</v>
      </c>
      <c r="E624" s="184">
        <v>45729</v>
      </c>
      <c r="F624" s="184">
        <f t="shared" si="112"/>
        <v>46094</v>
      </c>
      <c r="G624" s="184">
        <f t="shared" si="113"/>
        <v>46064</v>
      </c>
      <c r="H624" s="180" t="str">
        <f t="shared" ca="1" si="114"/>
        <v>VÁLIDO</v>
      </c>
      <c r="I624" s="183">
        <v>29.9</v>
      </c>
      <c r="J624" s="182">
        <v>150</v>
      </c>
      <c r="K624" s="182">
        <f t="shared" si="116"/>
        <v>120.1</v>
      </c>
      <c r="L624" s="181">
        <f t="shared" si="117"/>
        <v>0.80066666666666664</v>
      </c>
      <c r="M624" s="180" t="s">
        <v>777</v>
      </c>
    </row>
    <row r="625" spans="1:13" ht="18.75" customHeight="1">
      <c r="A625" s="180" t="s">
        <v>1721</v>
      </c>
      <c r="B625" s="180" t="s">
        <v>1721</v>
      </c>
      <c r="C625" s="180" t="s">
        <v>781</v>
      </c>
      <c r="D625" s="180">
        <f t="shared" si="111"/>
        <v>365</v>
      </c>
      <c r="E625" s="184">
        <v>45729</v>
      </c>
      <c r="F625" s="184">
        <f t="shared" si="112"/>
        <v>46094</v>
      </c>
      <c r="G625" s="184">
        <f t="shared" si="113"/>
        <v>46064</v>
      </c>
      <c r="H625" s="180" t="str">
        <f t="shared" ca="1" si="114"/>
        <v>VÁLIDO</v>
      </c>
      <c r="I625" s="183">
        <v>29.9</v>
      </c>
      <c r="J625" s="182">
        <v>150</v>
      </c>
      <c r="K625" s="182">
        <f t="shared" si="116"/>
        <v>120.1</v>
      </c>
      <c r="L625" s="181">
        <f t="shared" si="117"/>
        <v>0.80066666666666664</v>
      </c>
      <c r="M625" s="180" t="s">
        <v>777</v>
      </c>
    </row>
    <row r="626" spans="1:13" ht="18.75" customHeight="1">
      <c r="A626" s="180" t="s">
        <v>858</v>
      </c>
      <c r="B626" s="180" t="s">
        <v>858</v>
      </c>
      <c r="C626" s="180" t="s">
        <v>781</v>
      </c>
      <c r="D626" s="180">
        <f t="shared" si="111"/>
        <v>365</v>
      </c>
      <c r="E626" s="184">
        <v>45729</v>
      </c>
      <c r="F626" s="184">
        <f t="shared" si="112"/>
        <v>46094</v>
      </c>
      <c r="G626" s="184">
        <f t="shared" si="113"/>
        <v>46064</v>
      </c>
      <c r="H626" s="180" t="str">
        <f t="shared" ca="1" si="114"/>
        <v>VÁLIDO</v>
      </c>
      <c r="I626" s="183">
        <v>29.9</v>
      </c>
      <c r="J626" s="182">
        <v>150</v>
      </c>
      <c r="K626" s="182">
        <f t="shared" si="116"/>
        <v>120.1</v>
      </c>
      <c r="L626" s="181">
        <f t="shared" si="117"/>
        <v>0.80066666666666664</v>
      </c>
      <c r="M626" s="180" t="s">
        <v>777</v>
      </c>
    </row>
    <row r="627" spans="1:13" ht="18.75" customHeight="1">
      <c r="A627" s="180" t="s">
        <v>1722</v>
      </c>
      <c r="B627" s="180" t="s">
        <v>1723</v>
      </c>
      <c r="C627" s="180" t="s">
        <v>785</v>
      </c>
      <c r="D627" s="180">
        <f t="shared" si="111"/>
        <v>1095</v>
      </c>
      <c r="E627" s="184">
        <v>45730</v>
      </c>
      <c r="F627" s="184">
        <f t="shared" si="112"/>
        <v>46825</v>
      </c>
      <c r="G627" s="184">
        <f t="shared" si="113"/>
        <v>46795</v>
      </c>
      <c r="H627" s="180" t="str">
        <f t="shared" ca="1" si="114"/>
        <v>VÁLIDO</v>
      </c>
      <c r="I627" s="183">
        <v>94.9</v>
      </c>
      <c r="J627" s="182">
        <v>270</v>
      </c>
      <c r="K627" s="182">
        <f t="shared" si="116"/>
        <v>175.1</v>
      </c>
      <c r="L627" s="181">
        <f t="shared" si="117"/>
        <v>0.64851851851851849</v>
      </c>
      <c r="M627" s="180"/>
    </row>
    <row r="628" spans="1:13" ht="18.75" customHeight="1">
      <c r="A628" s="180" t="s">
        <v>1724</v>
      </c>
      <c r="B628" s="180" t="s">
        <v>1724</v>
      </c>
      <c r="C628" s="180" t="s">
        <v>802</v>
      </c>
      <c r="D628" s="180">
        <f t="shared" si="111"/>
        <v>1095</v>
      </c>
      <c r="E628" s="184">
        <v>45730</v>
      </c>
      <c r="F628" s="184">
        <f t="shared" si="112"/>
        <v>46825</v>
      </c>
      <c r="G628" s="184">
        <f t="shared" si="113"/>
        <v>46795</v>
      </c>
      <c r="H628" s="180" t="str">
        <f t="shared" ca="1" si="114"/>
        <v>VÁLIDO</v>
      </c>
      <c r="I628" s="183">
        <v>94.9</v>
      </c>
      <c r="J628" s="182">
        <v>240</v>
      </c>
      <c r="K628" s="182">
        <f t="shared" si="116"/>
        <v>145.1</v>
      </c>
      <c r="L628" s="181">
        <f t="shared" si="117"/>
        <v>0.60458333333333336</v>
      </c>
      <c r="M628" s="180" t="s">
        <v>777</v>
      </c>
    </row>
    <row r="629" spans="1:13" ht="18.75" customHeight="1">
      <c r="A629" s="180" t="s">
        <v>1725</v>
      </c>
      <c r="B629" s="180" t="s">
        <v>1725</v>
      </c>
      <c r="C629" s="180" t="s">
        <v>778</v>
      </c>
      <c r="D629" s="180">
        <f t="shared" si="111"/>
        <v>365</v>
      </c>
      <c r="E629" s="184">
        <v>45733</v>
      </c>
      <c r="F629" s="184">
        <f t="shared" si="112"/>
        <v>46098</v>
      </c>
      <c r="G629" s="184">
        <f t="shared" si="113"/>
        <v>46068</v>
      </c>
      <c r="H629" s="180" t="str">
        <f t="shared" ca="1" si="114"/>
        <v>VÁLIDO</v>
      </c>
      <c r="I629" s="183">
        <v>29.9</v>
      </c>
      <c r="J629" s="182">
        <f t="shared" si="115"/>
        <v>100</v>
      </c>
      <c r="K629" s="182">
        <f t="shared" si="116"/>
        <v>70.099999999999994</v>
      </c>
      <c r="L629" s="181">
        <f t="shared" si="117"/>
        <v>0.70099999999999996</v>
      </c>
      <c r="M629" s="180" t="s">
        <v>777</v>
      </c>
    </row>
    <row r="630" spans="1:13" ht="18.75" customHeight="1">
      <c r="A630" s="180" t="s">
        <v>164</v>
      </c>
      <c r="B630" s="180" t="s">
        <v>164</v>
      </c>
      <c r="C630" s="180" t="s">
        <v>778</v>
      </c>
      <c r="D630" s="180">
        <f t="shared" si="111"/>
        <v>365</v>
      </c>
      <c r="E630" s="184">
        <v>45735</v>
      </c>
      <c r="F630" s="184">
        <f t="shared" si="112"/>
        <v>46100</v>
      </c>
      <c r="G630" s="184">
        <f t="shared" si="113"/>
        <v>46070</v>
      </c>
      <c r="H630" s="180" t="str">
        <f t="shared" ca="1" si="114"/>
        <v>VÁLIDO</v>
      </c>
      <c r="I630" s="183">
        <v>29.9</v>
      </c>
      <c r="J630" s="182">
        <f t="shared" si="115"/>
        <v>100</v>
      </c>
      <c r="K630" s="182">
        <f t="shared" si="116"/>
        <v>70.099999999999994</v>
      </c>
      <c r="L630" s="181">
        <f t="shared" si="117"/>
        <v>0.70099999999999996</v>
      </c>
      <c r="M630" s="180" t="s">
        <v>777</v>
      </c>
    </row>
    <row r="631" spans="1:13" ht="18.75" customHeight="1">
      <c r="A631" s="180" t="s">
        <v>1726</v>
      </c>
      <c r="B631" s="180" t="s">
        <v>1726</v>
      </c>
      <c r="C631" s="180" t="s">
        <v>802</v>
      </c>
      <c r="D631" s="180">
        <f t="shared" si="111"/>
        <v>1095</v>
      </c>
      <c r="E631" s="184">
        <v>45737</v>
      </c>
      <c r="F631" s="184">
        <f t="shared" si="112"/>
        <v>46832</v>
      </c>
      <c r="G631" s="184">
        <f t="shared" si="113"/>
        <v>46802</v>
      </c>
      <c r="H631" s="180" t="str">
        <f t="shared" ca="1" si="114"/>
        <v>VÁLIDO</v>
      </c>
      <c r="I631" s="183">
        <v>94.9</v>
      </c>
      <c r="J631" s="182">
        <v>240</v>
      </c>
      <c r="K631" s="182">
        <f t="shared" si="116"/>
        <v>145.1</v>
      </c>
      <c r="L631" s="181">
        <f t="shared" si="117"/>
        <v>0.60458333333333336</v>
      </c>
      <c r="M631" s="180" t="s">
        <v>777</v>
      </c>
    </row>
    <row r="632" spans="1:13" ht="18.75" customHeight="1">
      <c r="A632" s="180" t="s">
        <v>1727</v>
      </c>
      <c r="B632" s="180" t="s">
        <v>1727</v>
      </c>
      <c r="C632" s="180" t="s">
        <v>778</v>
      </c>
      <c r="D632" s="180">
        <f t="shared" si="111"/>
        <v>365</v>
      </c>
      <c r="E632" s="184">
        <v>45737</v>
      </c>
      <c r="F632" s="184">
        <f t="shared" si="112"/>
        <v>46102</v>
      </c>
      <c r="G632" s="184">
        <f t="shared" si="113"/>
        <v>46072</v>
      </c>
      <c r="H632" s="180" t="str">
        <f t="shared" ca="1" si="114"/>
        <v>VÁLIDO</v>
      </c>
      <c r="I632" s="183">
        <v>29.9</v>
      </c>
      <c r="J632" s="182">
        <f t="shared" si="115"/>
        <v>100</v>
      </c>
      <c r="K632" s="182">
        <f t="shared" si="116"/>
        <v>70.099999999999994</v>
      </c>
      <c r="L632" s="181">
        <f t="shared" si="117"/>
        <v>0.70099999999999996</v>
      </c>
      <c r="M632" s="180" t="s">
        <v>777</v>
      </c>
    </row>
    <row r="633" spans="1:13" ht="18.75" customHeight="1">
      <c r="A633" s="180" t="s">
        <v>1728</v>
      </c>
      <c r="B633" s="180" t="s">
        <v>1728</v>
      </c>
      <c r="C633" s="180" t="s">
        <v>778</v>
      </c>
      <c r="D633" s="180">
        <f t="shared" si="111"/>
        <v>365</v>
      </c>
      <c r="E633" s="184">
        <v>45741</v>
      </c>
      <c r="F633" s="184">
        <f t="shared" si="112"/>
        <v>46106</v>
      </c>
      <c r="G633" s="184">
        <f t="shared" si="113"/>
        <v>46076</v>
      </c>
      <c r="H633" s="180" t="str">
        <f t="shared" ca="1" si="114"/>
        <v>VÁLIDO</v>
      </c>
      <c r="I633" s="183">
        <v>29.9</v>
      </c>
      <c r="J633" s="182">
        <f t="shared" si="115"/>
        <v>100</v>
      </c>
      <c r="K633" s="182">
        <f t="shared" si="116"/>
        <v>70.099999999999994</v>
      </c>
      <c r="L633" s="181">
        <f t="shared" si="117"/>
        <v>0.70099999999999996</v>
      </c>
      <c r="M633" s="180" t="s">
        <v>777</v>
      </c>
    </row>
    <row r="634" spans="1:13" ht="18.75" customHeight="1">
      <c r="A634" s="180" t="s">
        <v>1729</v>
      </c>
      <c r="B634" s="180" t="s">
        <v>1729</v>
      </c>
      <c r="C634" s="180" t="s">
        <v>781</v>
      </c>
      <c r="D634" s="180">
        <f t="shared" si="111"/>
        <v>365</v>
      </c>
      <c r="E634" s="184">
        <v>45741</v>
      </c>
      <c r="F634" s="184">
        <f t="shared" si="112"/>
        <v>46106</v>
      </c>
      <c r="G634" s="184">
        <f t="shared" si="113"/>
        <v>46076</v>
      </c>
      <c r="H634" s="180" t="str">
        <f t="shared" ca="1" si="114"/>
        <v>VÁLIDO</v>
      </c>
      <c r="I634" s="183">
        <v>29.9</v>
      </c>
      <c r="J634" s="182">
        <v>150</v>
      </c>
      <c r="K634" s="182">
        <f t="shared" si="116"/>
        <v>120.1</v>
      </c>
      <c r="L634" s="181">
        <f t="shared" si="117"/>
        <v>0.80066666666666664</v>
      </c>
      <c r="M634" s="180" t="s">
        <v>777</v>
      </c>
    </row>
    <row r="635" spans="1:13" ht="18.75" customHeight="1">
      <c r="A635" s="180" t="s">
        <v>1730</v>
      </c>
      <c r="B635" s="180" t="s">
        <v>1730</v>
      </c>
      <c r="C635" s="180" t="s">
        <v>778</v>
      </c>
      <c r="D635" s="180">
        <f t="shared" si="111"/>
        <v>365</v>
      </c>
      <c r="E635" s="184">
        <v>45742</v>
      </c>
      <c r="F635" s="184">
        <f t="shared" si="112"/>
        <v>46107</v>
      </c>
      <c r="G635" s="184">
        <f t="shared" si="113"/>
        <v>46077</v>
      </c>
      <c r="H635" s="180" t="str">
        <f t="shared" ca="1" si="114"/>
        <v>VÁLIDO</v>
      </c>
      <c r="I635" s="183">
        <v>29.9</v>
      </c>
      <c r="J635" s="182">
        <f t="shared" si="115"/>
        <v>100</v>
      </c>
      <c r="K635" s="182">
        <f t="shared" si="116"/>
        <v>70.099999999999994</v>
      </c>
      <c r="L635" s="181">
        <f t="shared" si="117"/>
        <v>0.70099999999999996</v>
      </c>
      <c r="M635" s="180" t="s">
        <v>777</v>
      </c>
    </row>
    <row r="636" spans="1:13" ht="18.75" customHeight="1">
      <c r="A636" s="180" t="s">
        <v>1731</v>
      </c>
      <c r="B636" s="180" t="s">
        <v>1731</v>
      </c>
      <c r="C636" s="180" t="s">
        <v>781</v>
      </c>
      <c r="D636" s="180">
        <f t="shared" si="111"/>
        <v>365</v>
      </c>
      <c r="E636" s="184">
        <v>45742</v>
      </c>
      <c r="F636" s="184">
        <f t="shared" si="112"/>
        <v>46107</v>
      </c>
      <c r="G636" s="184">
        <f t="shared" si="113"/>
        <v>46077</v>
      </c>
      <c r="H636" s="180" t="str">
        <f t="shared" ca="1" si="114"/>
        <v>VÁLIDO</v>
      </c>
      <c r="I636" s="183">
        <v>29.9</v>
      </c>
      <c r="J636" s="182">
        <v>150</v>
      </c>
      <c r="K636" s="182">
        <f t="shared" si="116"/>
        <v>120.1</v>
      </c>
      <c r="L636" s="181">
        <f t="shared" si="117"/>
        <v>0.80066666666666664</v>
      </c>
      <c r="M636" s="180" t="s">
        <v>777</v>
      </c>
    </row>
    <row r="637" spans="1:13" ht="18.75" customHeight="1">
      <c r="A637" s="180" t="s">
        <v>1732</v>
      </c>
      <c r="B637" s="180" t="s">
        <v>1732</v>
      </c>
      <c r="C637" s="180" t="s">
        <v>781</v>
      </c>
      <c r="D637" s="180">
        <f t="shared" si="111"/>
        <v>365</v>
      </c>
      <c r="E637" s="184">
        <v>45743</v>
      </c>
      <c r="F637" s="184">
        <f t="shared" si="112"/>
        <v>46108</v>
      </c>
      <c r="G637" s="184">
        <f t="shared" si="113"/>
        <v>46078</v>
      </c>
      <c r="H637" s="180" t="str">
        <f t="shared" ca="1" si="114"/>
        <v>VÁLIDO</v>
      </c>
      <c r="I637" s="183">
        <v>29.9</v>
      </c>
      <c r="J637" s="182">
        <v>150</v>
      </c>
      <c r="K637" s="182">
        <f t="shared" si="116"/>
        <v>120.1</v>
      </c>
      <c r="L637" s="181">
        <f t="shared" si="117"/>
        <v>0.80066666666666664</v>
      </c>
      <c r="M637" s="180" t="s">
        <v>777</v>
      </c>
    </row>
    <row r="638" spans="1:13" ht="18.75" customHeight="1">
      <c r="A638" s="180" t="s">
        <v>1733</v>
      </c>
      <c r="B638" s="180" t="s">
        <v>1733</v>
      </c>
      <c r="C638" s="180" t="s">
        <v>778</v>
      </c>
      <c r="D638" s="180">
        <f t="shared" si="111"/>
        <v>365</v>
      </c>
      <c r="E638" s="184">
        <v>45743</v>
      </c>
      <c r="F638" s="184">
        <f t="shared" si="112"/>
        <v>46108</v>
      </c>
      <c r="G638" s="184">
        <f t="shared" si="113"/>
        <v>46078</v>
      </c>
      <c r="H638" s="180" t="str">
        <f t="shared" ca="1" si="114"/>
        <v>VÁLIDO</v>
      </c>
      <c r="I638" s="183">
        <v>29.9</v>
      </c>
      <c r="J638" s="182">
        <f t="shared" si="115"/>
        <v>100</v>
      </c>
      <c r="K638" s="182">
        <f t="shared" si="116"/>
        <v>70.099999999999994</v>
      </c>
      <c r="L638" s="181">
        <f t="shared" si="117"/>
        <v>0.70099999999999996</v>
      </c>
      <c r="M638" s="180" t="s">
        <v>777</v>
      </c>
    </row>
    <row r="639" spans="1:13" ht="18.75" customHeight="1">
      <c r="A639" s="180" t="s">
        <v>1734</v>
      </c>
      <c r="B639" s="180" t="s">
        <v>1734</v>
      </c>
      <c r="C639" s="180" t="s">
        <v>778</v>
      </c>
      <c r="D639" s="180">
        <f t="shared" si="111"/>
        <v>365</v>
      </c>
      <c r="E639" s="184">
        <v>45744</v>
      </c>
      <c r="F639" s="184">
        <f t="shared" si="112"/>
        <v>46109</v>
      </c>
      <c r="G639" s="184">
        <f t="shared" si="113"/>
        <v>46079</v>
      </c>
      <c r="H639" s="180" t="str">
        <f t="shared" ca="1" si="114"/>
        <v>VÁLIDO</v>
      </c>
      <c r="I639" s="183">
        <v>29.9</v>
      </c>
      <c r="J639" s="182">
        <f t="shared" si="115"/>
        <v>100</v>
      </c>
      <c r="K639" s="182">
        <f t="shared" si="116"/>
        <v>70.099999999999994</v>
      </c>
      <c r="L639" s="181">
        <f t="shared" si="117"/>
        <v>0.70099999999999996</v>
      </c>
      <c r="M639" s="180" t="s">
        <v>777</v>
      </c>
    </row>
    <row r="640" spans="1:13" ht="18.75" customHeight="1">
      <c r="A640" s="180" t="s">
        <v>1603</v>
      </c>
      <c r="B640" s="180" t="s">
        <v>1603</v>
      </c>
      <c r="C640" s="180" t="s">
        <v>781</v>
      </c>
      <c r="D640" s="180">
        <f t="shared" si="111"/>
        <v>365</v>
      </c>
      <c r="E640" s="184">
        <v>45744</v>
      </c>
      <c r="F640" s="184">
        <f t="shared" si="112"/>
        <v>46109</v>
      </c>
      <c r="G640" s="184">
        <f t="shared" si="113"/>
        <v>46079</v>
      </c>
      <c r="H640" s="180" t="str">
        <f t="shared" ca="1" si="114"/>
        <v>VÁLIDO</v>
      </c>
      <c r="I640" s="183">
        <v>29.9</v>
      </c>
      <c r="J640" s="182">
        <v>150</v>
      </c>
      <c r="K640" s="182">
        <f t="shared" si="116"/>
        <v>120.1</v>
      </c>
      <c r="L640" s="181">
        <f t="shared" si="117"/>
        <v>0.80066666666666664</v>
      </c>
      <c r="M640" s="180" t="s">
        <v>777</v>
      </c>
    </row>
    <row r="641" spans="1:15" ht="18.75" customHeight="1">
      <c r="A641" s="180" t="s">
        <v>1735</v>
      </c>
      <c r="B641" s="180" t="s">
        <v>1735</v>
      </c>
      <c r="C641" s="180" t="s">
        <v>781</v>
      </c>
      <c r="D641" s="180">
        <f t="shared" si="111"/>
        <v>365</v>
      </c>
      <c r="E641" s="184">
        <v>45747</v>
      </c>
      <c r="F641" s="184">
        <f t="shared" si="112"/>
        <v>46112</v>
      </c>
      <c r="G641" s="184">
        <f t="shared" si="113"/>
        <v>46082</v>
      </c>
      <c r="H641" s="180" t="str">
        <f t="shared" ca="1" si="114"/>
        <v>VÁLIDO</v>
      </c>
      <c r="I641" s="183">
        <v>29.9</v>
      </c>
      <c r="J641" s="182">
        <v>150</v>
      </c>
      <c r="K641" s="182">
        <f t="shared" si="116"/>
        <v>120.1</v>
      </c>
      <c r="L641" s="181">
        <f t="shared" si="117"/>
        <v>0.80066666666666664</v>
      </c>
      <c r="M641" s="180" t="s">
        <v>777</v>
      </c>
    </row>
    <row r="642" spans="1:15" ht="18.75" customHeight="1">
      <c r="A642" s="180" t="s">
        <v>1736</v>
      </c>
      <c r="B642" s="180" t="s">
        <v>1736</v>
      </c>
      <c r="C642" s="180" t="s">
        <v>781</v>
      </c>
      <c r="D642" s="180">
        <f t="shared" si="111"/>
        <v>365</v>
      </c>
      <c r="E642" s="184">
        <v>45747</v>
      </c>
      <c r="F642" s="184">
        <f t="shared" si="112"/>
        <v>46112</v>
      </c>
      <c r="G642" s="184">
        <f t="shared" si="113"/>
        <v>46082</v>
      </c>
      <c r="H642" s="180" t="str">
        <f t="shared" ca="1" si="114"/>
        <v>VÁLIDO</v>
      </c>
      <c r="I642" s="183">
        <v>29.9</v>
      </c>
      <c r="J642" s="182">
        <v>150</v>
      </c>
      <c r="K642" s="182">
        <f t="shared" si="116"/>
        <v>120.1</v>
      </c>
      <c r="L642" s="181">
        <f t="shared" si="117"/>
        <v>0.80066666666666664</v>
      </c>
      <c r="M642" s="180" t="s">
        <v>777</v>
      </c>
    </row>
    <row r="643" spans="1:15" ht="18.75" customHeight="1">
      <c r="A643" s="454" t="s">
        <v>1737</v>
      </c>
      <c r="B643" s="449"/>
      <c r="C643" s="449"/>
      <c r="D643" s="449"/>
      <c r="E643" s="449"/>
      <c r="F643" s="449"/>
      <c r="G643" s="449"/>
      <c r="H643" s="449"/>
      <c r="I643" s="449"/>
      <c r="J643" s="449"/>
      <c r="K643" s="449"/>
      <c r="L643" s="449"/>
      <c r="M643" s="450"/>
    </row>
    <row r="644" spans="1:15" ht="18.75" customHeight="1">
      <c r="A644" s="180" t="s">
        <v>1738</v>
      </c>
      <c r="B644" s="180" t="s">
        <v>1738</v>
      </c>
      <c r="C644" s="180" t="s">
        <v>781</v>
      </c>
      <c r="D644" s="180">
        <f t="shared" si="111"/>
        <v>365</v>
      </c>
      <c r="E644" s="184">
        <v>45748</v>
      </c>
      <c r="F644" s="184">
        <f t="shared" si="112"/>
        <v>46113</v>
      </c>
      <c r="G644" s="184">
        <f t="shared" si="113"/>
        <v>46083</v>
      </c>
      <c r="H644" s="180" t="str">
        <f t="shared" ca="1" si="114"/>
        <v>VÁLIDO</v>
      </c>
      <c r="I644" s="183">
        <v>29.9</v>
      </c>
      <c r="J644" s="182">
        <v>150</v>
      </c>
      <c r="K644" s="182">
        <f t="shared" si="116"/>
        <v>120.1</v>
      </c>
      <c r="L644" s="181">
        <f t="shared" si="117"/>
        <v>0.80066666666666664</v>
      </c>
      <c r="M644" s="180" t="s">
        <v>777</v>
      </c>
    </row>
    <row r="645" spans="1:15" ht="18.75" customHeight="1">
      <c r="A645" s="180" t="s">
        <v>1739</v>
      </c>
      <c r="B645" s="180" t="s">
        <v>1739</v>
      </c>
      <c r="C645" s="180" t="s">
        <v>778</v>
      </c>
      <c r="D645" s="180">
        <f t="shared" si="111"/>
        <v>365</v>
      </c>
      <c r="E645" s="184">
        <v>45748</v>
      </c>
      <c r="F645" s="184">
        <f t="shared" si="112"/>
        <v>46113</v>
      </c>
      <c r="G645" s="184">
        <f t="shared" si="113"/>
        <v>46083</v>
      </c>
      <c r="H645" s="180" t="str">
        <f t="shared" ca="1" si="114"/>
        <v>VÁLIDO</v>
      </c>
      <c r="I645" s="183">
        <v>29.9</v>
      </c>
      <c r="J645" s="182">
        <f t="shared" si="115"/>
        <v>100</v>
      </c>
      <c r="K645" s="182">
        <f t="shared" si="116"/>
        <v>70.099999999999994</v>
      </c>
      <c r="L645" s="181">
        <f t="shared" si="117"/>
        <v>0.70099999999999996</v>
      </c>
      <c r="M645" s="180" t="s">
        <v>777</v>
      </c>
    </row>
    <row r="646" spans="1:15" ht="18.75" customHeight="1">
      <c r="A646" s="180" t="s">
        <v>1740</v>
      </c>
      <c r="B646" s="180" t="s">
        <v>1740</v>
      </c>
      <c r="C646" s="180" t="s">
        <v>778</v>
      </c>
      <c r="D646" s="180">
        <f t="shared" si="111"/>
        <v>365</v>
      </c>
      <c r="E646" s="184">
        <v>45750</v>
      </c>
      <c r="F646" s="184">
        <f t="shared" si="112"/>
        <v>46115</v>
      </c>
      <c r="G646" s="184">
        <f t="shared" si="113"/>
        <v>46085</v>
      </c>
      <c r="H646" s="180" t="str">
        <f t="shared" ca="1" si="114"/>
        <v>VÁLIDO</v>
      </c>
      <c r="I646" s="183">
        <v>29.9</v>
      </c>
      <c r="J646" s="182">
        <f t="shared" si="115"/>
        <v>100</v>
      </c>
      <c r="K646" s="182">
        <f t="shared" si="116"/>
        <v>70.099999999999994</v>
      </c>
      <c r="L646" s="181">
        <f t="shared" si="117"/>
        <v>0.70099999999999996</v>
      </c>
      <c r="M646" s="180" t="s">
        <v>777</v>
      </c>
    </row>
    <row r="647" spans="1:15" ht="18.75" customHeight="1">
      <c r="A647" s="180" t="s">
        <v>1741</v>
      </c>
      <c r="B647" s="180" t="s">
        <v>1741</v>
      </c>
      <c r="C647" s="180" t="s">
        <v>778</v>
      </c>
      <c r="D647" s="180">
        <f t="shared" si="111"/>
        <v>365</v>
      </c>
      <c r="E647" s="184">
        <v>45754</v>
      </c>
      <c r="F647" s="184">
        <f t="shared" si="112"/>
        <v>46119</v>
      </c>
      <c r="G647" s="184">
        <f t="shared" si="113"/>
        <v>46089</v>
      </c>
      <c r="H647" s="180" t="str">
        <f t="shared" ca="1" si="114"/>
        <v>VÁLIDO</v>
      </c>
      <c r="I647" s="183">
        <v>29.9</v>
      </c>
      <c r="J647" s="182">
        <f t="shared" si="115"/>
        <v>100</v>
      </c>
      <c r="K647" s="182">
        <f t="shared" si="116"/>
        <v>70.099999999999994</v>
      </c>
      <c r="L647" s="181">
        <f t="shared" si="117"/>
        <v>0.70099999999999996</v>
      </c>
      <c r="M647" s="180" t="s">
        <v>777</v>
      </c>
    </row>
    <row r="648" spans="1:15" ht="18.75" customHeight="1">
      <c r="A648" s="180" t="s">
        <v>1742</v>
      </c>
      <c r="B648" s="180" t="s">
        <v>1742</v>
      </c>
      <c r="C648" s="180" t="s">
        <v>802</v>
      </c>
      <c r="D648" s="180">
        <f t="shared" si="111"/>
        <v>1095</v>
      </c>
      <c r="E648" s="184">
        <v>45757</v>
      </c>
      <c r="F648" s="184">
        <f t="shared" si="112"/>
        <v>46852</v>
      </c>
      <c r="G648" s="184">
        <f t="shared" si="113"/>
        <v>46822</v>
      </c>
      <c r="H648" s="180" t="str">
        <f t="shared" ca="1" si="114"/>
        <v>VÁLIDO</v>
      </c>
      <c r="I648" s="183">
        <v>94.9</v>
      </c>
      <c r="J648" s="182">
        <v>170</v>
      </c>
      <c r="K648" s="182">
        <f t="shared" si="116"/>
        <v>75.099999999999994</v>
      </c>
      <c r="L648" s="181">
        <f t="shared" si="117"/>
        <v>0.44176470588235289</v>
      </c>
      <c r="M648" s="180" t="s">
        <v>777</v>
      </c>
      <c r="N648" s="368"/>
      <c r="O648" s="369" t="s">
        <v>1743</v>
      </c>
    </row>
    <row r="649" spans="1:15" ht="18.75" customHeight="1">
      <c r="A649" s="180" t="s">
        <v>98</v>
      </c>
      <c r="B649" s="180" t="s">
        <v>98</v>
      </c>
      <c r="C649" s="180" t="s">
        <v>781</v>
      </c>
      <c r="D649" s="180">
        <f t="shared" si="111"/>
        <v>365</v>
      </c>
      <c r="E649" s="184">
        <v>45757</v>
      </c>
      <c r="F649" s="184">
        <f t="shared" si="112"/>
        <v>46122</v>
      </c>
      <c r="G649" s="184">
        <f t="shared" si="113"/>
        <v>46092</v>
      </c>
      <c r="H649" s="180" t="str">
        <f t="shared" ca="1" si="114"/>
        <v>VÁLIDO</v>
      </c>
      <c r="I649" s="183">
        <v>29.9</v>
      </c>
      <c r="J649" s="182">
        <v>150</v>
      </c>
      <c r="K649" s="182">
        <f t="shared" si="116"/>
        <v>120.1</v>
      </c>
      <c r="L649" s="181">
        <f t="shared" si="117"/>
        <v>0.80066666666666664</v>
      </c>
      <c r="M649" s="180" t="s">
        <v>777</v>
      </c>
    </row>
    <row r="650" spans="1:15" ht="18.75" customHeight="1">
      <c r="A650" s="180"/>
      <c r="B650" s="180" t="s">
        <v>1744</v>
      </c>
      <c r="C650" s="180" t="s">
        <v>778</v>
      </c>
      <c r="D650" s="180">
        <f t="shared" si="111"/>
        <v>365</v>
      </c>
      <c r="E650" s="184">
        <v>45757</v>
      </c>
      <c r="F650" s="184">
        <f t="shared" si="112"/>
        <v>46122</v>
      </c>
      <c r="G650" s="184">
        <f t="shared" si="113"/>
        <v>46092</v>
      </c>
      <c r="H650" s="180" t="str">
        <f t="shared" ca="1" si="114"/>
        <v>VÁLIDO</v>
      </c>
      <c r="I650" s="183">
        <v>29.9</v>
      </c>
      <c r="J650" s="182">
        <f t="shared" si="115"/>
        <v>100</v>
      </c>
      <c r="K650" s="182">
        <f t="shared" si="116"/>
        <v>70.099999999999994</v>
      </c>
      <c r="L650" s="181">
        <f t="shared" si="117"/>
        <v>0.70099999999999996</v>
      </c>
      <c r="M650" s="180" t="s">
        <v>777</v>
      </c>
    </row>
    <row r="651" spans="1:15" ht="18.75" customHeight="1">
      <c r="A651" s="180"/>
      <c r="B651" s="180" t="s">
        <v>1745</v>
      </c>
      <c r="C651" s="180" t="s">
        <v>781</v>
      </c>
      <c r="D651" s="180">
        <f t="shared" si="111"/>
        <v>365</v>
      </c>
      <c r="E651" s="184">
        <v>45761</v>
      </c>
      <c r="F651" s="184">
        <f t="shared" si="112"/>
        <v>46126</v>
      </c>
      <c r="G651" s="184">
        <f t="shared" si="113"/>
        <v>46096</v>
      </c>
      <c r="H651" s="180" t="str">
        <f t="shared" ca="1" si="114"/>
        <v>VÁLIDO</v>
      </c>
      <c r="I651" s="183">
        <v>29.9</v>
      </c>
      <c r="J651" s="182">
        <v>150</v>
      </c>
      <c r="K651" s="182">
        <f t="shared" si="116"/>
        <v>120.1</v>
      </c>
      <c r="L651" s="181">
        <f t="shared" si="117"/>
        <v>0.80066666666666664</v>
      </c>
      <c r="M651" s="180" t="s">
        <v>1153</v>
      </c>
    </row>
    <row r="652" spans="1:15" ht="18.75" customHeight="1">
      <c r="A652" s="180"/>
      <c r="B652" s="180" t="s">
        <v>904</v>
      </c>
      <c r="C652" s="180" t="s">
        <v>778</v>
      </c>
      <c r="D652" s="180">
        <f t="shared" si="111"/>
        <v>365</v>
      </c>
      <c r="E652" s="184">
        <v>45763</v>
      </c>
      <c r="F652" s="184">
        <f t="shared" si="112"/>
        <v>46128</v>
      </c>
      <c r="G652" s="184">
        <f t="shared" si="113"/>
        <v>46098</v>
      </c>
      <c r="H652" s="180" t="str">
        <f t="shared" ca="1" si="114"/>
        <v>VÁLIDO</v>
      </c>
      <c r="I652" s="183">
        <v>29.9</v>
      </c>
      <c r="J652" s="182">
        <f t="shared" si="115"/>
        <v>100</v>
      </c>
      <c r="K652" s="182">
        <f t="shared" si="116"/>
        <v>70.099999999999994</v>
      </c>
      <c r="L652" s="181">
        <f t="shared" si="117"/>
        <v>0.70099999999999996</v>
      </c>
      <c r="M652" s="180" t="s">
        <v>777</v>
      </c>
    </row>
    <row r="653" spans="1:15" ht="18.75" customHeight="1">
      <c r="A653" s="180"/>
      <c r="B653" s="180" t="s">
        <v>1746</v>
      </c>
      <c r="C653" s="180" t="s">
        <v>781</v>
      </c>
      <c r="D653" s="180">
        <f t="shared" si="111"/>
        <v>365</v>
      </c>
      <c r="E653" s="184">
        <v>45769</v>
      </c>
      <c r="F653" s="184">
        <f t="shared" si="112"/>
        <v>46134</v>
      </c>
      <c r="G653" s="184">
        <f t="shared" si="113"/>
        <v>46104</v>
      </c>
      <c r="H653" s="180" t="str">
        <f t="shared" ca="1" si="114"/>
        <v>VÁLIDO</v>
      </c>
      <c r="I653" s="183">
        <v>29.9</v>
      </c>
      <c r="J653" s="182">
        <v>150</v>
      </c>
      <c r="K653" s="182">
        <f t="shared" si="116"/>
        <v>120.1</v>
      </c>
      <c r="L653" s="181">
        <f t="shared" si="117"/>
        <v>0.80066666666666664</v>
      </c>
      <c r="M653" s="180"/>
    </row>
    <row r="654" spans="1:15" ht="18.75" customHeight="1">
      <c r="A654" s="180"/>
      <c r="B654" s="180" t="s">
        <v>1259</v>
      </c>
      <c r="C654" s="180" t="s">
        <v>781</v>
      </c>
      <c r="D654" s="180">
        <f t="shared" si="111"/>
        <v>365</v>
      </c>
      <c r="E654" s="184">
        <v>45770</v>
      </c>
      <c r="F654" s="184">
        <f t="shared" si="112"/>
        <v>46135</v>
      </c>
      <c r="G654" s="184">
        <f t="shared" si="113"/>
        <v>46105</v>
      </c>
      <c r="H654" s="180" t="str">
        <f t="shared" ca="1" si="114"/>
        <v>VÁLIDO</v>
      </c>
      <c r="I654" s="183">
        <v>29.9</v>
      </c>
      <c r="J654" s="182">
        <v>150</v>
      </c>
      <c r="K654" s="182">
        <f t="shared" si="116"/>
        <v>120.1</v>
      </c>
      <c r="L654" s="181">
        <f t="shared" si="117"/>
        <v>0.80066666666666664</v>
      </c>
      <c r="M654" s="180" t="s">
        <v>777</v>
      </c>
    </row>
    <row r="655" spans="1:15" ht="18.75" customHeight="1">
      <c r="A655" s="180" t="s">
        <v>1757</v>
      </c>
      <c r="B655" s="180" t="s">
        <v>1756</v>
      </c>
      <c r="C655" s="180" t="s">
        <v>781</v>
      </c>
      <c r="D655" s="180">
        <f t="shared" si="111"/>
        <v>365</v>
      </c>
      <c r="E655" s="184">
        <v>45771</v>
      </c>
      <c r="F655" s="184">
        <f t="shared" si="112"/>
        <v>46136</v>
      </c>
      <c r="G655" s="184">
        <f t="shared" si="113"/>
        <v>46106</v>
      </c>
      <c r="H655" s="180" t="str">
        <f t="shared" ca="1" si="114"/>
        <v>VÁLIDO</v>
      </c>
      <c r="I655" s="183">
        <v>29.9</v>
      </c>
      <c r="J655" s="182">
        <v>150</v>
      </c>
      <c r="K655" s="182">
        <f t="shared" si="116"/>
        <v>120.1</v>
      </c>
      <c r="L655" s="181">
        <f t="shared" si="117"/>
        <v>0.80066666666666664</v>
      </c>
      <c r="M655" s="180" t="s">
        <v>777</v>
      </c>
    </row>
    <row r="656" spans="1:15" ht="18.75" customHeight="1">
      <c r="A656" s="180" t="s">
        <v>1481</v>
      </c>
      <c r="B656" s="180" t="s">
        <v>1481</v>
      </c>
      <c r="C656" s="180" t="s">
        <v>778</v>
      </c>
      <c r="D656" s="180">
        <f t="shared" si="111"/>
        <v>365</v>
      </c>
      <c r="E656" s="184">
        <v>45776</v>
      </c>
      <c r="F656" s="184">
        <f t="shared" si="112"/>
        <v>46141</v>
      </c>
      <c r="G656" s="184">
        <f t="shared" si="113"/>
        <v>46111</v>
      </c>
      <c r="H656" s="180" t="str">
        <f t="shared" ca="1" si="114"/>
        <v>VÁLIDO</v>
      </c>
      <c r="I656" s="183">
        <v>29.9</v>
      </c>
      <c r="J656" s="182">
        <f t="shared" si="115"/>
        <v>100</v>
      </c>
      <c r="K656" s="182">
        <f t="shared" si="116"/>
        <v>70.099999999999994</v>
      </c>
      <c r="L656" s="181">
        <f t="shared" si="117"/>
        <v>0.70099999999999996</v>
      </c>
      <c r="M656" s="180" t="s">
        <v>777</v>
      </c>
    </row>
    <row r="657" spans="1:13" ht="18.75" customHeight="1">
      <c r="A657" s="454" t="s">
        <v>1758</v>
      </c>
      <c r="B657" s="449"/>
      <c r="C657" s="449"/>
      <c r="D657" s="449"/>
      <c r="E657" s="449"/>
      <c r="F657" s="449"/>
      <c r="G657" s="449"/>
      <c r="H657" s="449"/>
      <c r="I657" s="449"/>
      <c r="J657" s="449"/>
      <c r="K657" s="449"/>
      <c r="L657" s="449"/>
      <c r="M657" s="450"/>
    </row>
    <row r="658" spans="1:13" ht="18.75" customHeight="1">
      <c r="A658" s="180" t="s">
        <v>1759</v>
      </c>
      <c r="B658" s="180" t="s">
        <v>1760</v>
      </c>
      <c r="C658" s="180" t="s">
        <v>781</v>
      </c>
      <c r="D658" s="180">
        <f t="shared" si="111"/>
        <v>365</v>
      </c>
      <c r="E658" s="184">
        <v>45782</v>
      </c>
      <c r="F658" s="184">
        <f t="shared" si="112"/>
        <v>46147</v>
      </c>
      <c r="G658" s="184">
        <f t="shared" si="113"/>
        <v>46117</v>
      </c>
      <c r="H658" s="180" t="str">
        <f t="shared" ca="1" si="114"/>
        <v>VÁLIDO</v>
      </c>
      <c r="I658" s="183">
        <v>29.9</v>
      </c>
      <c r="J658" s="182">
        <v>150</v>
      </c>
      <c r="K658" s="182">
        <f t="shared" si="116"/>
        <v>120.1</v>
      </c>
      <c r="L658" s="181">
        <f t="shared" si="117"/>
        <v>0.80066666666666664</v>
      </c>
      <c r="M658" s="180" t="s">
        <v>777</v>
      </c>
    </row>
    <row r="659" spans="1:13" ht="18.75" customHeight="1">
      <c r="A659" s="180" t="s">
        <v>1761</v>
      </c>
      <c r="B659" s="180" t="s">
        <v>1761</v>
      </c>
      <c r="C659" s="180" t="s">
        <v>781</v>
      </c>
      <c r="D659" s="180">
        <f t="shared" si="111"/>
        <v>365</v>
      </c>
      <c r="E659" s="184">
        <v>45783</v>
      </c>
      <c r="F659" s="184">
        <f t="shared" si="112"/>
        <v>46148</v>
      </c>
      <c r="G659" s="184">
        <f t="shared" si="113"/>
        <v>46118</v>
      </c>
      <c r="H659" s="180" t="str">
        <f t="shared" ca="1" si="114"/>
        <v>VÁLIDO</v>
      </c>
      <c r="I659" s="183">
        <v>29.9</v>
      </c>
      <c r="J659" s="182">
        <v>150</v>
      </c>
      <c r="K659" s="182">
        <f t="shared" si="116"/>
        <v>120.1</v>
      </c>
      <c r="L659" s="181">
        <f t="shared" si="117"/>
        <v>0.80066666666666664</v>
      </c>
      <c r="M659" s="180" t="s">
        <v>777</v>
      </c>
    </row>
    <row r="660" spans="1:13" ht="18.75" customHeight="1">
      <c r="A660" s="180" t="s">
        <v>1514</v>
      </c>
      <c r="B660" s="180" t="s">
        <v>1514</v>
      </c>
      <c r="C660" s="180" t="s">
        <v>781</v>
      </c>
      <c r="D660" s="180">
        <f t="shared" si="111"/>
        <v>365</v>
      </c>
      <c r="E660" s="184">
        <v>45784</v>
      </c>
      <c r="F660" s="184">
        <f t="shared" si="112"/>
        <v>46149</v>
      </c>
      <c r="G660" s="184">
        <f t="shared" si="113"/>
        <v>46119</v>
      </c>
      <c r="H660" s="180" t="str">
        <f t="shared" ca="1" si="114"/>
        <v>VÁLIDO</v>
      </c>
      <c r="I660" s="183">
        <v>29.9</v>
      </c>
      <c r="J660" s="182">
        <v>150</v>
      </c>
      <c r="K660" s="182">
        <f t="shared" si="116"/>
        <v>120.1</v>
      </c>
      <c r="L660" s="181">
        <f t="shared" si="117"/>
        <v>0.80066666666666664</v>
      </c>
      <c r="M660" s="180" t="s">
        <v>777</v>
      </c>
    </row>
    <row r="661" spans="1:13" ht="18.75" customHeight="1">
      <c r="A661" s="180" t="s">
        <v>1762</v>
      </c>
      <c r="B661" s="180" t="s">
        <v>1762</v>
      </c>
      <c r="C661" s="180" t="s">
        <v>778</v>
      </c>
      <c r="D661" s="180">
        <f t="shared" si="111"/>
        <v>365</v>
      </c>
      <c r="E661" s="184">
        <v>45784</v>
      </c>
      <c r="F661" s="184">
        <f t="shared" si="112"/>
        <v>46149</v>
      </c>
      <c r="G661" s="184">
        <f t="shared" si="113"/>
        <v>46119</v>
      </c>
      <c r="H661" s="180" t="str">
        <f t="shared" ca="1" si="114"/>
        <v>VÁLIDO</v>
      </c>
      <c r="I661" s="183">
        <v>29.9</v>
      </c>
      <c r="J661" s="182">
        <f t="shared" si="115"/>
        <v>100</v>
      </c>
      <c r="K661" s="182">
        <f t="shared" si="116"/>
        <v>70.099999999999994</v>
      </c>
      <c r="L661" s="181">
        <f t="shared" si="117"/>
        <v>0.70099999999999996</v>
      </c>
      <c r="M661" s="180" t="s">
        <v>777</v>
      </c>
    </row>
    <row r="662" spans="1:13" ht="18.75" customHeight="1">
      <c r="A662" s="180" t="s">
        <v>1763</v>
      </c>
      <c r="B662" s="180" t="s">
        <v>1763</v>
      </c>
      <c r="C662" s="180" t="s">
        <v>781</v>
      </c>
      <c r="D662" s="180">
        <f t="shared" si="111"/>
        <v>365</v>
      </c>
      <c r="E662" s="184">
        <v>45784</v>
      </c>
      <c r="F662" s="184">
        <f t="shared" si="112"/>
        <v>46149</v>
      </c>
      <c r="G662" s="184">
        <f t="shared" si="113"/>
        <v>46119</v>
      </c>
      <c r="H662" s="180" t="str">
        <f t="shared" ca="1" si="114"/>
        <v>VÁLIDO</v>
      </c>
      <c r="I662" s="183">
        <v>29.9</v>
      </c>
      <c r="J662" s="182">
        <v>150</v>
      </c>
      <c r="K662" s="182">
        <f t="shared" si="116"/>
        <v>120.1</v>
      </c>
      <c r="L662" s="181">
        <f t="shared" si="117"/>
        <v>0.80066666666666664</v>
      </c>
      <c r="M662" s="180" t="s">
        <v>777</v>
      </c>
    </row>
    <row r="663" spans="1:13" ht="18.75" customHeight="1">
      <c r="A663" s="180" t="s">
        <v>139</v>
      </c>
      <c r="B663" s="180" t="s">
        <v>163</v>
      </c>
      <c r="C663" s="180" t="s">
        <v>781</v>
      </c>
      <c r="D663" s="180">
        <f t="shared" si="111"/>
        <v>365</v>
      </c>
      <c r="E663" s="184">
        <v>45789</v>
      </c>
      <c r="F663" s="184">
        <f t="shared" si="112"/>
        <v>46154</v>
      </c>
      <c r="G663" s="184">
        <f t="shared" si="113"/>
        <v>46124</v>
      </c>
      <c r="H663" s="180" t="str">
        <f t="shared" ca="1" si="114"/>
        <v>VÁLIDO</v>
      </c>
      <c r="I663" s="183">
        <v>29.9</v>
      </c>
      <c r="J663" s="182">
        <v>150</v>
      </c>
      <c r="K663" s="182">
        <f t="shared" si="116"/>
        <v>120.1</v>
      </c>
      <c r="L663" s="181">
        <f t="shared" si="117"/>
        <v>0.80066666666666664</v>
      </c>
      <c r="M663" s="180" t="s">
        <v>777</v>
      </c>
    </row>
    <row r="664" spans="1:13" ht="18.75" customHeight="1">
      <c r="A664" s="180" t="s">
        <v>1764</v>
      </c>
      <c r="B664" s="180" t="s">
        <v>1764</v>
      </c>
      <c r="C664" s="180" t="s">
        <v>781</v>
      </c>
      <c r="D664" s="180">
        <f t="shared" si="111"/>
        <v>365</v>
      </c>
      <c r="E664" s="184">
        <v>45789</v>
      </c>
      <c r="F664" s="184">
        <f t="shared" si="112"/>
        <v>46154</v>
      </c>
      <c r="G664" s="184">
        <f t="shared" si="113"/>
        <v>46124</v>
      </c>
      <c r="H664" s="180" t="str">
        <f t="shared" ca="1" si="114"/>
        <v>VÁLIDO</v>
      </c>
      <c r="I664" s="183">
        <v>29.9</v>
      </c>
      <c r="J664" s="182">
        <v>150</v>
      </c>
      <c r="K664" s="182">
        <f t="shared" si="116"/>
        <v>120.1</v>
      </c>
      <c r="L664" s="181">
        <f t="shared" si="117"/>
        <v>0.80066666666666664</v>
      </c>
      <c r="M664" s="180" t="s">
        <v>777</v>
      </c>
    </row>
    <row r="665" spans="1:13" ht="18.75" customHeight="1">
      <c r="A665" s="180" t="s">
        <v>1766</v>
      </c>
      <c r="B665" s="180" t="s">
        <v>1765</v>
      </c>
      <c r="C665" s="180" t="s">
        <v>781</v>
      </c>
      <c r="D665" s="180">
        <f t="shared" si="111"/>
        <v>365</v>
      </c>
      <c r="E665" s="184">
        <v>45791</v>
      </c>
      <c r="F665" s="184">
        <f t="shared" si="112"/>
        <v>46156</v>
      </c>
      <c r="G665" s="184">
        <f t="shared" si="113"/>
        <v>46126</v>
      </c>
      <c r="H665" s="180" t="str">
        <f t="shared" ca="1" si="114"/>
        <v>VÁLIDO</v>
      </c>
      <c r="I665" s="183">
        <v>29.9</v>
      </c>
      <c r="J665" s="182">
        <v>150</v>
      </c>
      <c r="K665" s="182">
        <f t="shared" si="116"/>
        <v>120.1</v>
      </c>
      <c r="L665" s="181">
        <f t="shared" si="117"/>
        <v>0.80066666666666664</v>
      </c>
      <c r="M665" s="180" t="s">
        <v>777</v>
      </c>
    </row>
    <row r="666" spans="1:13" ht="18.75" customHeight="1">
      <c r="A666" s="180" t="s">
        <v>9</v>
      </c>
      <c r="B666" s="180" t="s">
        <v>9</v>
      </c>
      <c r="C666" s="180" t="s">
        <v>781</v>
      </c>
      <c r="D666" s="180">
        <f t="shared" si="111"/>
        <v>365</v>
      </c>
      <c r="E666" s="184">
        <v>45792</v>
      </c>
      <c r="F666" s="184">
        <f t="shared" si="112"/>
        <v>46157</v>
      </c>
      <c r="G666" s="184">
        <f t="shared" si="113"/>
        <v>46127</v>
      </c>
      <c r="H666" s="180" t="str">
        <f t="shared" ca="1" si="114"/>
        <v>VÁLIDO</v>
      </c>
      <c r="I666" s="183">
        <v>29.9</v>
      </c>
      <c r="J666" s="182">
        <v>150</v>
      </c>
      <c r="K666" s="182">
        <f t="shared" si="116"/>
        <v>120.1</v>
      </c>
      <c r="L666" s="181">
        <f t="shared" si="117"/>
        <v>0.80066666666666664</v>
      </c>
      <c r="M666" s="180" t="s">
        <v>777</v>
      </c>
    </row>
    <row r="667" spans="1:13" ht="18.75" customHeight="1">
      <c r="A667" s="180" t="s">
        <v>1767</v>
      </c>
      <c r="B667" s="180" t="s">
        <v>1767</v>
      </c>
      <c r="C667" s="180" t="s">
        <v>781</v>
      </c>
      <c r="D667" s="180">
        <f t="shared" si="111"/>
        <v>365</v>
      </c>
      <c r="E667" s="184">
        <v>45793</v>
      </c>
      <c r="F667" s="184">
        <f t="shared" si="112"/>
        <v>46158</v>
      </c>
      <c r="G667" s="184">
        <f t="shared" si="113"/>
        <v>46128</v>
      </c>
      <c r="H667" s="180" t="str">
        <f t="shared" ca="1" si="114"/>
        <v>VÁLIDO</v>
      </c>
      <c r="I667" s="183">
        <v>29.9</v>
      </c>
      <c r="J667" s="182">
        <v>150</v>
      </c>
      <c r="K667" s="182">
        <f t="shared" si="116"/>
        <v>120.1</v>
      </c>
      <c r="L667" s="181">
        <f t="shared" si="117"/>
        <v>0.80066666666666664</v>
      </c>
      <c r="M667" s="180" t="s">
        <v>777</v>
      </c>
    </row>
    <row r="668" spans="1:13" ht="18.75" customHeight="1">
      <c r="A668" s="178" t="s">
        <v>1838</v>
      </c>
      <c r="B668" s="180" t="s">
        <v>1838</v>
      </c>
      <c r="C668" s="180" t="s">
        <v>781</v>
      </c>
      <c r="D668" s="180">
        <f t="shared" si="111"/>
        <v>365</v>
      </c>
      <c r="E668" s="184">
        <v>45796</v>
      </c>
      <c r="F668" s="184">
        <f t="shared" si="112"/>
        <v>46161</v>
      </c>
      <c r="G668" s="184">
        <f t="shared" si="113"/>
        <v>46131</v>
      </c>
      <c r="H668" s="180" t="str">
        <f t="shared" ca="1" si="114"/>
        <v>VÁLIDO</v>
      </c>
      <c r="I668" s="183">
        <v>29.9</v>
      </c>
      <c r="J668" s="182">
        <v>150</v>
      </c>
      <c r="K668" s="182">
        <f t="shared" si="116"/>
        <v>120.1</v>
      </c>
      <c r="L668" s="181">
        <f t="shared" si="117"/>
        <v>0.80066666666666664</v>
      </c>
      <c r="M668" s="180" t="s">
        <v>777</v>
      </c>
    </row>
    <row r="669" spans="1:13" ht="18.75" customHeight="1">
      <c r="A669" s="180" t="s">
        <v>1839</v>
      </c>
      <c r="B669" s="180" t="s">
        <v>1839</v>
      </c>
      <c r="C669" s="180" t="s">
        <v>781</v>
      </c>
      <c r="D669" s="180">
        <f t="shared" si="111"/>
        <v>365</v>
      </c>
      <c r="E669" s="184">
        <v>45797</v>
      </c>
      <c r="F669" s="184">
        <f t="shared" si="112"/>
        <v>46162</v>
      </c>
      <c r="G669" s="184">
        <f t="shared" si="113"/>
        <v>46132</v>
      </c>
      <c r="H669" s="180" t="str">
        <f t="shared" ca="1" si="114"/>
        <v>VÁLIDO</v>
      </c>
      <c r="I669" s="183">
        <v>29.9</v>
      </c>
      <c r="J669" s="182">
        <v>150</v>
      </c>
      <c r="K669" s="182">
        <f t="shared" si="116"/>
        <v>120.1</v>
      </c>
      <c r="L669" s="181">
        <f t="shared" si="117"/>
        <v>0.80066666666666664</v>
      </c>
      <c r="M669" s="180" t="s">
        <v>777</v>
      </c>
    </row>
    <row r="670" spans="1:13" ht="18.75" customHeight="1">
      <c r="A670" s="180" t="s">
        <v>1840</v>
      </c>
      <c r="B670" s="180" t="s">
        <v>1840</v>
      </c>
      <c r="C670" s="180" t="s">
        <v>778</v>
      </c>
      <c r="D670" s="180">
        <f t="shared" ref="D670:D734" si="118">IF(C670="A1 - 1 ano PJ",365,IF(C670="A1 - 1 ano PF",365,(365*3)))</f>
        <v>365</v>
      </c>
      <c r="E670" s="184">
        <v>45800</v>
      </c>
      <c r="F670" s="184">
        <f t="shared" ref="F670:F734" si="119">E670+D670</f>
        <v>46165</v>
      </c>
      <c r="G670" s="184">
        <f t="shared" ref="G670:G734" si="120">F670-30</f>
        <v>46135</v>
      </c>
      <c r="H670" s="180" t="str">
        <f t="shared" ref="H670:H734" ca="1" si="121">IF($A$6&lt;G670,"VÁLIDO",IF($A$6&gt;F670,"VENCIDO","A VENCER"))</f>
        <v>VÁLIDO</v>
      </c>
      <c r="I670" s="183">
        <v>29.9</v>
      </c>
      <c r="J670" s="182">
        <f t="shared" ref="J670:J730" si="122">VLOOKUP(C670,$M$3:$O$6,3,0)</f>
        <v>100</v>
      </c>
      <c r="K670" s="182">
        <f t="shared" ref="K670:K734" si="123">J670-I670</f>
        <v>70.099999999999994</v>
      </c>
      <c r="L670" s="181">
        <f t="shared" ref="L670:L734" si="124">K670/J670</f>
        <v>0.70099999999999996</v>
      </c>
      <c r="M670" s="180" t="s">
        <v>777</v>
      </c>
    </row>
    <row r="671" spans="1:13" ht="18.75" customHeight="1">
      <c r="A671" s="180" t="s">
        <v>1239</v>
      </c>
      <c r="B671" s="180" t="s">
        <v>1239</v>
      </c>
      <c r="C671" s="180" t="s">
        <v>778</v>
      </c>
      <c r="D671" s="180">
        <f t="shared" si="118"/>
        <v>365</v>
      </c>
      <c r="E671" s="184">
        <v>45800</v>
      </c>
      <c r="F671" s="184">
        <f t="shared" si="119"/>
        <v>46165</v>
      </c>
      <c r="G671" s="184">
        <f t="shared" si="120"/>
        <v>46135</v>
      </c>
      <c r="H671" s="180" t="str">
        <f t="shared" ca="1" si="121"/>
        <v>VÁLIDO</v>
      </c>
      <c r="I671" s="183">
        <v>29.9</v>
      </c>
      <c r="J671" s="182">
        <f t="shared" si="122"/>
        <v>100</v>
      </c>
      <c r="K671" s="182">
        <f t="shared" si="123"/>
        <v>70.099999999999994</v>
      </c>
      <c r="L671" s="181">
        <f t="shared" si="124"/>
        <v>0.70099999999999996</v>
      </c>
      <c r="M671" s="180" t="s">
        <v>777</v>
      </c>
    </row>
    <row r="672" spans="1:13" ht="18.75" customHeight="1">
      <c r="A672" s="180" t="s">
        <v>1841</v>
      </c>
      <c r="B672" s="180" t="s">
        <v>1841</v>
      </c>
      <c r="C672" s="180" t="s">
        <v>781</v>
      </c>
      <c r="D672" s="180">
        <f t="shared" si="118"/>
        <v>365</v>
      </c>
      <c r="E672" s="184">
        <v>45803</v>
      </c>
      <c r="F672" s="184">
        <f t="shared" si="119"/>
        <v>46168</v>
      </c>
      <c r="G672" s="184">
        <f t="shared" si="120"/>
        <v>46138</v>
      </c>
      <c r="H672" s="180" t="str">
        <f t="shared" ca="1" si="121"/>
        <v>VÁLIDO</v>
      </c>
      <c r="I672" s="183">
        <v>29.9</v>
      </c>
      <c r="J672" s="182">
        <v>150</v>
      </c>
      <c r="K672" s="182">
        <f t="shared" si="123"/>
        <v>120.1</v>
      </c>
      <c r="L672" s="181">
        <f t="shared" si="124"/>
        <v>0.80066666666666664</v>
      </c>
      <c r="M672" s="180" t="s">
        <v>777</v>
      </c>
    </row>
    <row r="673" spans="1:14" ht="18.75" customHeight="1">
      <c r="A673" s="180" t="s">
        <v>1198</v>
      </c>
      <c r="B673" s="180" t="s">
        <v>1842</v>
      </c>
      <c r="C673" s="180" t="s">
        <v>778</v>
      </c>
      <c r="D673" s="180">
        <f t="shared" si="118"/>
        <v>365</v>
      </c>
      <c r="E673" s="184">
        <v>45804</v>
      </c>
      <c r="F673" s="184">
        <f t="shared" si="119"/>
        <v>46169</v>
      </c>
      <c r="G673" s="184">
        <f t="shared" si="120"/>
        <v>46139</v>
      </c>
      <c r="H673" s="180" t="str">
        <f t="shared" ca="1" si="121"/>
        <v>VÁLIDO</v>
      </c>
      <c r="I673" s="183">
        <v>29.9</v>
      </c>
      <c r="J673" s="182">
        <v>150</v>
      </c>
      <c r="K673" s="182">
        <f t="shared" si="123"/>
        <v>120.1</v>
      </c>
      <c r="L673" s="181">
        <f t="shared" si="124"/>
        <v>0.80066666666666664</v>
      </c>
      <c r="M673" s="180" t="s">
        <v>777</v>
      </c>
    </row>
    <row r="674" spans="1:14" ht="18.75" customHeight="1">
      <c r="A674" s="180" t="s">
        <v>1843</v>
      </c>
      <c r="B674" s="180" t="s">
        <v>1843</v>
      </c>
      <c r="C674" s="180" t="s">
        <v>778</v>
      </c>
      <c r="D674" s="180">
        <f t="shared" si="118"/>
        <v>365</v>
      </c>
      <c r="E674" s="184">
        <v>45805</v>
      </c>
      <c r="F674" s="184">
        <f t="shared" si="119"/>
        <v>46170</v>
      </c>
      <c r="G674" s="184">
        <f t="shared" si="120"/>
        <v>46140</v>
      </c>
      <c r="H674" s="180" t="str">
        <f t="shared" ca="1" si="121"/>
        <v>VÁLIDO</v>
      </c>
      <c r="I674" s="183">
        <v>29.9</v>
      </c>
      <c r="J674" s="182">
        <f t="shared" si="122"/>
        <v>100</v>
      </c>
      <c r="K674" s="182">
        <f t="shared" si="123"/>
        <v>70.099999999999994</v>
      </c>
      <c r="L674" s="181">
        <f t="shared" si="124"/>
        <v>0.70099999999999996</v>
      </c>
      <c r="M674" s="180" t="s">
        <v>777</v>
      </c>
    </row>
    <row r="675" spans="1:14" ht="18.75" customHeight="1">
      <c r="A675" s="180" t="s">
        <v>612</v>
      </c>
      <c r="B675" s="180" t="s">
        <v>612</v>
      </c>
      <c r="C675" s="180" t="s">
        <v>778</v>
      </c>
      <c r="D675" s="180">
        <f t="shared" si="118"/>
        <v>365</v>
      </c>
      <c r="E675" s="184">
        <v>45805</v>
      </c>
      <c r="F675" s="184">
        <f t="shared" si="119"/>
        <v>46170</v>
      </c>
      <c r="G675" s="184">
        <f t="shared" si="120"/>
        <v>46140</v>
      </c>
      <c r="H675" s="180" t="str">
        <f t="shared" ca="1" si="121"/>
        <v>VÁLIDO</v>
      </c>
      <c r="I675" s="183">
        <v>29.9</v>
      </c>
      <c r="J675" s="182">
        <f t="shared" si="122"/>
        <v>100</v>
      </c>
      <c r="K675" s="182">
        <f t="shared" si="123"/>
        <v>70.099999999999994</v>
      </c>
      <c r="L675" s="181">
        <f t="shared" si="124"/>
        <v>0.70099999999999996</v>
      </c>
      <c r="M675" s="180" t="s">
        <v>777</v>
      </c>
    </row>
    <row r="676" spans="1:14" ht="18.75" customHeight="1">
      <c r="A676" s="180" t="s">
        <v>1844</v>
      </c>
      <c r="B676" s="180" t="s">
        <v>1844</v>
      </c>
      <c r="C676" s="180" t="s">
        <v>778</v>
      </c>
      <c r="D676" s="180">
        <f t="shared" si="118"/>
        <v>365</v>
      </c>
      <c r="E676" s="184">
        <v>45805</v>
      </c>
      <c r="F676" s="184">
        <f t="shared" si="119"/>
        <v>46170</v>
      </c>
      <c r="G676" s="184">
        <f t="shared" si="120"/>
        <v>46140</v>
      </c>
      <c r="H676" s="180" t="str">
        <f t="shared" ca="1" si="121"/>
        <v>VÁLIDO</v>
      </c>
      <c r="I676" s="183">
        <v>29.9</v>
      </c>
      <c r="J676" s="182">
        <f t="shared" si="122"/>
        <v>100</v>
      </c>
      <c r="K676" s="182">
        <f t="shared" si="123"/>
        <v>70.099999999999994</v>
      </c>
      <c r="L676" s="181">
        <f t="shared" si="124"/>
        <v>0.70099999999999996</v>
      </c>
      <c r="M676" s="180" t="s">
        <v>777</v>
      </c>
    </row>
    <row r="677" spans="1:14" ht="18.75" customHeight="1">
      <c r="A677" s="180" t="s">
        <v>1845</v>
      </c>
      <c r="B677" s="180" t="s">
        <v>1845</v>
      </c>
      <c r="C677" s="180" t="s">
        <v>778</v>
      </c>
      <c r="D677" s="180">
        <f t="shared" si="118"/>
        <v>365</v>
      </c>
      <c r="E677" s="184">
        <v>45806</v>
      </c>
      <c r="F677" s="184">
        <f t="shared" si="119"/>
        <v>46171</v>
      </c>
      <c r="G677" s="184">
        <f t="shared" si="120"/>
        <v>46141</v>
      </c>
      <c r="H677" s="180" t="str">
        <f t="shared" ca="1" si="121"/>
        <v>VÁLIDO</v>
      </c>
      <c r="I677" s="183">
        <v>29.9</v>
      </c>
      <c r="J677" s="182">
        <f t="shared" si="122"/>
        <v>100</v>
      </c>
      <c r="K677" s="182">
        <f t="shared" si="123"/>
        <v>70.099999999999994</v>
      </c>
      <c r="L677" s="181">
        <f t="shared" si="124"/>
        <v>0.70099999999999996</v>
      </c>
      <c r="M677" s="180" t="s">
        <v>777</v>
      </c>
    </row>
    <row r="678" spans="1:14" ht="18.75" customHeight="1">
      <c r="A678" s="180" t="s">
        <v>267</v>
      </c>
      <c r="B678" s="180" t="s">
        <v>267</v>
      </c>
      <c r="C678" s="180" t="s">
        <v>781</v>
      </c>
      <c r="D678" s="180">
        <f t="shared" si="118"/>
        <v>365</v>
      </c>
      <c r="E678" s="184">
        <v>45806</v>
      </c>
      <c r="F678" s="184">
        <f t="shared" si="119"/>
        <v>46171</v>
      </c>
      <c r="G678" s="184">
        <f t="shared" si="120"/>
        <v>46141</v>
      </c>
      <c r="H678" s="180" t="str">
        <f t="shared" ca="1" si="121"/>
        <v>VÁLIDO</v>
      </c>
      <c r="I678" s="183">
        <v>29.9</v>
      </c>
      <c r="J678" s="182">
        <v>150</v>
      </c>
      <c r="K678" s="182">
        <f t="shared" si="123"/>
        <v>120.1</v>
      </c>
      <c r="L678" s="181">
        <f t="shared" si="124"/>
        <v>0.80066666666666664</v>
      </c>
      <c r="M678" s="180" t="s">
        <v>777</v>
      </c>
    </row>
    <row r="679" spans="1:14" ht="18.75" customHeight="1">
      <c r="A679" s="180" t="s">
        <v>1846</v>
      </c>
      <c r="B679" s="180" t="s">
        <v>1846</v>
      </c>
      <c r="C679" s="180" t="s">
        <v>778</v>
      </c>
      <c r="D679" s="180">
        <f t="shared" si="118"/>
        <v>365</v>
      </c>
      <c r="E679" s="184">
        <v>45807</v>
      </c>
      <c r="F679" s="184">
        <f t="shared" si="119"/>
        <v>46172</v>
      </c>
      <c r="G679" s="184">
        <f t="shared" si="120"/>
        <v>46142</v>
      </c>
      <c r="H679" s="180" t="str">
        <f t="shared" ca="1" si="121"/>
        <v>VÁLIDO</v>
      </c>
      <c r="I679" s="183">
        <v>29.9</v>
      </c>
      <c r="J679" s="182">
        <f t="shared" si="122"/>
        <v>100</v>
      </c>
      <c r="K679" s="182">
        <f t="shared" si="123"/>
        <v>70.099999999999994</v>
      </c>
      <c r="L679" s="181">
        <f t="shared" si="124"/>
        <v>0.70099999999999996</v>
      </c>
      <c r="M679" s="180" t="s">
        <v>777</v>
      </c>
    </row>
    <row r="680" spans="1:14" ht="18.75" customHeight="1">
      <c r="A680" s="180" t="s">
        <v>209</v>
      </c>
      <c r="B680" s="180" t="s">
        <v>209</v>
      </c>
      <c r="C680" s="180" t="s">
        <v>781</v>
      </c>
      <c r="D680" s="180">
        <f t="shared" si="118"/>
        <v>365</v>
      </c>
      <c r="E680" s="184">
        <v>45807</v>
      </c>
      <c r="F680" s="184">
        <f t="shared" si="119"/>
        <v>46172</v>
      </c>
      <c r="G680" s="184">
        <f t="shared" si="120"/>
        <v>46142</v>
      </c>
      <c r="H680" s="180" t="str">
        <f t="shared" ca="1" si="121"/>
        <v>VÁLIDO</v>
      </c>
      <c r="I680" s="183">
        <v>29.9</v>
      </c>
      <c r="J680" s="182">
        <v>150</v>
      </c>
      <c r="K680" s="182">
        <f t="shared" si="123"/>
        <v>120.1</v>
      </c>
      <c r="L680" s="181">
        <f t="shared" si="124"/>
        <v>0.80066666666666664</v>
      </c>
      <c r="M680" s="180" t="s">
        <v>777</v>
      </c>
    </row>
    <row r="681" spans="1:14" ht="18.75" customHeight="1">
      <c r="A681" s="180" t="s">
        <v>1847</v>
      </c>
      <c r="B681" s="180" t="s">
        <v>1847</v>
      </c>
      <c r="C681" s="180" t="s">
        <v>778</v>
      </c>
      <c r="D681" s="180">
        <f t="shared" si="118"/>
        <v>365</v>
      </c>
      <c r="E681" s="184">
        <v>45807</v>
      </c>
      <c r="F681" s="184">
        <f t="shared" si="119"/>
        <v>46172</v>
      </c>
      <c r="G681" s="184">
        <f t="shared" si="120"/>
        <v>46142</v>
      </c>
      <c r="H681" s="180" t="str">
        <f t="shared" ca="1" si="121"/>
        <v>VÁLIDO</v>
      </c>
      <c r="I681" s="183">
        <v>29.9</v>
      </c>
      <c r="J681" s="182">
        <f t="shared" si="122"/>
        <v>100</v>
      </c>
      <c r="K681" s="182">
        <f t="shared" si="123"/>
        <v>70.099999999999994</v>
      </c>
      <c r="L681" s="181">
        <f t="shared" si="124"/>
        <v>0.70099999999999996</v>
      </c>
      <c r="M681" s="180" t="s">
        <v>777</v>
      </c>
    </row>
    <row r="682" spans="1:14" ht="18.75" customHeight="1">
      <c r="A682" s="180" t="s">
        <v>1848</v>
      </c>
      <c r="B682" s="180" t="s">
        <v>1848</v>
      </c>
      <c r="C682" s="180" t="s">
        <v>781</v>
      </c>
      <c r="D682" s="180">
        <f t="shared" si="118"/>
        <v>365</v>
      </c>
      <c r="E682" s="184">
        <v>45807</v>
      </c>
      <c r="F682" s="184">
        <f t="shared" si="119"/>
        <v>46172</v>
      </c>
      <c r="G682" s="184">
        <f t="shared" si="120"/>
        <v>46142</v>
      </c>
      <c r="H682" s="180" t="str">
        <f t="shared" ca="1" si="121"/>
        <v>VÁLIDO</v>
      </c>
      <c r="I682" s="183">
        <v>29.9</v>
      </c>
      <c r="J682" s="182">
        <v>150</v>
      </c>
      <c r="K682" s="182">
        <f t="shared" si="123"/>
        <v>120.1</v>
      </c>
      <c r="L682" s="181">
        <f t="shared" si="124"/>
        <v>0.80066666666666664</v>
      </c>
      <c r="M682" s="180" t="s">
        <v>777</v>
      </c>
    </row>
    <row r="683" spans="1:14" ht="18.75" customHeight="1">
      <c r="A683" s="180" t="s">
        <v>1849</v>
      </c>
      <c r="B683" s="180" t="s">
        <v>1849</v>
      </c>
      <c r="C683" s="180" t="s">
        <v>781</v>
      </c>
      <c r="D683" s="180">
        <f t="shared" si="118"/>
        <v>365</v>
      </c>
      <c r="E683" s="184">
        <v>45807</v>
      </c>
      <c r="F683" s="184">
        <f t="shared" si="119"/>
        <v>46172</v>
      </c>
      <c r="G683" s="184">
        <f t="shared" si="120"/>
        <v>46142</v>
      </c>
      <c r="H683" s="180" t="str">
        <f t="shared" ca="1" si="121"/>
        <v>VÁLIDO</v>
      </c>
      <c r="I683" s="183">
        <v>29.9</v>
      </c>
      <c r="J683" s="182">
        <v>150</v>
      </c>
      <c r="K683" s="182">
        <f t="shared" si="123"/>
        <v>120.1</v>
      </c>
      <c r="L683" s="181">
        <f t="shared" si="124"/>
        <v>0.80066666666666664</v>
      </c>
      <c r="M683" s="180" t="s">
        <v>777</v>
      </c>
    </row>
    <row r="684" spans="1:14" ht="18.75" customHeight="1">
      <c r="A684" s="180" t="s">
        <v>676</v>
      </c>
      <c r="B684" s="180" t="s">
        <v>676</v>
      </c>
      <c r="C684" s="180" t="s">
        <v>778</v>
      </c>
      <c r="D684" s="180">
        <f t="shared" si="118"/>
        <v>365</v>
      </c>
      <c r="E684" s="184">
        <v>45807</v>
      </c>
      <c r="F684" s="184">
        <f t="shared" si="119"/>
        <v>46172</v>
      </c>
      <c r="G684" s="184">
        <f t="shared" si="120"/>
        <v>46142</v>
      </c>
      <c r="H684" s="180" t="str">
        <f t="shared" ca="1" si="121"/>
        <v>VÁLIDO</v>
      </c>
      <c r="I684" s="183">
        <v>29.9</v>
      </c>
      <c r="J684" s="182">
        <f t="shared" si="122"/>
        <v>100</v>
      </c>
      <c r="K684" s="182">
        <f t="shared" si="123"/>
        <v>70.099999999999994</v>
      </c>
      <c r="L684" s="181">
        <f t="shared" si="124"/>
        <v>0.70099999999999996</v>
      </c>
      <c r="M684" s="180" t="s">
        <v>777</v>
      </c>
    </row>
    <row r="685" spans="1:14" ht="18.75" customHeight="1">
      <c r="A685" s="430"/>
      <c r="B685" s="449" t="s">
        <v>1858</v>
      </c>
      <c r="C685" s="449"/>
      <c r="D685" s="449"/>
      <c r="E685" s="449"/>
      <c r="F685" s="449"/>
      <c r="G685" s="449"/>
      <c r="H685" s="449"/>
      <c r="I685" s="449"/>
      <c r="J685" s="449"/>
      <c r="K685" s="449"/>
      <c r="L685" s="449"/>
      <c r="M685" s="449"/>
      <c r="N685" s="450"/>
    </row>
    <row r="686" spans="1:14" ht="18.75" customHeight="1">
      <c r="A686" s="180" t="s">
        <v>590</v>
      </c>
      <c r="B686" s="180" t="s">
        <v>590</v>
      </c>
      <c r="C686" s="180" t="s">
        <v>781</v>
      </c>
      <c r="D686" s="180">
        <f t="shared" si="118"/>
        <v>365</v>
      </c>
      <c r="E686" s="184">
        <v>45810</v>
      </c>
      <c r="F686" s="184">
        <f t="shared" si="119"/>
        <v>46175</v>
      </c>
      <c r="G686" s="184">
        <f t="shared" si="120"/>
        <v>46145</v>
      </c>
      <c r="H686" s="180" t="str">
        <f t="shared" ca="1" si="121"/>
        <v>VÁLIDO</v>
      </c>
      <c r="I686" s="183">
        <v>29.9</v>
      </c>
      <c r="J686" s="182">
        <v>150</v>
      </c>
      <c r="K686" s="182">
        <f t="shared" si="123"/>
        <v>120.1</v>
      </c>
      <c r="L686" s="181">
        <f t="shared" si="124"/>
        <v>0.80066666666666664</v>
      </c>
      <c r="M686" s="180" t="s">
        <v>777</v>
      </c>
    </row>
    <row r="687" spans="1:14" ht="18.75" customHeight="1">
      <c r="A687" s="180" t="s">
        <v>590</v>
      </c>
      <c r="B687" s="180" t="s">
        <v>590</v>
      </c>
      <c r="C687" s="180" t="s">
        <v>778</v>
      </c>
      <c r="D687" s="180">
        <f t="shared" si="118"/>
        <v>365</v>
      </c>
      <c r="E687" s="184">
        <v>45810</v>
      </c>
      <c r="F687" s="184">
        <f t="shared" si="119"/>
        <v>46175</v>
      </c>
      <c r="G687" s="184">
        <f t="shared" si="120"/>
        <v>46145</v>
      </c>
      <c r="H687" s="180" t="str">
        <f t="shared" ca="1" si="121"/>
        <v>VÁLIDO</v>
      </c>
      <c r="I687" s="183">
        <v>29.9</v>
      </c>
      <c r="J687" s="182">
        <f t="shared" si="122"/>
        <v>100</v>
      </c>
      <c r="K687" s="182">
        <f t="shared" si="123"/>
        <v>70.099999999999994</v>
      </c>
      <c r="L687" s="181">
        <f t="shared" si="124"/>
        <v>0.70099999999999996</v>
      </c>
      <c r="M687" s="180" t="s">
        <v>777</v>
      </c>
    </row>
    <row r="688" spans="1:14" ht="18.75" customHeight="1">
      <c r="A688" s="180" t="s">
        <v>590</v>
      </c>
      <c r="B688" s="180" t="s">
        <v>590</v>
      </c>
      <c r="C688" s="180" t="s">
        <v>785</v>
      </c>
      <c r="D688" s="180">
        <f t="shared" si="118"/>
        <v>1095</v>
      </c>
      <c r="E688" s="184">
        <v>45810</v>
      </c>
      <c r="F688" s="184">
        <f t="shared" si="119"/>
        <v>46905</v>
      </c>
      <c r="G688" s="184">
        <f t="shared" si="120"/>
        <v>46875</v>
      </c>
      <c r="H688" s="180" t="str">
        <f t="shared" ca="1" si="121"/>
        <v>VÁLIDO</v>
      </c>
      <c r="I688" s="183">
        <v>29.9</v>
      </c>
      <c r="J688" s="182">
        <v>170</v>
      </c>
      <c r="K688" s="182">
        <f t="shared" si="123"/>
        <v>140.1</v>
      </c>
      <c r="L688" s="181">
        <f t="shared" si="124"/>
        <v>0.82411764705882351</v>
      </c>
      <c r="M688" s="180" t="s">
        <v>777</v>
      </c>
    </row>
    <row r="689" spans="1:13" ht="18.75" customHeight="1">
      <c r="A689" s="180" t="s">
        <v>1850</v>
      </c>
      <c r="B689" s="180" t="s">
        <v>1850</v>
      </c>
      <c r="C689" s="180" t="s">
        <v>781</v>
      </c>
      <c r="D689" s="180">
        <f t="shared" si="118"/>
        <v>365</v>
      </c>
      <c r="E689" s="184">
        <v>45810</v>
      </c>
      <c r="F689" s="184">
        <f t="shared" si="119"/>
        <v>46175</v>
      </c>
      <c r="G689" s="184">
        <f t="shared" si="120"/>
        <v>46145</v>
      </c>
      <c r="H689" s="180" t="str">
        <f t="shared" ca="1" si="121"/>
        <v>VÁLIDO</v>
      </c>
      <c r="I689" s="183">
        <v>29.9</v>
      </c>
      <c r="J689" s="182">
        <v>150</v>
      </c>
      <c r="K689" s="182">
        <f t="shared" si="123"/>
        <v>120.1</v>
      </c>
      <c r="L689" s="181">
        <f t="shared" si="124"/>
        <v>0.80066666666666664</v>
      </c>
      <c r="M689" s="180" t="s">
        <v>777</v>
      </c>
    </row>
    <row r="690" spans="1:13" ht="18.75" customHeight="1">
      <c r="A690" s="180" t="s">
        <v>1851</v>
      </c>
      <c r="B690" s="180" t="s">
        <v>1851</v>
      </c>
      <c r="C690" s="180" t="s">
        <v>778</v>
      </c>
      <c r="D690" s="180">
        <f t="shared" si="118"/>
        <v>365</v>
      </c>
      <c r="E690" s="184">
        <v>45810</v>
      </c>
      <c r="F690" s="184">
        <f t="shared" si="119"/>
        <v>46175</v>
      </c>
      <c r="G690" s="184">
        <f t="shared" si="120"/>
        <v>46145</v>
      </c>
      <c r="H690" s="180" t="str">
        <f t="shared" ca="1" si="121"/>
        <v>VÁLIDO</v>
      </c>
      <c r="I690" s="183">
        <v>29.9</v>
      </c>
      <c r="J690" s="182">
        <f t="shared" si="122"/>
        <v>100</v>
      </c>
      <c r="K690" s="182">
        <f t="shared" si="123"/>
        <v>70.099999999999994</v>
      </c>
      <c r="L690" s="181">
        <f t="shared" si="124"/>
        <v>0.70099999999999996</v>
      </c>
      <c r="M690" s="180" t="s">
        <v>777</v>
      </c>
    </row>
    <row r="691" spans="1:13" ht="18.75" customHeight="1">
      <c r="A691" s="180" t="s">
        <v>1342</v>
      </c>
      <c r="B691" s="180" t="s">
        <v>1342</v>
      </c>
      <c r="C691" s="180" t="s">
        <v>778</v>
      </c>
      <c r="D691" s="180">
        <f t="shared" si="118"/>
        <v>365</v>
      </c>
      <c r="E691" s="184">
        <v>45811</v>
      </c>
      <c r="F691" s="184">
        <f t="shared" si="119"/>
        <v>46176</v>
      </c>
      <c r="G691" s="184">
        <f t="shared" si="120"/>
        <v>46146</v>
      </c>
      <c r="H691" s="180" t="str">
        <f t="shared" ca="1" si="121"/>
        <v>VÁLIDO</v>
      </c>
      <c r="I691" s="183">
        <v>29.9</v>
      </c>
      <c r="J691" s="182">
        <f t="shared" si="122"/>
        <v>100</v>
      </c>
      <c r="K691" s="182">
        <f t="shared" si="123"/>
        <v>70.099999999999994</v>
      </c>
      <c r="L691" s="181">
        <f t="shared" si="124"/>
        <v>0.70099999999999996</v>
      </c>
      <c r="M691" s="180" t="s">
        <v>777</v>
      </c>
    </row>
    <row r="692" spans="1:13" ht="18.75" customHeight="1">
      <c r="A692" s="180" t="s">
        <v>1852</v>
      </c>
      <c r="B692" s="180" t="s">
        <v>1852</v>
      </c>
      <c r="C692" s="180" t="s">
        <v>802</v>
      </c>
      <c r="D692" s="180">
        <f t="shared" si="118"/>
        <v>1095</v>
      </c>
      <c r="E692" s="184">
        <v>45812</v>
      </c>
      <c r="F692" s="184">
        <f t="shared" si="119"/>
        <v>46907</v>
      </c>
      <c r="G692" s="184">
        <f t="shared" si="120"/>
        <v>46877</v>
      </c>
      <c r="H692" s="180" t="str">
        <f t="shared" ca="1" si="121"/>
        <v>VÁLIDO</v>
      </c>
      <c r="I692" s="183">
        <v>29.9</v>
      </c>
      <c r="J692" s="182">
        <f t="shared" si="122"/>
        <v>250</v>
      </c>
      <c r="K692" s="182">
        <f t="shared" si="123"/>
        <v>220.1</v>
      </c>
      <c r="L692" s="181">
        <f t="shared" si="124"/>
        <v>0.88039999999999996</v>
      </c>
      <c r="M692" s="180" t="s">
        <v>777</v>
      </c>
    </row>
    <row r="693" spans="1:13" ht="18.75" customHeight="1">
      <c r="A693" s="180" t="s">
        <v>1853</v>
      </c>
      <c r="B693" s="180" t="s">
        <v>1853</v>
      </c>
      <c r="C693" s="180" t="s">
        <v>778</v>
      </c>
      <c r="D693" s="180">
        <f t="shared" si="118"/>
        <v>365</v>
      </c>
      <c r="E693" s="184">
        <v>45814</v>
      </c>
      <c r="F693" s="184">
        <f t="shared" si="119"/>
        <v>46179</v>
      </c>
      <c r="G693" s="184">
        <f t="shared" si="120"/>
        <v>46149</v>
      </c>
      <c r="H693" s="180" t="str">
        <f t="shared" ca="1" si="121"/>
        <v>VÁLIDO</v>
      </c>
      <c r="I693" s="183">
        <v>29.9</v>
      </c>
      <c r="J693" s="182">
        <f t="shared" si="122"/>
        <v>100</v>
      </c>
      <c r="K693" s="182">
        <f t="shared" si="123"/>
        <v>70.099999999999994</v>
      </c>
      <c r="L693" s="181">
        <f t="shared" si="124"/>
        <v>0.70099999999999996</v>
      </c>
      <c r="M693" s="180" t="s">
        <v>777</v>
      </c>
    </row>
    <row r="694" spans="1:13" ht="18.75" customHeight="1">
      <c r="A694" s="180" t="s">
        <v>587</v>
      </c>
      <c r="B694" s="180" t="s">
        <v>587</v>
      </c>
      <c r="C694" s="180" t="s">
        <v>778</v>
      </c>
      <c r="D694" s="180">
        <f t="shared" si="118"/>
        <v>365</v>
      </c>
      <c r="E694" s="184">
        <v>45814</v>
      </c>
      <c r="F694" s="184">
        <f t="shared" si="119"/>
        <v>46179</v>
      </c>
      <c r="G694" s="184">
        <f t="shared" si="120"/>
        <v>46149</v>
      </c>
      <c r="H694" s="180" t="str">
        <f t="shared" ca="1" si="121"/>
        <v>VÁLIDO</v>
      </c>
      <c r="I694" s="183">
        <v>29.9</v>
      </c>
      <c r="J694" s="182">
        <f t="shared" si="122"/>
        <v>100</v>
      </c>
      <c r="K694" s="182">
        <f t="shared" si="123"/>
        <v>70.099999999999994</v>
      </c>
      <c r="L694" s="181">
        <f t="shared" si="124"/>
        <v>0.70099999999999996</v>
      </c>
      <c r="M694" s="180" t="s">
        <v>777</v>
      </c>
    </row>
    <row r="695" spans="1:13" ht="18.75" customHeight="1">
      <c r="A695" s="180" t="s">
        <v>658</v>
      </c>
      <c r="B695" s="180" t="s">
        <v>658</v>
      </c>
      <c r="C695" s="180" t="s">
        <v>778</v>
      </c>
      <c r="D695" s="180">
        <f t="shared" si="118"/>
        <v>365</v>
      </c>
      <c r="E695" s="184">
        <v>45814</v>
      </c>
      <c r="F695" s="184">
        <f t="shared" si="119"/>
        <v>46179</v>
      </c>
      <c r="G695" s="184">
        <f t="shared" si="120"/>
        <v>46149</v>
      </c>
      <c r="H695" s="180" t="str">
        <f t="shared" ca="1" si="121"/>
        <v>VÁLIDO</v>
      </c>
      <c r="I695" s="183">
        <v>29.9</v>
      </c>
      <c r="J695" s="182">
        <f t="shared" si="122"/>
        <v>100</v>
      </c>
      <c r="K695" s="182">
        <f t="shared" si="123"/>
        <v>70.099999999999994</v>
      </c>
      <c r="L695" s="181">
        <f t="shared" si="124"/>
        <v>0.70099999999999996</v>
      </c>
      <c r="M695" s="180" t="s">
        <v>777</v>
      </c>
    </row>
    <row r="696" spans="1:13" ht="18.75" customHeight="1">
      <c r="A696" s="180" t="s">
        <v>1854</v>
      </c>
      <c r="B696" s="180" t="s">
        <v>1854</v>
      </c>
      <c r="C696" s="180" t="s">
        <v>778</v>
      </c>
      <c r="D696" s="180">
        <f t="shared" si="118"/>
        <v>365</v>
      </c>
      <c r="E696" s="184">
        <v>45818</v>
      </c>
      <c r="F696" s="184">
        <f t="shared" si="119"/>
        <v>46183</v>
      </c>
      <c r="G696" s="184">
        <f t="shared" si="120"/>
        <v>46153</v>
      </c>
      <c r="H696" s="180" t="str">
        <f t="shared" ca="1" si="121"/>
        <v>VÁLIDO</v>
      </c>
      <c r="I696" s="183">
        <v>29.9</v>
      </c>
      <c r="J696" s="182">
        <f t="shared" si="122"/>
        <v>100</v>
      </c>
      <c r="K696" s="182">
        <f t="shared" si="123"/>
        <v>70.099999999999994</v>
      </c>
      <c r="L696" s="181">
        <f t="shared" si="124"/>
        <v>0.70099999999999996</v>
      </c>
      <c r="M696" s="180" t="s">
        <v>777</v>
      </c>
    </row>
    <row r="697" spans="1:13" ht="18.75" customHeight="1">
      <c r="A697" s="180" t="s">
        <v>1855</v>
      </c>
      <c r="B697" s="180" t="s">
        <v>1855</v>
      </c>
      <c r="C697" s="180" t="s">
        <v>781</v>
      </c>
      <c r="D697" s="180">
        <f t="shared" si="118"/>
        <v>365</v>
      </c>
      <c r="E697" s="184">
        <v>45821</v>
      </c>
      <c r="F697" s="184">
        <f t="shared" si="119"/>
        <v>46186</v>
      </c>
      <c r="G697" s="184">
        <f t="shared" si="120"/>
        <v>46156</v>
      </c>
      <c r="H697" s="180" t="str">
        <f t="shared" ca="1" si="121"/>
        <v>VÁLIDO</v>
      </c>
      <c r="I697" s="183">
        <v>29.9</v>
      </c>
      <c r="J697" s="182">
        <v>150</v>
      </c>
      <c r="K697" s="182">
        <f t="shared" si="123"/>
        <v>120.1</v>
      </c>
      <c r="L697" s="181">
        <f t="shared" si="124"/>
        <v>0.80066666666666664</v>
      </c>
      <c r="M697" s="180" t="s">
        <v>777</v>
      </c>
    </row>
    <row r="698" spans="1:13" ht="18.75" customHeight="1">
      <c r="A698" s="180" t="s">
        <v>1856</v>
      </c>
      <c r="B698" s="180" t="s">
        <v>1856</v>
      </c>
      <c r="C698" s="180" t="s">
        <v>781</v>
      </c>
      <c r="D698" s="180">
        <f t="shared" si="118"/>
        <v>365</v>
      </c>
      <c r="E698" s="184">
        <v>45821</v>
      </c>
      <c r="F698" s="184">
        <f t="shared" si="119"/>
        <v>46186</v>
      </c>
      <c r="G698" s="184">
        <f t="shared" si="120"/>
        <v>46156</v>
      </c>
      <c r="H698" s="180" t="str">
        <f t="shared" ca="1" si="121"/>
        <v>VÁLIDO</v>
      </c>
      <c r="I698" s="183">
        <v>29.9</v>
      </c>
      <c r="J698" s="182">
        <v>150</v>
      </c>
      <c r="K698" s="182">
        <f t="shared" si="123"/>
        <v>120.1</v>
      </c>
      <c r="L698" s="181">
        <f t="shared" si="124"/>
        <v>0.80066666666666664</v>
      </c>
      <c r="M698" s="180" t="s">
        <v>777</v>
      </c>
    </row>
    <row r="699" spans="1:13" ht="18.75" customHeight="1">
      <c r="A699" s="180" t="s">
        <v>1857</v>
      </c>
      <c r="B699" s="180" t="s">
        <v>1857</v>
      </c>
      <c r="C699" s="180" t="s">
        <v>802</v>
      </c>
      <c r="D699" s="180">
        <f t="shared" si="118"/>
        <v>1095</v>
      </c>
      <c r="E699" s="184">
        <v>45824</v>
      </c>
      <c r="F699" s="184">
        <v>46188</v>
      </c>
      <c r="G699" s="184">
        <f t="shared" si="120"/>
        <v>46158</v>
      </c>
      <c r="H699" s="180" t="str">
        <f t="shared" ca="1" si="121"/>
        <v>VÁLIDO</v>
      </c>
      <c r="I699" s="183">
        <v>29.9</v>
      </c>
      <c r="J699" s="182">
        <v>170</v>
      </c>
      <c r="K699" s="182">
        <f t="shared" si="123"/>
        <v>140.1</v>
      </c>
      <c r="L699" s="181">
        <f t="shared" si="124"/>
        <v>0.82411764705882351</v>
      </c>
      <c r="M699" s="180" t="s">
        <v>777</v>
      </c>
    </row>
    <row r="700" spans="1:13" ht="18.75" customHeight="1">
      <c r="A700" s="180" t="s">
        <v>883</v>
      </c>
      <c r="B700" s="180" t="s">
        <v>883</v>
      </c>
      <c r="C700" s="180" t="s">
        <v>778</v>
      </c>
      <c r="D700" s="180">
        <f t="shared" si="118"/>
        <v>365</v>
      </c>
      <c r="E700" s="184">
        <v>45832</v>
      </c>
      <c r="F700" s="184">
        <f t="shared" si="119"/>
        <v>46197</v>
      </c>
      <c r="G700" s="184">
        <f t="shared" si="120"/>
        <v>46167</v>
      </c>
      <c r="H700" s="180" t="str">
        <f t="shared" ca="1" si="121"/>
        <v>VÁLIDO</v>
      </c>
      <c r="I700" s="183">
        <v>29.9</v>
      </c>
      <c r="J700" s="182">
        <f t="shared" si="122"/>
        <v>100</v>
      </c>
      <c r="K700" s="182">
        <f t="shared" si="123"/>
        <v>70.099999999999994</v>
      </c>
      <c r="L700" s="181">
        <f t="shared" si="124"/>
        <v>0.70099999999999996</v>
      </c>
      <c r="M700" s="180" t="s">
        <v>777</v>
      </c>
    </row>
    <row r="701" spans="1:13" ht="18.75" customHeight="1">
      <c r="A701" s="180" t="s">
        <v>273</v>
      </c>
      <c r="B701" s="180" t="s">
        <v>273</v>
      </c>
      <c r="C701" s="180" t="s">
        <v>781</v>
      </c>
      <c r="D701" s="180">
        <f t="shared" si="118"/>
        <v>365</v>
      </c>
      <c r="E701" s="184">
        <v>45771</v>
      </c>
      <c r="F701" s="184">
        <f t="shared" si="119"/>
        <v>46136</v>
      </c>
      <c r="G701" s="184">
        <f t="shared" si="120"/>
        <v>46106</v>
      </c>
      <c r="H701" s="180" t="str">
        <f t="shared" ca="1" si="121"/>
        <v>VÁLIDO</v>
      </c>
      <c r="I701" s="183">
        <v>29.9</v>
      </c>
      <c r="J701" s="182">
        <v>150</v>
      </c>
      <c r="K701" s="182">
        <f t="shared" si="123"/>
        <v>120.1</v>
      </c>
      <c r="L701" s="181">
        <f t="shared" si="124"/>
        <v>0.80066666666666664</v>
      </c>
      <c r="M701" s="180" t="s">
        <v>777</v>
      </c>
    </row>
    <row r="702" spans="1:13" ht="18.75" customHeight="1">
      <c r="A702" s="180" t="s">
        <v>780</v>
      </c>
      <c r="B702" s="180" t="s">
        <v>780</v>
      </c>
      <c r="C702" s="180" t="s">
        <v>778</v>
      </c>
      <c r="D702" s="180">
        <f t="shared" si="118"/>
        <v>365</v>
      </c>
      <c r="E702" s="184">
        <v>45834</v>
      </c>
      <c r="F702" s="184">
        <f t="shared" si="119"/>
        <v>46199</v>
      </c>
      <c r="G702" s="184">
        <f t="shared" si="120"/>
        <v>46169</v>
      </c>
      <c r="H702" s="180" t="str">
        <f t="shared" ca="1" si="121"/>
        <v>VÁLIDO</v>
      </c>
      <c r="I702" s="183">
        <v>29.9</v>
      </c>
      <c r="J702" s="182">
        <f t="shared" si="122"/>
        <v>100</v>
      </c>
      <c r="K702" s="182">
        <f t="shared" si="123"/>
        <v>70.099999999999994</v>
      </c>
      <c r="L702" s="181">
        <f t="shared" si="124"/>
        <v>0.70099999999999996</v>
      </c>
      <c r="M702" s="180" t="s">
        <v>777</v>
      </c>
    </row>
    <row r="703" spans="1:13" ht="18.75" customHeight="1">
      <c r="A703" s="180" t="s">
        <v>1859</v>
      </c>
      <c r="B703" s="180" t="s">
        <v>1859</v>
      </c>
      <c r="C703" s="180" t="s">
        <v>778</v>
      </c>
      <c r="D703" s="180">
        <f t="shared" si="118"/>
        <v>365</v>
      </c>
      <c r="E703" s="184">
        <v>45834</v>
      </c>
      <c r="F703" s="184">
        <f t="shared" si="119"/>
        <v>46199</v>
      </c>
      <c r="G703" s="184">
        <f t="shared" si="120"/>
        <v>46169</v>
      </c>
      <c r="H703" s="180" t="str">
        <f t="shared" ca="1" si="121"/>
        <v>VÁLIDO</v>
      </c>
      <c r="I703" s="183">
        <v>29.9</v>
      </c>
      <c r="J703" s="182">
        <f t="shared" si="122"/>
        <v>100</v>
      </c>
      <c r="K703" s="182">
        <f t="shared" si="123"/>
        <v>70.099999999999994</v>
      </c>
      <c r="L703" s="181">
        <f t="shared" si="124"/>
        <v>0.70099999999999996</v>
      </c>
      <c r="M703" s="180" t="s">
        <v>777</v>
      </c>
    </row>
    <row r="704" spans="1:13" ht="18.75" customHeight="1">
      <c r="A704" s="180" t="s">
        <v>1860</v>
      </c>
      <c r="B704" s="180" t="s">
        <v>1860</v>
      </c>
      <c r="C704" s="180" t="s">
        <v>781</v>
      </c>
      <c r="D704" s="180">
        <f t="shared" si="118"/>
        <v>365</v>
      </c>
      <c r="E704" s="184">
        <v>45838</v>
      </c>
      <c r="F704" s="184">
        <f t="shared" si="119"/>
        <v>46203</v>
      </c>
      <c r="G704" s="184">
        <f t="shared" si="120"/>
        <v>46173</v>
      </c>
      <c r="H704" s="180" t="str">
        <f t="shared" ca="1" si="121"/>
        <v>VÁLIDO</v>
      </c>
      <c r="I704" s="183">
        <v>29.9</v>
      </c>
      <c r="J704" s="182">
        <v>150</v>
      </c>
      <c r="K704" s="182">
        <f t="shared" si="123"/>
        <v>120.1</v>
      </c>
      <c r="L704" s="181">
        <f t="shared" si="124"/>
        <v>0.80066666666666664</v>
      </c>
      <c r="M704" s="180" t="s">
        <v>777</v>
      </c>
    </row>
    <row r="705" spans="1:14" ht="18.75" customHeight="1">
      <c r="A705" s="430"/>
      <c r="B705" s="430" t="s">
        <v>1861</v>
      </c>
      <c r="C705" s="430"/>
      <c r="D705" s="430"/>
      <c r="E705" s="430"/>
      <c r="F705" s="430"/>
      <c r="G705" s="430"/>
      <c r="H705" s="430"/>
      <c r="I705" s="430"/>
      <c r="J705" s="430"/>
      <c r="K705" s="430"/>
      <c r="L705" s="430"/>
      <c r="M705" s="430"/>
      <c r="N705" s="431"/>
    </row>
    <row r="706" spans="1:14" ht="18.75" customHeight="1">
      <c r="A706" s="180" t="s">
        <v>245</v>
      </c>
      <c r="B706" s="180" t="s">
        <v>245</v>
      </c>
      <c r="C706" s="180" t="s">
        <v>781</v>
      </c>
      <c r="D706" s="180">
        <f t="shared" si="118"/>
        <v>365</v>
      </c>
      <c r="E706" s="184">
        <v>45839</v>
      </c>
      <c r="F706" s="184">
        <f t="shared" si="119"/>
        <v>46204</v>
      </c>
      <c r="G706" s="184">
        <f t="shared" si="120"/>
        <v>46174</v>
      </c>
      <c r="H706" s="180" t="str">
        <f t="shared" ca="1" si="121"/>
        <v>VÁLIDO</v>
      </c>
      <c r="I706" s="183">
        <v>29.9</v>
      </c>
      <c r="J706" s="182">
        <v>150</v>
      </c>
      <c r="K706" s="182">
        <f t="shared" si="123"/>
        <v>120.1</v>
      </c>
      <c r="L706" s="181">
        <f t="shared" si="124"/>
        <v>0.80066666666666664</v>
      </c>
      <c r="M706" s="180" t="s">
        <v>777</v>
      </c>
    </row>
    <row r="707" spans="1:14" ht="18.75" customHeight="1">
      <c r="A707" s="180" t="s">
        <v>2</v>
      </c>
      <c r="B707" s="180" t="s">
        <v>2</v>
      </c>
      <c r="C707" s="180" t="s">
        <v>778</v>
      </c>
      <c r="D707" s="180">
        <f t="shared" si="118"/>
        <v>365</v>
      </c>
      <c r="E707" s="184">
        <v>45841</v>
      </c>
      <c r="F707" s="184">
        <f t="shared" si="119"/>
        <v>46206</v>
      </c>
      <c r="G707" s="184">
        <f t="shared" si="120"/>
        <v>46176</v>
      </c>
      <c r="H707" s="180" t="str">
        <f t="shared" ca="1" si="121"/>
        <v>VÁLIDO</v>
      </c>
      <c r="I707" s="183">
        <v>29.9</v>
      </c>
      <c r="J707" s="182">
        <f t="shared" si="122"/>
        <v>100</v>
      </c>
      <c r="K707" s="182">
        <f t="shared" si="123"/>
        <v>70.099999999999994</v>
      </c>
      <c r="L707" s="181">
        <f t="shared" si="124"/>
        <v>0.70099999999999996</v>
      </c>
      <c r="M707" s="180" t="s">
        <v>777</v>
      </c>
    </row>
    <row r="708" spans="1:14" ht="18.75" customHeight="1">
      <c r="A708" s="180" t="s">
        <v>1862</v>
      </c>
      <c r="B708" s="180" t="s">
        <v>1862</v>
      </c>
      <c r="C708" s="180" t="s">
        <v>802</v>
      </c>
      <c r="D708" s="180">
        <f t="shared" si="118"/>
        <v>1095</v>
      </c>
      <c r="E708" s="184">
        <v>45848</v>
      </c>
      <c r="F708" s="184">
        <v>46212</v>
      </c>
      <c r="G708" s="184">
        <f t="shared" si="120"/>
        <v>46182</v>
      </c>
      <c r="H708" s="180" t="str">
        <f t="shared" ca="1" si="121"/>
        <v>VÁLIDO</v>
      </c>
      <c r="I708" s="183">
        <v>29.9</v>
      </c>
      <c r="J708" s="182">
        <v>170</v>
      </c>
      <c r="K708" s="182">
        <f t="shared" si="123"/>
        <v>140.1</v>
      </c>
      <c r="L708" s="181">
        <f t="shared" si="124"/>
        <v>0.82411764705882351</v>
      </c>
      <c r="M708" s="180" t="s">
        <v>777</v>
      </c>
    </row>
    <row r="709" spans="1:14" ht="18.75" customHeight="1">
      <c r="A709" s="180" t="s">
        <v>1543</v>
      </c>
      <c r="B709" s="180" t="s">
        <v>1543</v>
      </c>
      <c r="C709" s="180" t="s">
        <v>802</v>
      </c>
      <c r="D709" s="180">
        <f t="shared" si="118"/>
        <v>1095</v>
      </c>
      <c r="E709" s="184">
        <v>45848</v>
      </c>
      <c r="F709" s="184">
        <v>46212</v>
      </c>
      <c r="G709" s="184">
        <f t="shared" si="120"/>
        <v>46182</v>
      </c>
      <c r="H709" s="180" t="str">
        <f t="shared" ca="1" si="121"/>
        <v>VÁLIDO</v>
      </c>
      <c r="I709" s="183">
        <v>29.9</v>
      </c>
      <c r="J709" s="182">
        <v>170</v>
      </c>
      <c r="K709" s="182">
        <f t="shared" si="123"/>
        <v>140.1</v>
      </c>
      <c r="L709" s="181">
        <f t="shared" si="124"/>
        <v>0.82411764705882351</v>
      </c>
      <c r="M709" s="180" t="s">
        <v>777</v>
      </c>
    </row>
    <row r="710" spans="1:14" ht="18.75" customHeight="1">
      <c r="A710" s="180" t="s">
        <v>1863</v>
      </c>
      <c r="B710" s="180" t="s">
        <v>1863</v>
      </c>
      <c r="C710" s="180" t="s">
        <v>781</v>
      </c>
      <c r="D710" s="180">
        <f t="shared" si="118"/>
        <v>365</v>
      </c>
      <c r="E710" s="184">
        <v>45849</v>
      </c>
      <c r="F710" s="184">
        <f t="shared" si="119"/>
        <v>46214</v>
      </c>
      <c r="G710" s="184">
        <f t="shared" si="120"/>
        <v>46184</v>
      </c>
      <c r="H710" s="180" t="str">
        <f t="shared" ca="1" si="121"/>
        <v>VÁLIDO</v>
      </c>
      <c r="I710" s="183">
        <v>29.9</v>
      </c>
      <c r="J710" s="182">
        <f t="shared" si="122"/>
        <v>180</v>
      </c>
      <c r="K710" s="182">
        <f t="shared" si="123"/>
        <v>150.1</v>
      </c>
      <c r="L710" s="181">
        <f t="shared" si="124"/>
        <v>0.8338888888888889</v>
      </c>
      <c r="M710" s="180" t="s">
        <v>777</v>
      </c>
    </row>
    <row r="711" spans="1:14" ht="18.75" customHeight="1">
      <c r="A711" s="180" t="s">
        <v>1864</v>
      </c>
      <c r="B711" s="180" t="s">
        <v>1864</v>
      </c>
      <c r="C711" s="180" t="s">
        <v>778</v>
      </c>
      <c r="D711" s="180">
        <f t="shared" si="118"/>
        <v>365</v>
      </c>
      <c r="E711" s="184">
        <v>45853</v>
      </c>
      <c r="F711" s="184">
        <f t="shared" si="119"/>
        <v>46218</v>
      </c>
      <c r="G711" s="184">
        <f t="shared" si="120"/>
        <v>46188</v>
      </c>
      <c r="H711" s="180" t="str">
        <f t="shared" ca="1" si="121"/>
        <v>VÁLIDO</v>
      </c>
      <c r="I711" s="183">
        <v>29.9</v>
      </c>
      <c r="J711" s="182">
        <f t="shared" si="122"/>
        <v>100</v>
      </c>
      <c r="K711" s="182">
        <f t="shared" si="123"/>
        <v>70.099999999999994</v>
      </c>
      <c r="L711" s="181">
        <f t="shared" si="124"/>
        <v>0.70099999999999996</v>
      </c>
      <c r="M711" s="180" t="s">
        <v>777</v>
      </c>
    </row>
    <row r="712" spans="1:14" ht="18.75" customHeight="1">
      <c r="A712" s="180" t="s">
        <v>1865</v>
      </c>
      <c r="B712" s="180" t="s">
        <v>1865</v>
      </c>
      <c r="C712" s="180" t="s">
        <v>778</v>
      </c>
      <c r="D712" s="180">
        <f t="shared" si="118"/>
        <v>365</v>
      </c>
      <c r="E712" s="184">
        <v>45854</v>
      </c>
      <c r="F712" s="184">
        <f t="shared" si="119"/>
        <v>46219</v>
      </c>
      <c r="G712" s="184">
        <f t="shared" si="120"/>
        <v>46189</v>
      </c>
      <c r="H712" s="180" t="str">
        <f t="shared" ca="1" si="121"/>
        <v>VÁLIDO</v>
      </c>
      <c r="I712" s="183">
        <v>29.9</v>
      </c>
      <c r="J712" s="182">
        <f t="shared" si="122"/>
        <v>100</v>
      </c>
      <c r="K712" s="182">
        <f t="shared" si="123"/>
        <v>70.099999999999994</v>
      </c>
      <c r="L712" s="181">
        <f t="shared" si="124"/>
        <v>0.70099999999999996</v>
      </c>
      <c r="M712" s="180" t="s">
        <v>777</v>
      </c>
    </row>
    <row r="713" spans="1:14" ht="18.75" customHeight="1">
      <c r="A713" s="180" t="s">
        <v>1866</v>
      </c>
      <c r="B713" s="180" t="s">
        <v>1866</v>
      </c>
      <c r="C713" s="180" t="s">
        <v>778</v>
      </c>
      <c r="D713" s="180">
        <f t="shared" si="118"/>
        <v>365</v>
      </c>
      <c r="E713" s="184">
        <v>45855</v>
      </c>
      <c r="F713" s="184">
        <f t="shared" si="119"/>
        <v>46220</v>
      </c>
      <c r="G713" s="184">
        <f t="shared" si="120"/>
        <v>46190</v>
      </c>
      <c r="H713" s="180" t="str">
        <f t="shared" ca="1" si="121"/>
        <v>VÁLIDO</v>
      </c>
      <c r="I713" s="183">
        <v>29.9</v>
      </c>
      <c r="J713" s="182">
        <f t="shared" si="122"/>
        <v>100</v>
      </c>
      <c r="K713" s="182">
        <f t="shared" si="123"/>
        <v>70.099999999999994</v>
      </c>
      <c r="L713" s="181">
        <f t="shared" si="124"/>
        <v>0.70099999999999996</v>
      </c>
      <c r="M713" s="180" t="s">
        <v>777</v>
      </c>
    </row>
    <row r="714" spans="1:14" ht="18.75" customHeight="1">
      <c r="A714" s="180" t="s">
        <v>1867</v>
      </c>
      <c r="B714" s="180" t="s">
        <v>1867</v>
      </c>
      <c r="C714" s="180" t="s">
        <v>778</v>
      </c>
      <c r="D714" s="180">
        <f t="shared" si="118"/>
        <v>365</v>
      </c>
      <c r="E714" s="184">
        <v>45856</v>
      </c>
      <c r="F714" s="184">
        <f t="shared" si="119"/>
        <v>46221</v>
      </c>
      <c r="G714" s="184">
        <f t="shared" si="120"/>
        <v>46191</v>
      </c>
      <c r="H714" s="180" t="str">
        <f t="shared" ca="1" si="121"/>
        <v>VÁLIDO</v>
      </c>
      <c r="I714" s="183">
        <v>29.9</v>
      </c>
      <c r="J714" s="182">
        <f t="shared" si="122"/>
        <v>100</v>
      </c>
      <c r="K714" s="182">
        <f t="shared" si="123"/>
        <v>70.099999999999994</v>
      </c>
      <c r="L714" s="181">
        <f t="shared" si="124"/>
        <v>0.70099999999999996</v>
      </c>
      <c r="M714" s="180" t="s">
        <v>777</v>
      </c>
    </row>
    <row r="715" spans="1:14" ht="18.75" customHeight="1">
      <c r="A715" s="180" t="s">
        <v>1868</v>
      </c>
      <c r="B715" s="180" t="s">
        <v>1868</v>
      </c>
      <c r="C715" s="180" t="s">
        <v>802</v>
      </c>
      <c r="D715" s="180">
        <f t="shared" si="118"/>
        <v>1095</v>
      </c>
      <c r="E715" s="184">
        <v>45856</v>
      </c>
      <c r="F715" s="184">
        <f t="shared" si="119"/>
        <v>46951</v>
      </c>
      <c r="G715" s="184">
        <f t="shared" si="120"/>
        <v>46921</v>
      </c>
      <c r="H715" s="180" t="str">
        <f t="shared" ca="1" si="121"/>
        <v>VÁLIDO</v>
      </c>
      <c r="I715" s="183">
        <v>29.9</v>
      </c>
      <c r="J715" s="182">
        <f t="shared" si="122"/>
        <v>250</v>
      </c>
      <c r="K715" s="182">
        <f t="shared" si="123"/>
        <v>220.1</v>
      </c>
      <c r="L715" s="181">
        <f t="shared" si="124"/>
        <v>0.88039999999999996</v>
      </c>
      <c r="M715" s="180" t="s">
        <v>777</v>
      </c>
    </row>
    <row r="716" spans="1:14" ht="18.75" customHeight="1">
      <c r="A716" s="180" t="s">
        <v>1869</v>
      </c>
      <c r="B716" s="180" t="s">
        <v>1869</v>
      </c>
      <c r="C716" s="180" t="s">
        <v>778</v>
      </c>
      <c r="D716" s="180">
        <f t="shared" si="118"/>
        <v>365</v>
      </c>
      <c r="E716" s="184">
        <v>45859</v>
      </c>
      <c r="F716" s="184">
        <f t="shared" si="119"/>
        <v>46224</v>
      </c>
      <c r="G716" s="184">
        <f t="shared" si="120"/>
        <v>46194</v>
      </c>
      <c r="H716" s="180" t="str">
        <f t="shared" ca="1" si="121"/>
        <v>VÁLIDO</v>
      </c>
      <c r="I716" s="183">
        <v>29</v>
      </c>
      <c r="J716" s="182">
        <f t="shared" si="122"/>
        <v>100</v>
      </c>
      <c r="K716" s="182">
        <f t="shared" si="123"/>
        <v>71</v>
      </c>
      <c r="L716" s="181">
        <f t="shared" si="124"/>
        <v>0.71</v>
      </c>
      <c r="M716" s="180" t="s">
        <v>777</v>
      </c>
    </row>
    <row r="717" spans="1:14" ht="18.75" customHeight="1">
      <c r="A717" s="180" t="s">
        <v>1870</v>
      </c>
      <c r="B717" s="180" t="s">
        <v>1870</v>
      </c>
      <c r="C717" s="180" t="s">
        <v>802</v>
      </c>
      <c r="D717" s="180">
        <f t="shared" si="118"/>
        <v>1095</v>
      </c>
      <c r="E717" s="184">
        <v>45861</v>
      </c>
      <c r="F717" s="184">
        <f t="shared" si="119"/>
        <v>46956</v>
      </c>
      <c r="G717" s="184">
        <f t="shared" si="120"/>
        <v>46926</v>
      </c>
      <c r="H717" s="180" t="str">
        <f t="shared" ca="1" si="121"/>
        <v>VÁLIDO</v>
      </c>
      <c r="I717" s="183">
        <v>29.9</v>
      </c>
      <c r="J717" s="182">
        <f t="shared" si="122"/>
        <v>250</v>
      </c>
      <c r="K717" s="182">
        <f t="shared" si="123"/>
        <v>220.1</v>
      </c>
      <c r="L717" s="181">
        <f t="shared" si="124"/>
        <v>0.88039999999999996</v>
      </c>
      <c r="M717" s="180" t="s">
        <v>777</v>
      </c>
    </row>
    <row r="718" spans="1:14" ht="18.75" customHeight="1">
      <c r="A718" s="180" t="s">
        <v>1871</v>
      </c>
      <c r="B718" s="180" t="s">
        <v>1871</v>
      </c>
      <c r="C718" s="180" t="s">
        <v>778</v>
      </c>
      <c r="D718" s="180">
        <f t="shared" si="118"/>
        <v>365</v>
      </c>
      <c r="E718" s="184">
        <v>45862</v>
      </c>
      <c r="F718" s="184">
        <f t="shared" si="119"/>
        <v>46227</v>
      </c>
      <c r="G718" s="184">
        <f t="shared" si="120"/>
        <v>46197</v>
      </c>
      <c r="H718" s="180" t="str">
        <f t="shared" ca="1" si="121"/>
        <v>VÁLIDO</v>
      </c>
      <c r="I718" s="183">
        <v>29.9</v>
      </c>
      <c r="J718" s="182">
        <f t="shared" si="122"/>
        <v>100</v>
      </c>
      <c r="K718" s="182">
        <f t="shared" si="123"/>
        <v>70.099999999999994</v>
      </c>
      <c r="L718" s="181">
        <f t="shared" si="124"/>
        <v>0.70099999999999996</v>
      </c>
      <c r="M718" s="180" t="s">
        <v>777</v>
      </c>
    </row>
    <row r="719" spans="1:14" ht="18.75" customHeight="1">
      <c r="A719" s="180" t="s">
        <v>1872</v>
      </c>
      <c r="B719" s="180" t="s">
        <v>1872</v>
      </c>
      <c r="C719" s="180" t="s">
        <v>781</v>
      </c>
      <c r="D719" s="180">
        <f t="shared" si="118"/>
        <v>365</v>
      </c>
      <c r="E719" s="184">
        <v>45863</v>
      </c>
      <c r="F719" s="184">
        <f t="shared" si="119"/>
        <v>46228</v>
      </c>
      <c r="G719" s="184">
        <f t="shared" si="120"/>
        <v>46198</v>
      </c>
      <c r="H719" s="180" t="str">
        <f t="shared" ca="1" si="121"/>
        <v>VÁLIDO</v>
      </c>
      <c r="I719" s="183">
        <v>29.9</v>
      </c>
      <c r="J719" s="182">
        <f t="shared" si="122"/>
        <v>180</v>
      </c>
      <c r="K719" s="182">
        <f t="shared" si="123"/>
        <v>150.1</v>
      </c>
      <c r="L719" s="181">
        <f t="shared" si="124"/>
        <v>0.8338888888888889</v>
      </c>
      <c r="M719" s="180" t="s">
        <v>777</v>
      </c>
    </row>
    <row r="720" spans="1:14" ht="18.75" customHeight="1">
      <c r="A720" s="180" t="s">
        <v>1873</v>
      </c>
      <c r="B720" s="180" t="s">
        <v>1873</v>
      </c>
      <c r="C720" s="180" t="s">
        <v>802</v>
      </c>
      <c r="D720" s="180">
        <f t="shared" si="118"/>
        <v>1095</v>
      </c>
      <c r="E720" s="184">
        <v>45866</v>
      </c>
      <c r="F720" s="184">
        <v>46230</v>
      </c>
      <c r="G720" s="184">
        <f t="shared" si="120"/>
        <v>46200</v>
      </c>
      <c r="H720" s="180" t="str">
        <f t="shared" ca="1" si="121"/>
        <v>VÁLIDO</v>
      </c>
      <c r="I720" s="183">
        <v>29.9</v>
      </c>
      <c r="J720" s="182">
        <v>170</v>
      </c>
      <c r="K720" s="182">
        <f t="shared" si="123"/>
        <v>140.1</v>
      </c>
      <c r="L720" s="181">
        <f t="shared" si="124"/>
        <v>0.82411764705882351</v>
      </c>
      <c r="M720" s="180" t="s">
        <v>777</v>
      </c>
    </row>
    <row r="721" spans="1:14" ht="18.75" customHeight="1">
      <c r="A721" s="180" t="s">
        <v>1874</v>
      </c>
      <c r="B721" s="180" t="s">
        <v>1874</v>
      </c>
      <c r="C721" s="180" t="s">
        <v>802</v>
      </c>
      <c r="D721" s="180">
        <f t="shared" si="118"/>
        <v>1095</v>
      </c>
      <c r="E721" s="184">
        <v>45867</v>
      </c>
      <c r="F721" s="184">
        <f t="shared" si="119"/>
        <v>46962</v>
      </c>
      <c r="G721" s="184">
        <f t="shared" si="120"/>
        <v>46932</v>
      </c>
      <c r="H721" s="180" t="str">
        <f t="shared" ca="1" si="121"/>
        <v>VÁLIDO</v>
      </c>
      <c r="I721" s="183">
        <v>29.9</v>
      </c>
      <c r="J721" s="182">
        <f t="shared" si="122"/>
        <v>250</v>
      </c>
      <c r="K721" s="182">
        <f t="shared" si="123"/>
        <v>220.1</v>
      </c>
      <c r="L721" s="181">
        <f t="shared" si="124"/>
        <v>0.88039999999999996</v>
      </c>
      <c r="M721" s="180" t="s">
        <v>777</v>
      </c>
    </row>
    <row r="722" spans="1:14" ht="18.75" customHeight="1">
      <c r="A722" s="180" t="s">
        <v>818</v>
      </c>
      <c r="B722" s="180" t="s">
        <v>818</v>
      </c>
      <c r="C722" s="180" t="s">
        <v>785</v>
      </c>
      <c r="D722" s="180">
        <f t="shared" si="118"/>
        <v>1095</v>
      </c>
      <c r="E722" s="184">
        <v>45867</v>
      </c>
      <c r="F722" s="184">
        <f t="shared" si="119"/>
        <v>46962</v>
      </c>
      <c r="G722" s="184">
        <f t="shared" si="120"/>
        <v>46932</v>
      </c>
      <c r="H722" s="180" t="str">
        <f t="shared" ca="1" si="121"/>
        <v>VÁLIDO</v>
      </c>
      <c r="I722" s="183">
        <v>29.9</v>
      </c>
      <c r="J722" s="182">
        <v>270</v>
      </c>
      <c r="K722" s="182">
        <f t="shared" si="123"/>
        <v>240.1</v>
      </c>
      <c r="L722" s="181">
        <f t="shared" si="124"/>
        <v>0.88925925925925919</v>
      </c>
      <c r="M722" s="180" t="s">
        <v>777</v>
      </c>
    </row>
    <row r="723" spans="1:14" ht="18.75" customHeight="1">
      <c r="A723" s="454" t="s">
        <v>2011</v>
      </c>
      <c r="B723" s="449"/>
      <c r="C723" s="449"/>
      <c r="D723" s="449"/>
      <c r="E723" s="449"/>
      <c r="F723" s="449"/>
      <c r="G723" s="449"/>
      <c r="H723" s="449"/>
      <c r="I723" s="449"/>
      <c r="J723" s="449"/>
      <c r="K723" s="449"/>
      <c r="L723" s="449"/>
      <c r="M723" s="450"/>
    </row>
    <row r="724" spans="1:14" ht="18.75" customHeight="1">
      <c r="A724" s="180" t="s">
        <v>2012</v>
      </c>
      <c r="B724" s="180" t="s">
        <v>2013</v>
      </c>
      <c r="C724" s="180" t="s">
        <v>778</v>
      </c>
      <c r="D724" s="180">
        <f t="shared" si="118"/>
        <v>365</v>
      </c>
      <c r="E724" s="184">
        <v>45873</v>
      </c>
      <c r="F724" s="184">
        <f t="shared" si="119"/>
        <v>46238</v>
      </c>
      <c r="G724" s="184">
        <f t="shared" si="120"/>
        <v>46208</v>
      </c>
      <c r="H724" s="180" t="str">
        <f t="shared" ca="1" si="121"/>
        <v>VÁLIDO</v>
      </c>
      <c r="I724" s="183">
        <v>29.9</v>
      </c>
      <c r="J724" s="182">
        <f t="shared" si="122"/>
        <v>100</v>
      </c>
      <c r="K724" s="182">
        <f t="shared" si="123"/>
        <v>70.099999999999994</v>
      </c>
      <c r="L724" s="181">
        <f t="shared" si="124"/>
        <v>0.70099999999999996</v>
      </c>
      <c r="M724" s="180" t="s">
        <v>777</v>
      </c>
    </row>
    <row r="725" spans="1:14" ht="18.75" customHeight="1">
      <c r="A725" s="180" t="s">
        <v>496</v>
      </c>
      <c r="B725" s="180" t="s">
        <v>496</v>
      </c>
      <c r="C725" s="180" t="s">
        <v>778</v>
      </c>
      <c r="D725" s="180">
        <f t="shared" si="118"/>
        <v>365</v>
      </c>
      <c r="E725" s="184">
        <v>45873</v>
      </c>
      <c r="F725" s="184">
        <f t="shared" si="119"/>
        <v>46238</v>
      </c>
      <c r="G725" s="184">
        <f t="shared" si="120"/>
        <v>46208</v>
      </c>
      <c r="H725" s="180" t="str">
        <f t="shared" ca="1" si="121"/>
        <v>VÁLIDO</v>
      </c>
      <c r="I725" s="183">
        <v>29.9</v>
      </c>
      <c r="J725" s="182">
        <f t="shared" si="122"/>
        <v>100</v>
      </c>
      <c r="K725" s="182">
        <f t="shared" si="123"/>
        <v>70.099999999999994</v>
      </c>
      <c r="L725" s="181">
        <f t="shared" si="124"/>
        <v>0.70099999999999996</v>
      </c>
      <c r="M725" s="180" t="s">
        <v>777</v>
      </c>
    </row>
    <row r="726" spans="1:14" ht="18.75" customHeight="1">
      <c r="A726" s="180" t="s">
        <v>2014</v>
      </c>
      <c r="B726" s="180" t="s">
        <v>2014</v>
      </c>
      <c r="C726" s="180" t="s">
        <v>781</v>
      </c>
      <c r="D726" s="180">
        <f t="shared" si="118"/>
        <v>365</v>
      </c>
      <c r="E726" s="184">
        <v>45874</v>
      </c>
      <c r="F726" s="184">
        <f t="shared" si="119"/>
        <v>46239</v>
      </c>
      <c r="G726" s="184">
        <f t="shared" si="120"/>
        <v>46209</v>
      </c>
      <c r="H726" s="180" t="str">
        <f t="shared" ca="1" si="121"/>
        <v>VÁLIDO</v>
      </c>
      <c r="I726" s="183">
        <v>29.9</v>
      </c>
      <c r="J726" s="182">
        <v>150</v>
      </c>
      <c r="K726" s="182">
        <f t="shared" si="123"/>
        <v>120.1</v>
      </c>
      <c r="L726" s="181">
        <f t="shared" si="124"/>
        <v>0.80066666666666664</v>
      </c>
      <c r="M726" s="180" t="s">
        <v>777</v>
      </c>
      <c r="N726" s="177" t="s">
        <v>2015</v>
      </c>
    </row>
    <row r="727" spans="1:14" ht="18.75" customHeight="1">
      <c r="A727" s="180" t="s">
        <v>2016</v>
      </c>
      <c r="B727" s="180" t="s">
        <v>2016</v>
      </c>
      <c r="C727" s="180" t="s">
        <v>781</v>
      </c>
      <c r="D727" s="180">
        <f t="shared" si="118"/>
        <v>365</v>
      </c>
      <c r="E727" s="184">
        <v>45877</v>
      </c>
      <c r="F727" s="184">
        <f t="shared" si="119"/>
        <v>46242</v>
      </c>
      <c r="G727" s="184">
        <f t="shared" si="120"/>
        <v>46212</v>
      </c>
      <c r="H727" s="180" t="str">
        <f t="shared" ca="1" si="121"/>
        <v>VÁLIDO</v>
      </c>
      <c r="I727" s="183">
        <v>29.9</v>
      </c>
      <c r="J727" s="182">
        <v>150</v>
      </c>
      <c r="K727" s="182">
        <f t="shared" si="123"/>
        <v>120.1</v>
      </c>
      <c r="L727" s="181">
        <f t="shared" si="124"/>
        <v>0.80066666666666664</v>
      </c>
      <c r="M727" s="180" t="s">
        <v>777</v>
      </c>
    </row>
    <row r="728" spans="1:14" ht="18.75" customHeight="1">
      <c r="A728" s="180" t="s">
        <v>2017</v>
      </c>
      <c r="B728" s="180" t="s">
        <v>2017</v>
      </c>
      <c r="C728" s="180" t="s">
        <v>781</v>
      </c>
      <c r="D728" s="180">
        <f t="shared" si="118"/>
        <v>365</v>
      </c>
      <c r="E728" s="184">
        <v>45882</v>
      </c>
      <c r="F728" s="184">
        <f t="shared" si="119"/>
        <v>46247</v>
      </c>
      <c r="G728" s="184">
        <f t="shared" si="120"/>
        <v>46217</v>
      </c>
      <c r="H728" s="180" t="str">
        <f t="shared" ca="1" si="121"/>
        <v>VÁLIDO</v>
      </c>
      <c r="I728" s="183">
        <v>29.9</v>
      </c>
      <c r="J728" s="182">
        <v>150</v>
      </c>
      <c r="K728" s="182">
        <f t="shared" si="123"/>
        <v>120.1</v>
      </c>
      <c r="L728" s="181">
        <f t="shared" si="124"/>
        <v>0.80066666666666664</v>
      </c>
      <c r="M728" s="180" t="s">
        <v>777</v>
      </c>
    </row>
    <row r="729" spans="1:14" ht="18.75" customHeight="1">
      <c r="A729" s="180" t="s">
        <v>2018</v>
      </c>
      <c r="B729" s="180" t="s">
        <v>2018</v>
      </c>
      <c r="C729" s="180" t="s">
        <v>778</v>
      </c>
      <c r="D729" s="180">
        <f t="shared" si="118"/>
        <v>365</v>
      </c>
      <c r="E729" s="184">
        <v>45883</v>
      </c>
      <c r="F729" s="184">
        <f t="shared" si="119"/>
        <v>46248</v>
      </c>
      <c r="G729" s="184">
        <f t="shared" si="120"/>
        <v>46218</v>
      </c>
      <c r="H729" s="180" t="str">
        <f t="shared" ca="1" si="121"/>
        <v>VÁLIDO</v>
      </c>
      <c r="I729" s="183">
        <v>29.9</v>
      </c>
      <c r="J729" s="182">
        <f t="shared" si="122"/>
        <v>100</v>
      </c>
      <c r="K729" s="182">
        <f t="shared" si="123"/>
        <v>70.099999999999994</v>
      </c>
      <c r="L729" s="181">
        <f t="shared" si="124"/>
        <v>0.70099999999999996</v>
      </c>
      <c r="M729" s="180" t="s">
        <v>777</v>
      </c>
    </row>
    <row r="730" spans="1:14" ht="18.75" customHeight="1">
      <c r="A730" s="180" t="s">
        <v>189</v>
      </c>
      <c r="B730" s="180" t="s">
        <v>189</v>
      </c>
      <c r="C730" s="180" t="s">
        <v>778</v>
      </c>
      <c r="D730" s="180">
        <f t="shared" si="118"/>
        <v>365</v>
      </c>
      <c r="E730" s="184">
        <v>45884</v>
      </c>
      <c r="F730" s="184">
        <f t="shared" si="119"/>
        <v>46249</v>
      </c>
      <c r="G730" s="184">
        <f t="shared" si="120"/>
        <v>46219</v>
      </c>
      <c r="H730" s="180" t="str">
        <f t="shared" ca="1" si="121"/>
        <v>VÁLIDO</v>
      </c>
      <c r="I730" s="183">
        <v>29.9</v>
      </c>
      <c r="J730" s="182">
        <f t="shared" si="122"/>
        <v>100</v>
      </c>
      <c r="K730" s="182">
        <f t="shared" si="123"/>
        <v>70.099999999999994</v>
      </c>
      <c r="L730" s="181">
        <f t="shared" si="124"/>
        <v>0.70099999999999996</v>
      </c>
      <c r="M730" s="180" t="s">
        <v>777</v>
      </c>
    </row>
    <row r="731" spans="1:14" ht="18.75" customHeight="1">
      <c r="A731" s="180" t="s">
        <v>870</v>
      </c>
      <c r="B731" s="180" t="s">
        <v>870</v>
      </c>
      <c r="C731" s="180" t="s">
        <v>781</v>
      </c>
      <c r="D731" s="180">
        <f t="shared" si="118"/>
        <v>365</v>
      </c>
      <c r="E731" s="184">
        <v>45884</v>
      </c>
      <c r="F731" s="184">
        <f t="shared" si="119"/>
        <v>46249</v>
      </c>
      <c r="G731" s="184">
        <f t="shared" si="120"/>
        <v>46219</v>
      </c>
      <c r="H731" s="180" t="str">
        <f t="shared" ca="1" si="121"/>
        <v>VÁLIDO</v>
      </c>
      <c r="I731" s="183">
        <v>29.9</v>
      </c>
      <c r="J731" s="182">
        <v>150</v>
      </c>
      <c r="K731" s="182">
        <f t="shared" si="123"/>
        <v>120.1</v>
      </c>
      <c r="L731" s="181">
        <v>0.80010000000000003</v>
      </c>
      <c r="M731" s="180" t="s">
        <v>777</v>
      </c>
    </row>
    <row r="732" spans="1:14" ht="18.75" customHeight="1">
      <c r="A732" s="180" t="s">
        <v>2019</v>
      </c>
      <c r="B732" s="180" t="s">
        <v>2019</v>
      </c>
      <c r="C732" s="180" t="s">
        <v>781</v>
      </c>
      <c r="D732" s="180">
        <f t="shared" si="118"/>
        <v>365</v>
      </c>
      <c r="E732" s="184">
        <v>45884</v>
      </c>
      <c r="F732" s="184">
        <f t="shared" si="119"/>
        <v>46249</v>
      </c>
      <c r="G732" s="184">
        <f t="shared" si="120"/>
        <v>46219</v>
      </c>
      <c r="H732" s="180" t="str">
        <f t="shared" ca="1" si="121"/>
        <v>VÁLIDO</v>
      </c>
      <c r="I732" s="183">
        <v>29.9</v>
      </c>
      <c r="J732" s="182">
        <v>150</v>
      </c>
      <c r="K732" s="182">
        <f t="shared" si="123"/>
        <v>120.1</v>
      </c>
      <c r="L732" s="181">
        <f t="shared" si="124"/>
        <v>0.80066666666666664</v>
      </c>
      <c r="M732" s="180" t="s">
        <v>777</v>
      </c>
    </row>
    <row r="733" spans="1:14" ht="18.75" customHeight="1">
      <c r="A733" s="180" t="s">
        <v>2020</v>
      </c>
      <c r="B733" s="180" t="s">
        <v>2020</v>
      </c>
      <c r="C733" s="180" t="s">
        <v>781</v>
      </c>
      <c r="D733" s="180">
        <f t="shared" si="118"/>
        <v>365</v>
      </c>
      <c r="E733" s="184">
        <v>45890</v>
      </c>
      <c r="F733" s="184">
        <f t="shared" si="119"/>
        <v>46255</v>
      </c>
      <c r="G733" s="184">
        <f t="shared" si="120"/>
        <v>46225</v>
      </c>
      <c r="H733" s="180" t="str">
        <f t="shared" ca="1" si="121"/>
        <v>VÁLIDO</v>
      </c>
      <c r="I733" s="183">
        <v>29.9</v>
      </c>
      <c r="J733" s="182">
        <v>150</v>
      </c>
      <c r="K733" s="182">
        <f t="shared" si="123"/>
        <v>120.1</v>
      </c>
      <c r="L733" s="181">
        <f t="shared" si="124"/>
        <v>0.80066666666666664</v>
      </c>
      <c r="M733" s="180" t="s">
        <v>1153</v>
      </c>
    </row>
    <row r="734" spans="1:14" ht="18.75" customHeight="1">
      <c r="A734" s="180" t="s">
        <v>863</v>
      </c>
      <c r="B734" s="180" t="s">
        <v>863</v>
      </c>
      <c r="C734" s="180" t="s">
        <v>781</v>
      </c>
      <c r="D734" s="180">
        <f t="shared" si="118"/>
        <v>365</v>
      </c>
      <c r="E734" s="184">
        <v>45891</v>
      </c>
      <c r="F734" s="184">
        <f t="shared" si="119"/>
        <v>46256</v>
      </c>
      <c r="G734" s="184">
        <f t="shared" si="120"/>
        <v>46226</v>
      </c>
      <c r="H734" s="180" t="str">
        <f t="shared" ca="1" si="121"/>
        <v>VÁLIDO</v>
      </c>
      <c r="I734" s="183">
        <v>29.9</v>
      </c>
      <c r="J734" s="182">
        <v>150</v>
      </c>
      <c r="K734" s="182">
        <f t="shared" si="123"/>
        <v>120.1</v>
      </c>
      <c r="L734" s="181">
        <f t="shared" si="124"/>
        <v>0.80066666666666664</v>
      </c>
      <c r="M734" s="180" t="s">
        <v>777</v>
      </c>
    </row>
    <row r="735" spans="1:14" ht="18.75" customHeight="1">
      <c r="A735" s="180" t="s">
        <v>226</v>
      </c>
      <c r="B735" s="180" t="s">
        <v>226</v>
      </c>
      <c r="C735" s="180" t="s">
        <v>781</v>
      </c>
      <c r="D735" s="180">
        <f t="shared" ref="D735:D798" si="125">IF(C735="A1 - 1 ano PJ",365,IF(C735="A1 - 1 ano PF",365,(365*3)))</f>
        <v>365</v>
      </c>
      <c r="E735" s="184">
        <v>45894</v>
      </c>
      <c r="F735" s="184">
        <f t="shared" ref="F735:F798" si="126">E735+D735</f>
        <v>46259</v>
      </c>
      <c r="G735" s="184">
        <f t="shared" ref="G735:G798" si="127">F735-30</f>
        <v>46229</v>
      </c>
      <c r="H735" s="180" t="str">
        <f t="shared" ref="H735:H798" ca="1" si="128">IF($A$6&lt;G735,"VÁLIDO",IF($A$6&gt;F735,"VENCIDO","A VENCER"))</f>
        <v>VÁLIDO</v>
      </c>
      <c r="I735" s="183">
        <v>29.9</v>
      </c>
      <c r="J735" s="182">
        <v>150</v>
      </c>
      <c r="K735" s="182">
        <f t="shared" ref="K735:K798" si="129">J735-I735</f>
        <v>120.1</v>
      </c>
      <c r="L735" s="181">
        <f t="shared" ref="L735:L798" si="130">K735/J735</f>
        <v>0.80066666666666664</v>
      </c>
      <c r="M735" s="180" t="s">
        <v>777</v>
      </c>
    </row>
    <row r="736" spans="1:14" ht="18.75" customHeight="1">
      <c r="A736" s="180" t="s">
        <v>597</v>
      </c>
      <c r="B736" s="180" t="s">
        <v>597</v>
      </c>
      <c r="C736" s="180" t="s">
        <v>778</v>
      </c>
      <c r="D736" s="180">
        <f t="shared" si="125"/>
        <v>365</v>
      </c>
      <c r="E736" s="184">
        <v>45898</v>
      </c>
      <c r="F736" s="184">
        <f t="shared" si="126"/>
        <v>46263</v>
      </c>
      <c r="G736" s="184">
        <f t="shared" si="127"/>
        <v>46233</v>
      </c>
      <c r="H736" s="180" t="str">
        <f t="shared" ca="1" si="128"/>
        <v>VÁLIDO</v>
      </c>
      <c r="I736" s="183">
        <v>29.9</v>
      </c>
      <c r="J736" s="182">
        <f t="shared" ref="J736:J798" si="131">VLOOKUP(C736,$M$3:$O$6,3,0)</f>
        <v>100</v>
      </c>
      <c r="K736" s="182">
        <f t="shared" si="129"/>
        <v>70.099999999999994</v>
      </c>
      <c r="L736" s="181">
        <f t="shared" si="130"/>
        <v>0.70099999999999996</v>
      </c>
      <c r="M736" s="180" t="s">
        <v>777</v>
      </c>
    </row>
    <row r="737" spans="1:14" ht="18.75" customHeight="1">
      <c r="A737" s="454" t="s">
        <v>2021</v>
      </c>
      <c r="B737" s="449"/>
      <c r="C737" s="449"/>
      <c r="D737" s="449"/>
      <c r="E737" s="449"/>
      <c r="F737" s="449"/>
      <c r="G737" s="449"/>
      <c r="H737" s="449"/>
      <c r="I737" s="449"/>
      <c r="J737" s="449"/>
      <c r="K737" s="449"/>
      <c r="L737" s="449"/>
      <c r="M737" s="450"/>
    </row>
    <row r="738" spans="1:14" ht="18.75" customHeight="1">
      <c r="A738" s="180" t="s">
        <v>2022</v>
      </c>
      <c r="B738" s="180" t="s">
        <v>2022</v>
      </c>
      <c r="C738" s="180" t="s">
        <v>781</v>
      </c>
      <c r="D738" s="180">
        <f t="shared" si="125"/>
        <v>365</v>
      </c>
      <c r="E738" s="184">
        <v>45901</v>
      </c>
      <c r="F738" s="184">
        <f t="shared" si="126"/>
        <v>46266</v>
      </c>
      <c r="G738" s="184">
        <f t="shared" si="127"/>
        <v>46236</v>
      </c>
      <c r="H738" s="180" t="str">
        <f t="shared" ca="1" si="128"/>
        <v>VÁLIDO</v>
      </c>
      <c r="I738" s="183">
        <v>29.9</v>
      </c>
      <c r="J738" s="182">
        <v>150</v>
      </c>
      <c r="K738" s="182">
        <f t="shared" si="129"/>
        <v>120.1</v>
      </c>
      <c r="L738" s="181">
        <f t="shared" si="130"/>
        <v>0.80066666666666664</v>
      </c>
      <c r="M738" s="180" t="s">
        <v>777</v>
      </c>
    </row>
    <row r="739" spans="1:14" ht="18.75" customHeight="1">
      <c r="A739" s="180" t="s">
        <v>485</v>
      </c>
      <c r="B739" s="180" t="s">
        <v>485</v>
      </c>
      <c r="C739" s="180" t="s">
        <v>778</v>
      </c>
      <c r="D739" s="180">
        <f t="shared" si="125"/>
        <v>365</v>
      </c>
      <c r="E739" s="184">
        <v>45901</v>
      </c>
      <c r="F739" s="184">
        <f t="shared" si="126"/>
        <v>46266</v>
      </c>
      <c r="G739" s="184">
        <f t="shared" si="127"/>
        <v>46236</v>
      </c>
      <c r="H739" s="180" t="str">
        <f t="shared" ca="1" si="128"/>
        <v>VÁLIDO</v>
      </c>
      <c r="I739" s="183">
        <v>29.9</v>
      </c>
      <c r="J739" s="182">
        <f t="shared" si="131"/>
        <v>100</v>
      </c>
      <c r="K739" s="182">
        <f t="shared" si="129"/>
        <v>70.099999999999994</v>
      </c>
      <c r="L739" s="181">
        <f t="shared" si="130"/>
        <v>0.70099999999999996</v>
      </c>
      <c r="M739" s="180" t="s">
        <v>777</v>
      </c>
      <c r="N739" s="177" t="s">
        <v>2037</v>
      </c>
    </row>
    <row r="740" spans="1:14" ht="18.75" customHeight="1">
      <c r="A740" s="180" t="s">
        <v>2023</v>
      </c>
      <c r="B740" s="180" t="s">
        <v>2023</v>
      </c>
      <c r="C740" s="180" t="s">
        <v>781</v>
      </c>
      <c r="D740" s="180">
        <f t="shared" si="125"/>
        <v>365</v>
      </c>
      <c r="E740" s="184">
        <v>45902</v>
      </c>
      <c r="F740" s="184">
        <f t="shared" si="126"/>
        <v>46267</v>
      </c>
      <c r="G740" s="184">
        <f t="shared" si="127"/>
        <v>46237</v>
      </c>
      <c r="H740" s="180" t="str">
        <f t="shared" ca="1" si="128"/>
        <v>VÁLIDO</v>
      </c>
      <c r="I740" s="183">
        <v>29.9</v>
      </c>
      <c r="J740" s="182">
        <v>150</v>
      </c>
      <c r="K740" s="182">
        <f t="shared" si="129"/>
        <v>120.1</v>
      </c>
      <c r="L740" s="181">
        <f t="shared" si="130"/>
        <v>0.80066666666666664</v>
      </c>
      <c r="M740" s="180" t="s">
        <v>777</v>
      </c>
      <c r="N740" s="177" t="s">
        <v>2037</v>
      </c>
    </row>
    <row r="741" spans="1:14" ht="18.75" customHeight="1">
      <c r="A741" s="180" t="s">
        <v>2024</v>
      </c>
      <c r="B741" s="180" t="s">
        <v>2024</v>
      </c>
      <c r="C741" s="180" t="s">
        <v>781</v>
      </c>
      <c r="D741" s="180">
        <f t="shared" si="125"/>
        <v>365</v>
      </c>
      <c r="E741" s="184">
        <v>45902</v>
      </c>
      <c r="F741" s="184">
        <f t="shared" si="126"/>
        <v>46267</v>
      </c>
      <c r="G741" s="184">
        <f t="shared" si="127"/>
        <v>46237</v>
      </c>
      <c r="H741" s="180" t="str">
        <f t="shared" ca="1" si="128"/>
        <v>VÁLIDO</v>
      </c>
      <c r="I741" s="183">
        <v>29.9</v>
      </c>
      <c r="J741" s="182">
        <v>150</v>
      </c>
      <c r="K741" s="182">
        <f t="shared" si="129"/>
        <v>120.1</v>
      </c>
      <c r="L741" s="181">
        <f t="shared" si="130"/>
        <v>0.80066666666666664</v>
      </c>
      <c r="M741" s="180" t="s">
        <v>777</v>
      </c>
      <c r="N741" s="177" t="s">
        <v>2056</v>
      </c>
    </row>
    <row r="742" spans="1:14" ht="18.75" customHeight="1">
      <c r="A742" s="180" t="s">
        <v>2025</v>
      </c>
      <c r="B742" s="180" t="s">
        <v>2025</v>
      </c>
      <c r="C742" s="180" t="s">
        <v>781</v>
      </c>
      <c r="D742" s="180">
        <f t="shared" si="125"/>
        <v>365</v>
      </c>
      <c r="E742" s="184">
        <v>45903</v>
      </c>
      <c r="F742" s="184">
        <f t="shared" si="126"/>
        <v>46268</v>
      </c>
      <c r="G742" s="184">
        <f t="shared" si="127"/>
        <v>46238</v>
      </c>
      <c r="H742" s="180" t="str">
        <f t="shared" ca="1" si="128"/>
        <v>VÁLIDO</v>
      </c>
      <c r="I742" s="183">
        <v>29.9</v>
      </c>
      <c r="J742" s="182">
        <v>150</v>
      </c>
      <c r="K742" s="182">
        <f t="shared" si="129"/>
        <v>120.1</v>
      </c>
      <c r="L742" s="181">
        <f t="shared" si="130"/>
        <v>0.80066666666666664</v>
      </c>
      <c r="M742" s="180" t="s">
        <v>777</v>
      </c>
      <c r="N742" s="177" t="s">
        <v>2037</v>
      </c>
    </row>
    <row r="743" spans="1:14" ht="18.75" customHeight="1">
      <c r="A743" s="180" t="s">
        <v>2026</v>
      </c>
      <c r="B743" s="180" t="s">
        <v>2026</v>
      </c>
      <c r="C743" s="180" t="s">
        <v>781</v>
      </c>
      <c r="D743" s="180">
        <f t="shared" si="125"/>
        <v>365</v>
      </c>
      <c r="E743" s="184">
        <v>45904</v>
      </c>
      <c r="F743" s="184">
        <f t="shared" si="126"/>
        <v>46269</v>
      </c>
      <c r="G743" s="184">
        <f t="shared" si="127"/>
        <v>46239</v>
      </c>
      <c r="H743" s="180" t="str">
        <f t="shared" ca="1" si="128"/>
        <v>VÁLIDO</v>
      </c>
      <c r="I743" s="183">
        <v>29.9</v>
      </c>
      <c r="J743" s="182">
        <v>150</v>
      </c>
      <c r="K743" s="182">
        <f t="shared" si="129"/>
        <v>120.1</v>
      </c>
      <c r="L743" s="181">
        <f t="shared" si="130"/>
        <v>0.80066666666666664</v>
      </c>
      <c r="M743" s="180" t="s">
        <v>777</v>
      </c>
    </row>
    <row r="744" spans="1:14" ht="18.75" customHeight="1">
      <c r="A744" s="180" t="s">
        <v>2035</v>
      </c>
      <c r="B744" s="180" t="s">
        <v>2035</v>
      </c>
      <c r="C744" s="180" t="s">
        <v>781</v>
      </c>
      <c r="D744" s="180">
        <f t="shared" si="125"/>
        <v>365</v>
      </c>
      <c r="E744" s="184">
        <v>45915</v>
      </c>
      <c r="F744" s="184">
        <f t="shared" si="126"/>
        <v>46280</v>
      </c>
      <c r="G744" s="184">
        <f t="shared" si="127"/>
        <v>46250</v>
      </c>
      <c r="H744" s="180" t="str">
        <f t="shared" ca="1" si="128"/>
        <v>VÁLIDO</v>
      </c>
      <c r="I744" s="183">
        <v>29.9</v>
      </c>
      <c r="J744" s="182">
        <v>150</v>
      </c>
      <c r="K744" s="182">
        <f t="shared" si="129"/>
        <v>120.1</v>
      </c>
      <c r="L744" s="181">
        <f t="shared" si="130"/>
        <v>0.80066666666666664</v>
      </c>
      <c r="M744" s="180" t="s">
        <v>777</v>
      </c>
    </row>
    <row r="745" spans="1:14" ht="18.75" customHeight="1">
      <c r="A745" s="180" t="s">
        <v>2036</v>
      </c>
      <c r="B745" s="180" t="s">
        <v>2036</v>
      </c>
      <c r="C745" s="180" t="s">
        <v>781</v>
      </c>
      <c r="D745" s="180">
        <f t="shared" si="125"/>
        <v>365</v>
      </c>
      <c r="E745" s="184">
        <v>45916</v>
      </c>
      <c r="F745" s="184">
        <f t="shared" si="126"/>
        <v>46281</v>
      </c>
      <c r="G745" s="184">
        <f t="shared" si="127"/>
        <v>46251</v>
      </c>
      <c r="H745" s="180" t="str">
        <f t="shared" ca="1" si="128"/>
        <v>VÁLIDO</v>
      </c>
      <c r="I745" s="183">
        <v>29.9</v>
      </c>
      <c r="J745" s="182">
        <v>150</v>
      </c>
      <c r="K745" s="182">
        <f t="shared" si="129"/>
        <v>120.1</v>
      </c>
      <c r="L745" s="181">
        <f t="shared" si="130"/>
        <v>0.80066666666666664</v>
      </c>
      <c r="M745" s="180" t="s">
        <v>777</v>
      </c>
      <c r="N745" s="177" t="s">
        <v>2037</v>
      </c>
    </row>
    <row r="746" spans="1:14" ht="18.75" customHeight="1">
      <c r="A746" s="180" t="s">
        <v>1845</v>
      </c>
      <c r="B746" s="180" t="s">
        <v>2038</v>
      </c>
      <c r="C746" s="180" t="s">
        <v>781</v>
      </c>
      <c r="D746" s="180">
        <f t="shared" si="125"/>
        <v>365</v>
      </c>
      <c r="E746" s="184">
        <v>45918</v>
      </c>
      <c r="F746" s="184">
        <f t="shared" si="126"/>
        <v>46283</v>
      </c>
      <c r="G746" s="184">
        <f t="shared" si="127"/>
        <v>46253</v>
      </c>
      <c r="H746" s="180" t="str">
        <f t="shared" ca="1" si="128"/>
        <v>VÁLIDO</v>
      </c>
      <c r="I746" s="183">
        <v>29.9</v>
      </c>
      <c r="J746" s="182">
        <v>150</v>
      </c>
      <c r="K746" s="182">
        <f t="shared" si="129"/>
        <v>120.1</v>
      </c>
      <c r="L746" s="181">
        <f t="shared" si="130"/>
        <v>0.80066666666666664</v>
      </c>
      <c r="M746" s="196" t="s">
        <v>2039</v>
      </c>
    </row>
    <row r="747" spans="1:14" ht="18.75" customHeight="1">
      <c r="A747" s="180" t="s">
        <v>1173</v>
      </c>
      <c r="B747" s="180" t="s">
        <v>1173</v>
      </c>
      <c r="C747" s="180" t="s">
        <v>778</v>
      </c>
      <c r="D747" s="180">
        <f t="shared" si="125"/>
        <v>365</v>
      </c>
      <c r="E747" s="184">
        <v>45918</v>
      </c>
      <c r="F747" s="184">
        <f t="shared" si="126"/>
        <v>46283</v>
      </c>
      <c r="G747" s="184">
        <f t="shared" si="127"/>
        <v>46253</v>
      </c>
      <c r="H747" s="180" t="str">
        <f t="shared" ca="1" si="128"/>
        <v>VÁLIDO</v>
      </c>
      <c r="I747" s="183">
        <v>29.9</v>
      </c>
      <c r="J747" s="182">
        <f t="shared" si="131"/>
        <v>100</v>
      </c>
      <c r="K747" s="182">
        <f t="shared" si="129"/>
        <v>70.099999999999994</v>
      </c>
      <c r="L747" s="181">
        <f t="shared" si="130"/>
        <v>0.70099999999999996</v>
      </c>
      <c r="M747" s="180" t="s">
        <v>777</v>
      </c>
      <c r="N747" s="177" t="s">
        <v>2037</v>
      </c>
    </row>
    <row r="748" spans="1:14" ht="18.75" customHeight="1">
      <c r="A748" s="180" t="s">
        <v>2041</v>
      </c>
      <c r="B748" s="180" t="s">
        <v>2041</v>
      </c>
      <c r="C748" s="180" t="s">
        <v>802</v>
      </c>
      <c r="D748" s="180">
        <f t="shared" si="125"/>
        <v>1095</v>
      </c>
      <c r="E748" s="184">
        <v>45919</v>
      </c>
      <c r="F748" s="184">
        <f t="shared" si="126"/>
        <v>47014</v>
      </c>
      <c r="G748" s="184">
        <f t="shared" si="127"/>
        <v>46984</v>
      </c>
      <c r="H748" s="180" t="str">
        <f t="shared" ca="1" si="128"/>
        <v>VÁLIDO</v>
      </c>
      <c r="I748" s="183">
        <v>29.9</v>
      </c>
      <c r="J748" s="182">
        <v>190</v>
      </c>
      <c r="K748" s="182">
        <f t="shared" si="129"/>
        <v>160.1</v>
      </c>
      <c r="L748" s="181">
        <f t="shared" si="130"/>
        <v>0.8426315789473684</v>
      </c>
      <c r="M748" s="180" t="s">
        <v>777</v>
      </c>
      <c r="N748" s="177" t="s">
        <v>2037</v>
      </c>
    </row>
    <row r="749" spans="1:14" ht="18.75" customHeight="1">
      <c r="A749" s="180" t="s">
        <v>2040</v>
      </c>
      <c r="B749" s="180" t="s">
        <v>2040</v>
      </c>
      <c r="C749" s="180" t="s">
        <v>778</v>
      </c>
      <c r="D749" s="180">
        <f t="shared" si="125"/>
        <v>365</v>
      </c>
      <c r="E749" s="184">
        <v>45919</v>
      </c>
      <c r="F749" s="184">
        <f t="shared" si="126"/>
        <v>46284</v>
      </c>
      <c r="G749" s="184">
        <f t="shared" si="127"/>
        <v>46254</v>
      </c>
      <c r="H749" s="180" t="str">
        <f t="shared" ca="1" si="128"/>
        <v>VÁLIDO</v>
      </c>
      <c r="I749" s="183">
        <v>29.9</v>
      </c>
      <c r="J749" s="182">
        <f t="shared" si="131"/>
        <v>100</v>
      </c>
      <c r="K749" s="182">
        <f t="shared" si="129"/>
        <v>70.099999999999994</v>
      </c>
      <c r="L749" s="181">
        <f t="shared" si="130"/>
        <v>0.70099999999999996</v>
      </c>
      <c r="M749" s="180" t="s">
        <v>777</v>
      </c>
      <c r="N749" s="177" t="s">
        <v>2037</v>
      </c>
    </row>
    <row r="750" spans="1:14" ht="18.75" customHeight="1">
      <c r="A750" s="180" t="s">
        <v>2054</v>
      </c>
      <c r="B750" s="180" t="s">
        <v>756</v>
      </c>
      <c r="C750" s="180" t="s">
        <v>781</v>
      </c>
      <c r="D750" s="180">
        <f t="shared" si="125"/>
        <v>365</v>
      </c>
      <c r="E750" s="184">
        <v>45924</v>
      </c>
      <c r="F750" s="184">
        <f t="shared" si="126"/>
        <v>46289</v>
      </c>
      <c r="G750" s="184">
        <f t="shared" si="127"/>
        <v>46259</v>
      </c>
      <c r="H750" s="180" t="str">
        <f t="shared" ca="1" si="128"/>
        <v>VÁLIDO</v>
      </c>
      <c r="I750" s="183">
        <v>29.9</v>
      </c>
      <c r="J750" s="182">
        <v>150</v>
      </c>
      <c r="K750" s="182">
        <f t="shared" si="129"/>
        <v>120.1</v>
      </c>
      <c r="L750" s="181">
        <f t="shared" si="130"/>
        <v>0.80066666666666664</v>
      </c>
      <c r="M750" s="180" t="s">
        <v>777</v>
      </c>
      <c r="N750" s="177" t="s">
        <v>2055</v>
      </c>
    </row>
    <row r="751" spans="1:14" ht="18.75" customHeight="1">
      <c r="A751" s="454" t="s">
        <v>2060</v>
      </c>
      <c r="B751" s="449"/>
      <c r="C751" s="449"/>
      <c r="D751" s="449"/>
      <c r="E751" s="449"/>
      <c r="F751" s="449"/>
      <c r="G751" s="449"/>
      <c r="H751" s="449"/>
      <c r="I751" s="449"/>
      <c r="J751" s="449"/>
      <c r="K751" s="449"/>
      <c r="L751" s="449"/>
      <c r="M751" s="450"/>
    </row>
    <row r="752" spans="1:14" ht="18.75" customHeight="1">
      <c r="A752" s="180" t="s">
        <v>2061</v>
      </c>
      <c r="B752" s="180" t="s">
        <v>2061</v>
      </c>
      <c r="C752" s="180" t="s">
        <v>778</v>
      </c>
      <c r="D752" s="180">
        <f t="shared" si="125"/>
        <v>365</v>
      </c>
      <c r="E752" s="184">
        <v>45933</v>
      </c>
      <c r="F752" s="184">
        <f t="shared" si="126"/>
        <v>46298</v>
      </c>
      <c r="G752" s="184">
        <f t="shared" si="127"/>
        <v>46268</v>
      </c>
      <c r="H752" s="180" t="str">
        <f t="shared" ca="1" si="128"/>
        <v>VÁLIDO</v>
      </c>
      <c r="I752" s="183">
        <v>29.9</v>
      </c>
      <c r="J752" s="182">
        <f t="shared" si="131"/>
        <v>100</v>
      </c>
      <c r="K752" s="182">
        <f t="shared" si="129"/>
        <v>70.099999999999994</v>
      </c>
      <c r="L752" s="181">
        <f t="shared" si="130"/>
        <v>0.70099999999999996</v>
      </c>
      <c r="M752" s="180" t="s">
        <v>2181</v>
      </c>
      <c r="N752" s="177" t="s">
        <v>1774</v>
      </c>
    </row>
    <row r="753" spans="1:14" ht="18.75" customHeight="1">
      <c r="A753" s="180" t="s">
        <v>2175</v>
      </c>
      <c r="B753" s="180" t="s">
        <v>2175</v>
      </c>
      <c r="C753" s="180" t="s">
        <v>2176</v>
      </c>
      <c r="D753" s="180">
        <f t="shared" si="125"/>
        <v>1095</v>
      </c>
      <c r="E753" s="184">
        <v>45937</v>
      </c>
      <c r="F753" s="184">
        <v>46301</v>
      </c>
      <c r="G753" s="184">
        <f t="shared" si="127"/>
        <v>46271</v>
      </c>
      <c r="H753" s="180" t="str">
        <f t="shared" ca="1" si="128"/>
        <v>VÁLIDO</v>
      </c>
      <c r="I753" s="183">
        <v>29.9</v>
      </c>
      <c r="J753" s="182">
        <v>100</v>
      </c>
      <c r="K753" s="182">
        <f t="shared" si="129"/>
        <v>70.099999999999994</v>
      </c>
      <c r="L753" s="181">
        <f t="shared" si="130"/>
        <v>0.70099999999999996</v>
      </c>
      <c r="M753" s="180" t="s">
        <v>777</v>
      </c>
      <c r="N753" s="177" t="s">
        <v>2184</v>
      </c>
    </row>
    <row r="754" spans="1:14" ht="18.75" customHeight="1">
      <c r="A754" s="180" t="s">
        <v>2177</v>
      </c>
      <c r="B754" s="178" t="s">
        <v>2177</v>
      </c>
      <c r="C754" s="180" t="s">
        <v>781</v>
      </c>
      <c r="D754" s="180">
        <f t="shared" si="125"/>
        <v>365</v>
      </c>
      <c r="E754" s="184">
        <v>45939</v>
      </c>
      <c r="F754" s="184">
        <f t="shared" si="126"/>
        <v>46304</v>
      </c>
      <c r="G754" s="184">
        <f t="shared" si="127"/>
        <v>46274</v>
      </c>
      <c r="H754" s="180" t="str">
        <f t="shared" ca="1" si="128"/>
        <v>VÁLIDO</v>
      </c>
      <c r="I754" s="183">
        <v>29.9</v>
      </c>
      <c r="J754" s="182">
        <v>150</v>
      </c>
      <c r="K754" s="182">
        <f t="shared" si="129"/>
        <v>120.1</v>
      </c>
      <c r="L754" s="181">
        <f t="shared" si="130"/>
        <v>0.80066666666666664</v>
      </c>
      <c r="M754" s="180" t="s">
        <v>777</v>
      </c>
      <c r="N754" s="177" t="s">
        <v>2055</v>
      </c>
    </row>
    <row r="755" spans="1:14" ht="18.75" customHeight="1">
      <c r="A755" s="180" t="s">
        <v>2178</v>
      </c>
      <c r="B755" s="180" t="s">
        <v>2179</v>
      </c>
      <c r="C755" s="180" t="s">
        <v>781</v>
      </c>
      <c r="D755" s="180">
        <f t="shared" si="125"/>
        <v>365</v>
      </c>
      <c r="E755" s="184">
        <v>45939</v>
      </c>
      <c r="F755" s="184">
        <f t="shared" si="126"/>
        <v>46304</v>
      </c>
      <c r="G755" s="184">
        <f t="shared" si="127"/>
        <v>46274</v>
      </c>
      <c r="H755" s="180" t="str">
        <f t="shared" ca="1" si="128"/>
        <v>VÁLIDO</v>
      </c>
      <c r="I755" s="183">
        <v>29.9</v>
      </c>
      <c r="J755" s="182">
        <v>150</v>
      </c>
      <c r="K755" s="182">
        <f t="shared" si="129"/>
        <v>120.1</v>
      </c>
      <c r="L755" s="181">
        <f t="shared" si="130"/>
        <v>0.80066666666666664</v>
      </c>
      <c r="M755" s="180" t="s">
        <v>777</v>
      </c>
    </row>
    <row r="756" spans="1:14" ht="18.75" customHeight="1">
      <c r="A756" s="180" t="s">
        <v>180</v>
      </c>
      <c r="B756" s="180" t="s">
        <v>180</v>
      </c>
      <c r="C756" s="180" t="s">
        <v>781</v>
      </c>
      <c r="D756" s="180">
        <f t="shared" si="125"/>
        <v>365</v>
      </c>
      <c r="E756" s="184">
        <v>45940</v>
      </c>
      <c r="F756" s="184">
        <f t="shared" si="126"/>
        <v>46305</v>
      </c>
      <c r="G756" s="184">
        <f t="shared" si="127"/>
        <v>46275</v>
      </c>
      <c r="H756" s="180" t="str">
        <f t="shared" ca="1" si="128"/>
        <v>VÁLIDO</v>
      </c>
      <c r="I756" s="183">
        <v>29.9</v>
      </c>
      <c r="J756" s="182">
        <v>150</v>
      </c>
      <c r="K756" s="182">
        <f t="shared" si="129"/>
        <v>120.1</v>
      </c>
      <c r="L756" s="181">
        <f t="shared" si="130"/>
        <v>0.80066666666666664</v>
      </c>
      <c r="M756" s="180" t="s">
        <v>777</v>
      </c>
      <c r="N756" s="177" t="s">
        <v>2055</v>
      </c>
    </row>
    <row r="757" spans="1:14" ht="18.75" customHeight="1">
      <c r="A757" s="180" t="s">
        <v>2180</v>
      </c>
      <c r="B757" s="180" t="s">
        <v>2180</v>
      </c>
      <c r="C757" s="180" t="s">
        <v>781</v>
      </c>
      <c r="D757" s="180">
        <f t="shared" si="125"/>
        <v>365</v>
      </c>
      <c r="E757" s="184">
        <v>45945</v>
      </c>
      <c r="F757" s="184">
        <f t="shared" si="126"/>
        <v>46310</v>
      </c>
      <c r="G757" s="184">
        <f t="shared" si="127"/>
        <v>46280</v>
      </c>
      <c r="H757" s="180" t="str">
        <f t="shared" ca="1" si="128"/>
        <v>VÁLIDO</v>
      </c>
      <c r="I757" s="183">
        <v>29.9</v>
      </c>
      <c r="J757" s="182">
        <v>150</v>
      </c>
      <c r="K757" s="182">
        <f t="shared" si="129"/>
        <v>120.1</v>
      </c>
      <c r="L757" s="181">
        <f t="shared" si="130"/>
        <v>0.80066666666666664</v>
      </c>
      <c r="M757" s="180" t="s">
        <v>777</v>
      </c>
    </row>
    <row r="758" spans="1:14" ht="18.75" customHeight="1">
      <c r="A758" s="180" t="s">
        <v>2182</v>
      </c>
      <c r="B758" s="180" t="s">
        <v>2182</v>
      </c>
      <c r="C758" s="180" t="s">
        <v>781</v>
      </c>
      <c r="D758" s="180">
        <f t="shared" si="125"/>
        <v>365</v>
      </c>
      <c r="E758" s="184">
        <v>45950</v>
      </c>
      <c r="F758" s="184">
        <f t="shared" si="126"/>
        <v>46315</v>
      </c>
      <c r="G758" s="184">
        <f t="shared" si="127"/>
        <v>46285</v>
      </c>
      <c r="H758" s="180" t="str">
        <f t="shared" ca="1" si="128"/>
        <v>VÁLIDO</v>
      </c>
      <c r="I758" s="183">
        <v>29.9</v>
      </c>
      <c r="J758" s="182">
        <v>150</v>
      </c>
      <c r="K758" s="182">
        <f t="shared" si="129"/>
        <v>120.1</v>
      </c>
      <c r="L758" s="181">
        <f t="shared" si="130"/>
        <v>0.80066666666666664</v>
      </c>
      <c r="M758" s="180" t="s">
        <v>777</v>
      </c>
    </row>
    <row r="759" spans="1:14" ht="18.75" customHeight="1">
      <c r="A759" s="180" t="s">
        <v>2183</v>
      </c>
      <c r="B759" s="180" t="s">
        <v>2183</v>
      </c>
      <c r="C759" s="180" t="s">
        <v>2176</v>
      </c>
      <c r="D759" s="180">
        <f t="shared" si="125"/>
        <v>1095</v>
      </c>
      <c r="E759" s="184">
        <v>45951</v>
      </c>
      <c r="F759" s="184">
        <f t="shared" si="126"/>
        <v>47046</v>
      </c>
      <c r="G759" s="184">
        <f t="shared" si="127"/>
        <v>47016</v>
      </c>
      <c r="H759" s="180" t="str">
        <f t="shared" ca="1" si="128"/>
        <v>VÁLIDO</v>
      </c>
      <c r="I759" s="183">
        <v>29.9</v>
      </c>
      <c r="J759" s="182">
        <v>180</v>
      </c>
      <c r="K759" s="182">
        <f t="shared" si="129"/>
        <v>150.1</v>
      </c>
      <c r="L759" s="181">
        <f t="shared" si="130"/>
        <v>0.8338888888888889</v>
      </c>
      <c r="M759" s="180" t="s">
        <v>777</v>
      </c>
    </row>
    <row r="760" spans="1:14" ht="18.75" customHeight="1">
      <c r="A760" s="180" t="s">
        <v>1200</v>
      </c>
      <c r="B760" s="180" t="s">
        <v>1200</v>
      </c>
      <c r="C760" s="180" t="s">
        <v>781</v>
      </c>
      <c r="D760" s="180">
        <f t="shared" si="125"/>
        <v>365</v>
      </c>
      <c r="E760" s="184">
        <v>45951</v>
      </c>
      <c r="F760" s="184">
        <f t="shared" si="126"/>
        <v>46316</v>
      </c>
      <c r="G760" s="184">
        <f t="shared" si="127"/>
        <v>46286</v>
      </c>
      <c r="H760" s="180" t="str">
        <f t="shared" ca="1" si="128"/>
        <v>VÁLIDO</v>
      </c>
      <c r="I760" s="183">
        <v>29.9</v>
      </c>
      <c r="J760" s="182">
        <v>150</v>
      </c>
      <c r="K760" s="182">
        <f t="shared" si="129"/>
        <v>120.1</v>
      </c>
      <c r="L760" s="181">
        <f t="shared" si="130"/>
        <v>0.80066666666666664</v>
      </c>
      <c r="M760" s="180" t="s">
        <v>777</v>
      </c>
    </row>
    <row r="761" spans="1:14" ht="18.75" customHeight="1">
      <c r="A761" s="180" t="s">
        <v>1343</v>
      </c>
      <c r="B761" s="180" t="s">
        <v>1343</v>
      </c>
      <c r="C761" s="180" t="s">
        <v>781</v>
      </c>
      <c r="D761" s="180">
        <f t="shared" si="125"/>
        <v>365</v>
      </c>
      <c r="E761" s="184">
        <v>45953</v>
      </c>
      <c r="F761" s="184">
        <f t="shared" si="126"/>
        <v>46318</v>
      </c>
      <c r="G761" s="184">
        <f t="shared" si="127"/>
        <v>46288</v>
      </c>
      <c r="H761" s="180" t="str">
        <f t="shared" ca="1" si="128"/>
        <v>VÁLIDO</v>
      </c>
      <c r="I761" s="183">
        <v>29.9</v>
      </c>
      <c r="J761" s="182">
        <v>150</v>
      </c>
      <c r="K761" s="182">
        <f t="shared" si="129"/>
        <v>120.1</v>
      </c>
      <c r="L761" s="181">
        <f t="shared" si="130"/>
        <v>0.80066666666666664</v>
      </c>
      <c r="M761" s="180" t="s">
        <v>777</v>
      </c>
      <c r="N761" s="177" t="s">
        <v>2055</v>
      </c>
    </row>
    <row r="762" spans="1:14" ht="18.75" customHeight="1">
      <c r="A762" s="180" t="s">
        <v>1587</v>
      </c>
      <c r="B762" s="180" t="s">
        <v>1587</v>
      </c>
      <c r="C762" s="180" t="s">
        <v>2176</v>
      </c>
      <c r="D762" s="180">
        <f t="shared" si="125"/>
        <v>1095</v>
      </c>
      <c r="E762" s="184">
        <v>45954</v>
      </c>
      <c r="F762" s="184">
        <f t="shared" si="126"/>
        <v>47049</v>
      </c>
      <c r="G762" s="184">
        <f t="shared" si="127"/>
        <v>47019</v>
      </c>
      <c r="H762" s="180" t="str">
        <f t="shared" ca="1" si="128"/>
        <v>VÁLIDO</v>
      </c>
      <c r="I762" s="183">
        <v>29.9</v>
      </c>
      <c r="J762" s="182">
        <v>100</v>
      </c>
      <c r="K762" s="182">
        <f t="shared" si="129"/>
        <v>70.099999999999994</v>
      </c>
      <c r="L762" s="181">
        <f t="shared" si="130"/>
        <v>0.70099999999999996</v>
      </c>
      <c r="M762" s="180" t="s">
        <v>777</v>
      </c>
      <c r="N762" s="177" t="s">
        <v>2184</v>
      </c>
    </row>
    <row r="763" spans="1:14" ht="18.75" customHeight="1">
      <c r="A763" s="180" t="s">
        <v>2186</v>
      </c>
      <c r="B763" s="180" t="s">
        <v>2186</v>
      </c>
      <c r="C763" s="180" t="s">
        <v>781</v>
      </c>
      <c r="D763" s="180">
        <f t="shared" si="125"/>
        <v>365</v>
      </c>
      <c r="E763" s="184">
        <v>45957</v>
      </c>
      <c r="F763" s="184">
        <f t="shared" si="126"/>
        <v>46322</v>
      </c>
      <c r="G763" s="184">
        <f t="shared" si="127"/>
        <v>46292</v>
      </c>
      <c r="H763" s="180" t="str">
        <f t="shared" ca="1" si="128"/>
        <v>VÁLIDO</v>
      </c>
      <c r="I763" s="183">
        <v>29.9</v>
      </c>
      <c r="J763" s="182">
        <v>150</v>
      </c>
      <c r="K763" s="182">
        <f t="shared" si="129"/>
        <v>120.1</v>
      </c>
      <c r="L763" s="181">
        <f t="shared" si="130"/>
        <v>0.80066666666666664</v>
      </c>
      <c r="M763" s="180" t="s">
        <v>777</v>
      </c>
    </row>
    <row r="764" spans="1:14" ht="18.75" customHeight="1">
      <c r="A764" s="180" t="s">
        <v>487</v>
      </c>
      <c r="B764" s="180" t="s">
        <v>487</v>
      </c>
      <c r="C764" s="180" t="s">
        <v>778</v>
      </c>
      <c r="D764" s="180">
        <f t="shared" si="125"/>
        <v>365</v>
      </c>
      <c r="E764" s="184">
        <v>45957</v>
      </c>
      <c r="F764" s="184">
        <f t="shared" si="126"/>
        <v>46322</v>
      </c>
      <c r="G764" s="184">
        <f t="shared" si="127"/>
        <v>46292</v>
      </c>
      <c r="H764" s="180" t="str">
        <f t="shared" ca="1" si="128"/>
        <v>VÁLIDO</v>
      </c>
      <c r="I764" s="183">
        <v>29.9</v>
      </c>
      <c r="J764" s="182">
        <f t="shared" si="131"/>
        <v>100</v>
      </c>
      <c r="K764" s="182">
        <f t="shared" si="129"/>
        <v>70.099999999999994</v>
      </c>
      <c r="L764" s="181">
        <f t="shared" si="130"/>
        <v>0.70099999999999996</v>
      </c>
      <c r="M764" s="180" t="s">
        <v>2055</v>
      </c>
    </row>
    <row r="765" spans="1:14" ht="18.75" customHeight="1">
      <c r="A765" s="180" t="s">
        <v>60</v>
      </c>
      <c r="B765" s="180" t="s">
        <v>60</v>
      </c>
      <c r="C765" s="180" t="s">
        <v>781</v>
      </c>
      <c r="D765" s="180">
        <f t="shared" si="125"/>
        <v>365</v>
      </c>
      <c r="E765" s="184">
        <v>45958</v>
      </c>
      <c r="F765" s="184">
        <f t="shared" si="126"/>
        <v>46323</v>
      </c>
      <c r="G765" s="184">
        <f t="shared" si="127"/>
        <v>46293</v>
      </c>
      <c r="H765" s="180" t="str">
        <f t="shared" ca="1" si="128"/>
        <v>VÁLIDO</v>
      </c>
      <c r="I765" s="183">
        <v>29.9</v>
      </c>
      <c r="J765" s="182">
        <v>150</v>
      </c>
      <c r="K765" s="182">
        <f t="shared" si="129"/>
        <v>120.1</v>
      </c>
      <c r="L765" s="181">
        <f t="shared" si="130"/>
        <v>0.80066666666666664</v>
      </c>
      <c r="M765" s="180" t="s">
        <v>2055</v>
      </c>
    </row>
    <row r="766" spans="1:14" ht="18.75" customHeight="1">
      <c r="A766" s="180" t="s">
        <v>1634</v>
      </c>
      <c r="B766" s="180" t="s">
        <v>1634</v>
      </c>
      <c r="C766" s="180" t="s">
        <v>781</v>
      </c>
      <c r="D766" s="180">
        <f t="shared" si="125"/>
        <v>365</v>
      </c>
      <c r="E766" s="184">
        <v>45960</v>
      </c>
      <c r="F766" s="184">
        <f t="shared" si="126"/>
        <v>46325</v>
      </c>
      <c r="G766" s="184">
        <f t="shared" si="127"/>
        <v>46295</v>
      </c>
      <c r="H766" s="180" t="str">
        <f t="shared" ca="1" si="128"/>
        <v>VÁLIDO</v>
      </c>
      <c r="I766" s="183">
        <v>29.9</v>
      </c>
      <c r="J766" s="182">
        <v>150</v>
      </c>
      <c r="K766" s="182">
        <f t="shared" si="129"/>
        <v>120.1</v>
      </c>
      <c r="L766" s="181">
        <f t="shared" si="130"/>
        <v>0.80066666666666664</v>
      </c>
      <c r="M766" s="180" t="s">
        <v>777</v>
      </c>
      <c r="N766" s="177" t="s">
        <v>2037</v>
      </c>
    </row>
    <row r="767" spans="1:14" ht="18.75" customHeight="1">
      <c r="A767" s="180" t="s">
        <v>2191</v>
      </c>
      <c r="B767" s="180" t="s">
        <v>2192</v>
      </c>
      <c r="C767" s="180" t="s">
        <v>2176</v>
      </c>
      <c r="D767" s="180">
        <f t="shared" si="125"/>
        <v>1095</v>
      </c>
      <c r="E767" s="184">
        <v>45960</v>
      </c>
      <c r="F767" s="184">
        <f t="shared" si="126"/>
        <v>47055</v>
      </c>
      <c r="G767" s="184">
        <f t="shared" si="127"/>
        <v>47025</v>
      </c>
      <c r="H767" s="180" t="str">
        <f t="shared" ca="1" si="128"/>
        <v>VÁLIDO</v>
      </c>
      <c r="I767" s="183">
        <v>29.9</v>
      </c>
      <c r="J767" s="182">
        <v>180</v>
      </c>
      <c r="K767" s="182">
        <f t="shared" si="129"/>
        <v>150.1</v>
      </c>
      <c r="L767" s="181">
        <f t="shared" si="130"/>
        <v>0.8338888888888889</v>
      </c>
      <c r="M767" s="180" t="s">
        <v>777</v>
      </c>
    </row>
    <row r="768" spans="1:14" ht="18.75" customHeight="1">
      <c r="A768" s="454" t="s">
        <v>2194</v>
      </c>
      <c r="B768" s="449"/>
      <c r="C768" s="449"/>
      <c r="D768" s="449"/>
      <c r="E768" s="449"/>
      <c r="F768" s="449"/>
      <c r="G768" s="449"/>
      <c r="H768" s="449"/>
      <c r="I768" s="449"/>
      <c r="J768" s="449"/>
      <c r="K768" s="449"/>
      <c r="L768" s="449"/>
      <c r="M768" s="450"/>
    </row>
    <row r="769" spans="1:14" ht="18.75" customHeight="1">
      <c r="A769" s="180" t="s">
        <v>2195</v>
      </c>
      <c r="B769" s="180" t="s">
        <v>2195</v>
      </c>
      <c r="C769" s="180" t="s">
        <v>781</v>
      </c>
      <c r="D769" s="180">
        <f t="shared" si="125"/>
        <v>365</v>
      </c>
      <c r="E769" s="184">
        <v>45965</v>
      </c>
      <c r="F769" s="184">
        <f t="shared" si="126"/>
        <v>46330</v>
      </c>
      <c r="G769" s="184">
        <f t="shared" si="127"/>
        <v>46300</v>
      </c>
      <c r="H769" s="180" t="str">
        <f t="shared" ca="1" si="128"/>
        <v>VÁLIDO</v>
      </c>
      <c r="I769" s="183">
        <v>29.9</v>
      </c>
      <c r="J769" s="182">
        <v>150</v>
      </c>
      <c r="K769" s="182">
        <f t="shared" si="129"/>
        <v>120.1</v>
      </c>
      <c r="L769" s="181">
        <f t="shared" si="130"/>
        <v>0.80066666666666664</v>
      </c>
      <c r="M769" s="180" t="s">
        <v>777</v>
      </c>
      <c r="N769" s="177" t="s">
        <v>2037</v>
      </c>
    </row>
    <row r="770" spans="1:14" ht="18.75" customHeight="1">
      <c r="A770" s="180" t="s">
        <v>2196</v>
      </c>
      <c r="B770" s="180" t="s">
        <v>2196</v>
      </c>
      <c r="C770" s="180" t="s">
        <v>802</v>
      </c>
      <c r="D770" s="180">
        <f t="shared" si="125"/>
        <v>1095</v>
      </c>
      <c r="E770" s="184">
        <v>45965</v>
      </c>
      <c r="F770" s="184">
        <f t="shared" si="126"/>
        <v>47060</v>
      </c>
      <c r="G770" s="184">
        <f t="shared" si="127"/>
        <v>47030</v>
      </c>
      <c r="H770" s="180" t="str">
        <f t="shared" ca="1" si="128"/>
        <v>VÁLIDO</v>
      </c>
      <c r="I770" s="183">
        <v>29.9</v>
      </c>
      <c r="J770" s="182">
        <v>200</v>
      </c>
      <c r="K770" s="182">
        <f t="shared" si="129"/>
        <v>170.1</v>
      </c>
      <c r="L770" s="181">
        <f t="shared" si="130"/>
        <v>0.85049999999999992</v>
      </c>
      <c r="M770" s="180" t="s">
        <v>777</v>
      </c>
      <c r="N770" s="177" t="s">
        <v>2184</v>
      </c>
    </row>
    <row r="771" spans="1:14" ht="18.75" customHeight="1">
      <c r="A771" s="180" t="s">
        <v>2224</v>
      </c>
      <c r="B771" s="180" t="s">
        <v>2224</v>
      </c>
      <c r="C771" s="180" t="s">
        <v>781</v>
      </c>
      <c r="D771" s="180">
        <f t="shared" si="125"/>
        <v>365</v>
      </c>
      <c r="E771" s="184">
        <v>45967</v>
      </c>
      <c r="F771" s="184">
        <f t="shared" si="126"/>
        <v>46332</v>
      </c>
      <c r="G771" s="184">
        <f t="shared" si="127"/>
        <v>46302</v>
      </c>
      <c r="H771" s="180" t="str">
        <f t="shared" ca="1" si="128"/>
        <v>VÁLIDO</v>
      </c>
      <c r="I771" s="183">
        <v>29.9</v>
      </c>
      <c r="J771" s="182">
        <v>150</v>
      </c>
      <c r="K771" s="182">
        <f t="shared" si="129"/>
        <v>120.1</v>
      </c>
      <c r="L771" s="181">
        <f t="shared" si="130"/>
        <v>0.80066666666666664</v>
      </c>
      <c r="M771" s="180" t="s">
        <v>1153</v>
      </c>
    </row>
    <row r="772" spans="1:14" ht="18.75" customHeight="1">
      <c r="A772" s="180" t="s">
        <v>1622</v>
      </c>
      <c r="B772" s="180" t="s">
        <v>130</v>
      </c>
      <c r="C772" s="180" t="s">
        <v>778</v>
      </c>
      <c r="D772" s="180">
        <f t="shared" si="125"/>
        <v>365</v>
      </c>
      <c r="E772" s="184">
        <v>45967</v>
      </c>
      <c r="F772" s="184">
        <f t="shared" si="126"/>
        <v>46332</v>
      </c>
      <c r="G772" s="184">
        <f t="shared" si="127"/>
        <v>46302</v>
      </c>
      <c r="H772" s="180" t="str">
        <f t="shared" ca="1" si="128"/>
        <v>VÁLIDO</v>
      </c>
      <c r="I772" s="183">
        <v>29.9</v>
      </c>
      <c r="J772" s="182">
        <f t="shared" si="131"/>
        <v>100</v>
      </c>
      <c r="K772" s="182">
        <f t="shared" si="129"/>
        <v>70.099999999999994</v>
      </c>
      <c r="L772" s="181">
        <f t="shared" si="130"/>
        <v>0.70099999999999996</v>
      </c>
      <c r="M772" s="180" t="s">
        <v>1153</v>
      </c>
    </row>
    <row r="773" spans="1:14" ht="18.75" customHeight="1">
      <c r="A773" s="180" t="s">
        <v>2225</v>
      </c>
      <c r="B773" s="180" t="s">
        <v>2225</v>
      </c>
      <c r="C773" s="180" t="s">
        <v>781</v>
      </c>
      <c r="D773" s="180">
        <f t="shared" si="125"/>
        <v>365</v>
      </c>
      <c r="E773" s="184">
        <v>45971</v>
      </c>
      <c r="F773" s="184">
        <f t="shared" si="126"/>
        <v>46336</v>
      </c>
      <c r="G773" s="184">
        <f t="shared" si="127"/>
        <v>46306</v>
      </c>
      <c r="H773" s="180" t="str">
        <f t="shared" ca="1" si="128"/>
        <v>VÁLIDO</v>
      </c>
      <c r="I773" s="183">
        <v>29.9</v>
      </c>
      <c r="J773" s="182">
        <v>150</v>
      </c>
      <c r="K773" s="182">
        <f t="shared" si="129"/>
        <v>120.1</v>
      </c>
      <c r="L773" s="181">
        <f t="shared" si="130"/>
        <v>0.80066666666666664</v>
      </c>
      <c r="M773" s="180" t="s">
        <v>777</v>
      </c>
      <c r="N773" s="177" t="s">
        <v>2037</v>
      </c>
    </row>
    <row r="774" spans="1:14" ht="18.75" customHeight="1">
      <c r="A774" s="180" t="s">
        <v>847</v>
      </c>
      <c r="B774" s="180" t="s">
        <v>847</v>
      </c>
      <c r="C774" s="180" t="s">
        <v>802</v>
      </c>
      <c r="D774" s="180">
        <f t="shared" si="125"/>
        <v>1095</v>
      </c>
      <c r="E774" s="184">
        <v>45972</v>
      </c>
      <c r="F774" s="184">
        <f t="shared" si="126"/>
        <v>47067</v>
      </c>
      <c r="G774" s="184">
        <f t="shared" si="127"/>
        <v>47037</v>
      </c>
      <c r="H774" s="180" t="str">
        <f t="shared" ca="1" si="128"/>
        <v>VÁLIDO</v>
      </c>
      <c r="I774" s="183">
        <v>29.9</v>
      </c>
      <c r="J774" s="182">
        <v>190</v>
      </c>
      <c r="K774" s="182">
        <f t="shared" si="129"/>
        <v>160.1</v>
      </c>
      <c r="L774" s="181">
        <f t="shared" si="130"/>
        <v>0.8426315789473684</v>
      </c>
      <c r="M774" s="180" t="s">
        <v>777</v>
      </c>
      <c r="N774" s="177" t="s">
        <v>2184</v>
      </c>
    </row>
    <row r="775" spans="1:14" ht="18.75" customHeight="1">
      <c r="A775" s="180" t="s">
        <v>1633</v>
      </c>
      <c r="B775" s="180" t="s">
        <v>1633</v>
      </c>
      <c r="C775" s="180" t="s">
        <v>781</v>
      </c>
      <c r="D775" s="180">
        <f t="shared" si="125"/>
        <v>365</v>
      </c>
      <c r="E775" s="184">
        <v>45986</v>
      </c>
      <c r="F775" s="184">
        <f t="shared" si="126"/>
        <v>46351</v>
      </c>
      <c r="G775" s="184">
        <f t="shared" si="127"/>
        <v>46321</v>
      </c>
      <c r="H775" s="180" t="str">
        <f t="shared" ca="1" si="128"/>
        <v>VÁLIDO</v>
      </c>
      <c r="I775" s="183">
        <v>29.9</v>
      </c>
      <c r="J775" s="182">
        <v>150</v>
      </c>
      <c r="K775" s="182">
        <f t="shared" si="129"/>
        <v>120.1</v>
      </c>
      <c r="L775" s="181">
        <f t="shared" si="130"/>
        <v>0.80066666666666664</v>
      </c>
      <c r="M775" s="180" t="s">
        <v>1153</v>
      </c>
    </row>
    <row r="776" spans="1:14" ht="18.75" customHeight="1">
      <c r="A776" s="180" t="s">
        <v>69</v>
      </c>
      <c r="B776" s="180" t="s">
        <v>69</v>
      </c>
      <c r="C776" s="180" t="s">
        <v>802</v>
      </c>
      <c r="D776" s="180">
        <f t="shared" si="125"/>
        <v>1095</v>
      </c>
      <c r="E776" s="184">
        <v>45986</v>
      </c>
      <c r="F776" s="184">
        <f t="shared" si="126"/>
        <v>47081</v>
      </c>
      <c r="G776" s="184">
        <f t="shared" si="127"/>
        <v>47051</v>
      </c>
      <c r="H776" s="180" t="str">
        <f t="shared" ca="1" si="128"/>
        <v>VÁLIDO</v>
      </c>
      <c r="I776" s="183">
        <v>29.9</v>
      </c>
      <c r="J776" s="182">
        <v>190</v>
      </c>
      <c r="K776" s="182">
        <f t="shared" si="129"/>
        <v>160.1</v>
      </c>
      <c r="L776" s="181">
        <f t="shared" si="130"/>
        <v>0.8426315789473684</v>
      </c>
      <c r="M776" s="180" t="s">
        <v>1153</v>
      </c>
      <c r="N776" s="177" t="s">
        <v>2184</v>
      </c>
    </row>
    <row r="777" spans="1:14" ht="18.75" customHeight="1">
      <c r="A777" s="180" t="s">
        <v>2</v>
      </c>
      <c r="B777" s="180" t="s">
        <v>2</v>
      </c>
      <c r="C777" s="180" t="s">
        <v>781</v>
      </c>
      <c r="D777" s="180">
        <f t="shared" si="125"/>
        <v>365</v>
      </c>
      <c r="E777" s="184">
        <v>45988</v>
      </c>
      <c r="F777" s="184">
        <f t="shared" si="126"/>
        <v>46353</v>
      </c>
      <c r="G777" s="184">
        <f t="shared" si="127"/>
        <v>46323</v>
      </c>
      <c r="H777" s="180" t="str">
        <f t="shared" ca="1" si="128"/>
        <v>VÁLIDO</v>
      </c>
      <c r="I777" s="183">
        <v>29.9</v>
      </c>
      <c r="J777" s="182">
        <v>150</v>
      </c>
      <c r="K777" s="182">
        <f t="shared" si="129"/>
        <v>120.1</v>
      </c>
      <c r="L777" s="181">
        <f t="shared" si="130"/>
        <v>0.80066666666666664</v>
      </c>
      <c r="M777" s="180" t="s">
        <v>777</v>
      </c>
      <c r="N777" s="177" t="s">
        <v>2037</v>
      </c>
    </row>
    <row r="778" spans="1:14" ht="18.75" customHeight="1">
      <c r="A778" s="454" t="s">
        <v>2226</v>
      </c>
      <c r="B778" s="449"/>
      <c r="C778" s="449"/>
      <c r="D778" s="449"/>
      <c r="E778" s="449"/>
      <c r="F778" s="449"/>
      <c r="G778" s="449"/>
      <c r="H778" s="449"/>
      <c r="I778" s="449"/>
      <c r="J778" s="449"/>
      <c r="K778" s="449"/>
      <c r="L778" s="449"/>
      <c r="M778" s="450"/>
    </row>
    <row r="779" spans="1:14" ht="18.75" customHeight="1">
      <c r="A779" s="180" t="s">
        <v>930</v>
      </c>
      <c r="B779" s="180" t="s">
        <v>930</v>
      </c>
      <c r="C779" s="180" t="s">
        <v>781</v>
      </c>
      <c r="D779" s="180">
        <f t="shared" si="125"/>
        <v>365</v>
      </c>
      <c r="E779" s="184">
        <v>45994</v>
      </c>
      <c r="F779" s="184">
        <f t="shared" si="126"/>
        <v>46359</v>
      </c>
      <c r="G779" s="184">
        <f t="shared" si="127"/>
        <v>46329</v>
      </c>
      <c r="H779" s="180" t="str">
        <f t="shared" ca="1" si="128"/>
        <v>VÁLIDO</v>
      </c>
      <c r="I779" s="183">
        <v>29.9</v>
      </c>
      <c r="J779" s="182">
        <v>150</v>
      </c>
      <c r="K779" s="182">
        <f t="shared" si="129"/>
        <v>120.1</v>
      </c>
      <c r="L779" s="181">
        <f t="shared" si="130"/>
        <v>0.80066666666666664</v>
      </c>
      <c r="M779" s="180" t="s">
        <v>777</v>
      </c>
    </row>
    <row r="780" spans="1:14" ht="18.75" customHeight="1">
      <c r="A780" s="180" t="s">
        <v>1698</v>
      </c>
      <c r="B780" s="180" t="s">
        <v>1698</v>
      </c>
      <c r="C780" s="180" t="s">
        <v>781</v>
      </c>
      <c r="D780" s="180">
        <f t="shared" si="125"/>
        <v>365</v>
      </c>
      <c r="E780" s="184">
        <v>45994</v>
      </c>
      <c r="F780" s="184">
        <f t="shared" si="126"/>
        <v>46359</v>
      </c>
      <c r="G780" s="184">
        <f t="shared" si="127"/>
        <v>46329</v>
      </c>
      <c r="H780" s="180" t="str">
        <f t="shared" ca="1" si="128"/>
        <v>VÁLIDO</v>
      </c>
      <c r="I780" s="183">
        <v>29.9</v>
      </c>
      <c r="J780" s="182">
        <v>150</v>
      </c>
      <c r="K780" s="182">
        <f t="shared" si="129"/>
        <v>120.1</v>
      </c>
      <c r="L780" s="181">
        <f t="shared" si="130"/>
        <v>0.80066666666666664</v>
      </c>
      <c r="M780" s="180" t="s">
        <v>777</v>
      </c>
    </row>
    <row r="781" spans="1:14" ht="18.75" customHeight="1">
      <c r="A781" s="180" t="s">
        <v>2227</v>
      </c>
      <c r="B781" s="180" t="s">
        <v>2227</v>
      </c>
      <c r="C781" s="180" t="s">
        <v>781</v>
      </c>
      <c r="D781" s="180">
        <f t="shared" si="125"/>
        <v>365</v>
      </c>
      <c r="E781" s="184">
        <v>45996</v>
      </c>
      <c r="F781" s="184">
        <f t="shared" si="126"/>
        <v>46361</v>
      </c>
      <c r="G781" s="184">
        <f t="shared" si="127"/>
        <v>46331</v>
      </c>
      <c r="H781" s="180" t="str">
        <f t="shared" ca="1" si="128"/>
        <v>VÁLIDO</v>
      </c>
      <c r="I781" s="183">
        <v>29.9</v>
      </c>
      <c r="J781" s="182">
        <v>150</v>
      </c>
      <c r="K781" s="182">
        <f t="shared" si="129"/>
        <v>120.1</v>
      </c>
      <c r="L781" s="181">
        <f t="shared" si="130"/>
        <v>0.80066666666666664</v>
      </c>
      <c r="M781" s="180" t="s">
        <v>777</v>
      </c>
      <c r="N781" s="177" t="s">
        <v>2037</v>
      </c>
    </row>
    <row r="782" spans="1:14" ht="18.75" customHeight="1">
      <c r="A782" s="180" t="s">
        <v>7</v>
      </c>
      <c r="B782" s="180" t="s">
        <v>7</v>
      </c>
      <c r="C782" s="180" t="s">
        <v>781</v>
      </c>
      <c r="D782" s="180">
        <f t="shared" si="125"/>
        <v>365</v>
      </c>
      <c r="E782" s="184">
        <v>46006</v>
      </c>
      <c r="F782" s="184">
        <f t="shared" si="126"/>
        <v>46371</v>
      </c>
      <c r="G782" s="184">
        <f t="shared" si="127"/>
        <v>46341</v>
      </c>
      <c r="H782" s="180" t="str">
        <f t="shared" ca="1" si="128"/>
        <v>VÁLIDO</v>
      </c>
      <c r="I782" s="183">
        <v>29.9</v>
      </c>
      <c r="J782" s="182">
        <v>150</v>
      </c>
      <c r="K782" s="182">
        <f t="shared" si="129"/>
        <v>120.1</v>
      </c>
      <c r="L782" s="181">
        <f t="shared" si="130"/>
        <v>0.80066666666666664</v>
      </c>
      <c r="M782" s="180"/>
    </row>
    <row r="783" spans="1:14" ht="18.75" customHeight="1">
      <c r="A783" s="180" t="s">
        <v>2251</v>
      </c>
      <c r="B783" s="180" t="s">
        <v>2250</v>
      </c>
      <c r="C783" s="180" t="s">
        <v>802</v>
      </c>
      <c r="D783" s="180">
        <f t="shared" si="125"/>
        <v>1095</v>
      </c>
      <c r="E783" s="184">
        <v>46008</v>
      </c>
      <c r="F783" s="184">
        <f t="shared" si="126"/>
        <v>47103</v>
      </c>
      <c r="G783" s="184">
        <f t="shared" si="127"/>
        <v>47073</v>
      </c>
      <c r="H783" s="180" t="str">
        <f t="shared" ca="1" si="128"/>
        <v>VÁLIDO</v>
      </c>
      <c r="I783" s="183">
        <v>29.9</v>
      </c>
      <c r="J783" s="182">
        <f t="shared" si="131"/>
        <v>250</v>
      </c>
      <c r="K783" s="182">
        <f t="shared" si="129"/>
        <v>220.1</v>
      </c>
      <c r="L783" s="181">
        <f t="shared" si="130"/>
        <v>0.88039999999999996</v>
      </c>
      <c r="M783" s="180" t="s">
        <v>777</v>
      </c>
      <c r="N783" s="177" t="s">
        <v>2037</v>
      </c>
    </row>
    <row r="784" spans="1:14" ht="18.75" customHeight="1">
      <c r="A784" s="180" t="s">
        <v>787</v>
      </c>
      <c r="B784" s="180" t="s">
        <v>787</v>
      </c>
      <c r="C784" s="180" t="s">
        <v>781</v>
      </c>
      <c r="D784" s="180">
        <f t="shared" si="125"/>
        <v>365</v>
      </c>
      <c r="E784" s="184">
        <v>46010</v>
      </c>
      <c r="F784" s="184">
        <f t="shared" si="126"/>
        <v>46375</v>
      </c>
      <c r="G784" s="184">
        <f t="shared" si="127"/>
        <v>46345</v>
      </c>
      <c r="H784" s="180" t="str">
        <f t="shared" ca="1" si="128"/>
        <v>VÁLIDO</v>
      </c>
      <c r="I784" s="183">
        <v>29.9</v>
      </c>
      <c r="J784" s="182">
        <v>150</v>
      </c>
      <c r="K784" s="182">
        <f t="shared" si="129"/>
        <v>120.1</v>
      </c>
      <c r="L784" s="181">
        <f t="shared" si="130"/>
        <v>0.80066666666666664</v>
      </c>
      <c r="M784" s="180"/>
    </row>
    <row r="785" spans="1:13" ht="18.75" customHeight="1">
      <c r="A785" s="180" t="s">
        <v>2252</v>
      </c>
      <c r="B785" s="180" t="s">
        <v>2253</v>
      </c>
      <c r="C785" s="180" t="s">
        <v>781</v>
      </c>
      <c r="D785" s="180">
        <f t="shared" si="125"/>
        <v>365</v>
      </c>
      <c r="E785" s="184">
        <v>46010</v>
      </c>
      <c r="F785" s="184">
        <f t="shared" si="126"/>
        <v>46375</v>
      </c>
      <c r="G785" s="184">
        <f t="shared" si="127"/>
        <v>46345</v>
      </c>
      <c r="H785" s="180" t="str">
        <f t="shared" ca="1" si="128"/>
        <v>VÁLIDO</v>
      </c>
      <c r="I785" s="183">
        <v>29.9</v>
      </c>
      <c r="J785" s="182">
        <v>150</v>
      </c>
      <c r="K785" s="182">
        <f t="shared" si="129"/>
        <v>120.1</v>
      </c>
      <c r="L785" s="181">
        <f t="shared" si="130"/>
        <v>0.80066666666666664</v>
      </c>
      <c r="M785" s="180" t="s">
        <v>777</v>
      </c>
    </row>
    <row r="786" spans="1:13" ht="18.75" customHeight="1">
      <c r="A786" s="180" t="s">
        <v>2255</v>
      </c>
      <c r="B786" s="180" t="s">
        <v>2255</v>
      </c>
      <c r="C786" s="180" t="s">
        <v>778</v>
      </c>
      <c r="D786" s="180">
        <f t="shared" si="125"/>
        <v>365</v>
      </c>
      <c r="E786" s="184">
        <v>46017</v>
      </c>
      <c r="F786" s="184">
        <f t="shared" si="126"/>
        <v>46382</v>
      </c>
      <c r="G786" s="184">
        <f t="shared" si="127"/>
        <v>46352</v>
      </c>
      <c r="H786" s="180" t="str">
        <f t="shared" ca="1" si="128"/>
        <v>VÁLIDO</v>
      </c>
      <c r="I786" s="183">
        <v>29.9</v>
      </c>
      <c r="J786" s="182">
        <f t="shared" si="131"/>
        <v>100</v>
      </c>
      <c r="K786" s="182">
        <f t="shared" si="129"/>
        <v>70.099999999999994</v>
      </c>
      <c r="L786" s="181">
        <f t="shared" si="130"/>
        <v>0.70099999999999996</v>
      </c>
      <c r="M786" s="180" t="s">
        <v>777</v>
      </c>
    </row>
    <row r="787" spans="1:13" ht="18.75" customHeight="1">
      <c r="A787" s="180" t="s">
        <v>2257</v>
      </c>
      <c r="B787" s="180" t="s">
        <v>2256</v>
      </c>
      <c r="C787" s="180" t="s">
        <v>778</v>
      </c>
      <c r="D787" s="180">
        <f t="shared" si="125"/>
        <v>365</v>
      </c>
      <c r="E787" s="184">
        <v>46021</v>
      </c>
      <c r="F787" s="184">
        <f t="shared" si="126"/>
        <v>46386</v>
      </c>
      <c r="G787" s="184">
        <f t="shared" si="127"/>
        <v>46356</v>
      </c>
      <c r="H787" s="180" t="str">
        <f t="shared" ca="1" si="128"/>
        <v>VÁLIDO</v>
      </c>
      <c r="I787" s="183">
        <v>29.9</v>
      </c>
      <c r="J787" s="182">
        <f t="shared" si="131"/>
        <v>100</v>
      </c>
      <c r="K787" s="182">
        <f t="shared" si="129"/>
        <v>70.099999999999994</v>
      </c>
      <c r="L787" s="181">
        <f t="shared" si="130"/>
        <v>0.70099999999999996</v>
      </c>
      <c r="M787" s="180"/>
    </row>
    <row r="788" spans="1:13" ht="18.75" customHeight="1">
      <c r="A788" s="180" t="s">
        <v>2258</v>
      </c>
      <c r="B788" s="180" t="s">
        <v>2259</v>
      </c>
      <c r="C788" s="180" t="s">
        <v>778</v>
      </c>
      <c r="D788" s="180">
        <f t="shared" si="125"/>
        <v>365</v>
      </c>
      <c r="E788" s="184">
        <v>46021</v>
      </c>
      <c r="F788" s="184">
        <f t="shared" si="126"/>
        <v>46386</v>
      </c>
      <c r="G788" s="184">
        <f t="shared" si="127"/>
        <v>46356</v>
      </c>
      <c r="H788" s="180" t="str">
        <f t="shared" ca="1" si="128"/>
        <v>VÁLIDO</v>
      </c>
      <c r="I788" s="183">
        <v>29.9</v>
      </c>
      <c r="J788" s="182">
        <f t="shared" si="131"/>
        <v>100</v>
      </c>
      <c r="K788" s="182">
        <f t="shared" si="129"/>
        <v>70.099999999999994</v>
      </c>
      <c r="L788" s="181">
        <f t="shared" si="130"/>
        <v>0.70099999999999996</v>
      </c>
      <c r="M788" s="180" t="s">
        <v>777</v>
      </c>
    </row>
    <row r="789" spans="1:13" ht="18.75" customHeight="1">
      <c r="A789" s="180" t="s">
        <v>1843</v>
      </c>
      <c r="B789" s="180" t="s">
        <v>1843</v>
      </c>
      <c r="C789" s="180" t="s">
        <v>778</v>
      </c>
      <c r="D789" s="180">
        <f t="shared" si="125"/>
        <v>365</v>
      </c>
      <c r="E789" s="184">
        <v>46021</v>
      </c>
      <c r="F789" s="184">
        <f t="shared" si="126"/>
        <v>46386</v>
      </c>
      <c r="G789" s="184">
        <f t="shared" si="127"/>
        <v>46356</v>
      </c>
      <c r="H789" s="180" t="str">
        <f t="shared" ca="1" si="128"/>
        <v>VÁLIDO</v>
      </c>
      <c r="I789" s="183">
        <v>29.9</v>
      </c>
      <c r="J789" s="182">
        <f t="shared" si="131"/>
        <v>100</v>
      </c>
      <c r="K789" s="182">
        <f t="shared" si="129"/>
        <v>70.099999999999994</v>
      </c>
      <c r="L789" s="181">
        <f t="shared" si="130"/>
        <v>0.70099999999999996</v>
      </c>
      <c r="M789" s="180" t="s">
        <v>777</v>
      </c>
    </row>
    <row r="790" spans="1:13" ht="18.75" customHeight="1">
      <c r="A790" s="180" t="s">
        <v>2260</v>
      </c>
      <c r="B790" s="180" t="s">
        <v>2260</v>
      </c>
      <c r="C790" s="180" t="s">
        <v>778</v>
      </c>
      <c r="D790" s="180">
        <f t="shared" si="125"/>
        <v>365</v>
      </c>
      <c r="E790" s="184">
        <v>46021</v>
      </c>
      <c r="F790" s="184">
        <f t="shared" si="126"/>
        <v>46386</v>
      </c>
      <c r="G790" s="184">
        <f t="shared" si="127"/>
        <v>46356</v>
      </c>
      <c r="H790" s="180" t="str">
        <f t="shared" ca="1" si="128"/>
        <v>VÁLIDO</v>
      </c>
      <c r="I790" s="183">
        <v>29.9</v>
      </c>
      <c r="J790" s="182">
        <f t="shared" si="131"/>
        <v>100</v>
      </c>
      <c r="K790" s="182">
        <f t="shared" si="129"/>
        <v>70.099999999999994</v>
      </c>
      <c r="L790" s="181">
        <f t="shared" si="130"/>
        <v>0.70099999999999996</v>
      </c>
      <c r="M790" s="180"/>
    </row>
    <row r="791" spans="1:13" ht="18.75" customHeight="1">
      <c r="A791" s="180" t="s">
        <v>485</v>
      </c>
      <c r="B791" s="180" t="s">
        <v>485</v>
      </c>
      <c r="C791" s="180" t="s">
        <v>778</v>
      </c>
      <c r="D791" s="180">
        <f t="shared" si="125"/>
        <v>365</v>
      </c>
      <c r="E791" s="184">
        <v>46021</v>
      </c>
      <c r="F791" s="184">
        <f t="shared" si="126"/>
        <v>46386</v>
      </c>
      <c r="G791" s="184">
        <f t="shared" si="127"/>
        <v>46356</v>
      </c>
      <c r="H791" s="180" t="str">
        <f t="shared" ca="1" si="128"/>
        <v>VÁLIDO</v>
      </c>
      <c r="I791" s="183">
        <v>29.9</v>
      </c>
      <c r="J791" s="182">
        <f t="shared" si="131"/>
        <v>100</v>
      </c>
      <c r="K791" s="182">
        <f t="shared" si="129"/>
        <v>70.099999999999994</v>
      </c>
      <c r="L791" s="181">
        <f t="shared" si="130"/>
        <v>0.70099999999999996</v>
      </c>
      <c r="M791" s="180"/>
    </row>
    <row r="792" spans="1:13" ht="18.75" customHeight="1">
      <c r="A792" s="180" t="s">
        <v>40</v>
      </c>
      <c r="B792" s="180" t="s">
        <v>40</v>
      </c>
      <c r="C792" s="180" t="s">
        <v>781</v>
      </c>
      <c r="D792" s="180">
        <f t="shared" si="125"/>
        <v>365</v>
      </c>
      <c r="E792" s="184">
        <v>46021</v>
      </c>
      <c r="F792" s="184">
        <f t="shared" si="126"/>
        <v>46386</v>
      </c>
      <c r="G792" s="184">
        <f t="shared" si="127"/>
        <v>46356</v>
      </c>
      <c r="H792" s="180" t="str">
        <f t="shared" ca="1" si="128"/>
        <v>VÁLIDO</v>
      </c>
      <c r="I792" s="183">
        <v>29.9</v>
      </c>
      <c r="J792" s="182">
        <v>150</v>
      </c>
      <c r="K792" s="182">
        <f t="shared" si="129"/>
        <v>120.1</v>
      </c>
      <c r="L792" s="181">
        <f t="shared" si="130"/>
        <v>0.80066666666666664</v>
      </c>
      <c r="M792" s="180"/>
    </row>
    <row r="793" spans="1:13" ht="18.75" customHeight="1">
      <c r="A793" s="180"/>
      <c r="B793" s="180"/>
      <c r="C793" s="180"/>
      <c r="D793" s="180">
        <f t="shared" si="125"/>
        <v>1095</v>
      </c>
      <c r="E793" s="180"/>
      <c r="F793" s="184">
        <f t="shared" si="126"/>
        <v>1095</v>
      </c>
      <c r="G793" s="184">
        <f t="shared" si="127"/>
        <v>1065</v>
      </c>
      <c r="H793" s="180" t="str">
        <f t="shared" ca="1" si="128"/>
        <v>VENCIDO</v>
      </c>
      <c r="I793" s="183" t="e">
        <f t="shared" ref="I793:I798" si="132">VLOOKUP(C793,$M$3:$O$6,2,0)</f>
        <v>#N/A</v>
      </c>
      <c r="J793" s="182" t="e">
        <f t="shared" si="131"/>
        <v>#N/A</v>
      </c>
      <c r="K793" s="182" t="e">
        <f t="shared" si="129"/>
        <v>#N/A</v>
      </c>
      <c r="L793" s="181" t="e">
        <f t="shared" si="130"/>
        <v>#N/A</v>
      </c>
      <c r="M793" s="180"/>
    </row>
    <row r="794" spans="1:13" ht="18.75" customHeight="1">
      <c r="A794" s="180"/>
      <c r="B794" s="180"/>
      <c r="C794" s="180"/>
      <c r="D794" s="180">
        <f t="shared" si="125"/>
        <v>1095</v>
      </c>
      <c r="E794" s="180"/>
      <c r="F794" s="184">
        <f t="shared" si="126"/>
        <v>1095</v>
      </c>
      <c r="G794" s="184">
        <f t="shared" si="127"/>
        <v>1065</v>
      </c>
      <c r="H794" s="180" t="str">
        <f t="shared" ca="1" si="128"/>
        <v>VENCIDO</v>
      </c>
      <c r="I794" s="183" t="e">
        <f t="shared" si="132"/>
        <v>#N/A</v>
      </c>
      <c r="J794" s="182" t="e">
        <f t="shared" si="131"/>
        <v>#N/A</v>
      </c>
      <c r="K794" s="182" t="e">
        <f t="shared" si="129"/>
        <v>#N/A</v>
      </c>
      <c r="L794" s="181" t="e">
        <f t="shared" si="130"/>
        <v>#N/A</v>
      </c>
      <c r="M794" s="180"/>
    </row>
    <row r="795" spans="1:13" ht="18.75" customHeight="1">
      <c r="A795" s="180"/>
      <c r="B795" s="180"/>
      <c r="C795" s="180"/>
      <c r="D795" s="180">
        <f t="shared" si="125"/>
        <v>1095</v>
      </c>
      <c r="E795" s="180"/>
      <c r="F795" s="184">
        <f t="shared" si="126"/>
        <v>1095</v>
      </c>
      <c r="G795" s="184">
        <f t="shared" si="127"/>
        <v>1065</v>
      </c>
      <c r="H795" s="180" t="str">
        <f t="shared" ca="1" si="128"/>
        <v>VENCIDO</v>
      </c>
      <c r="I795" s="183" t="e">
        <f t="shared" si="132"/>
        <v>#N/A</v>
      </c>
      <c r="J795" s="182" t="e">
        <f t="shared" si="131"/>
        <v>#N/A</v>
      </c>
      <c r="K795" s="182" t="e">
        <f t="shared" si="129"/>
        <v>#N/A</v>
      </c>
      <c r="L795" s="181" t="e">
        <f t="shared" si="130"/>
        <v>#N/A</v>
      </c>
      <c r="M795" s="180"/>
    </row>
    <row r="796" spans="1:13" ht="18.75" customHeight="1">
      <c r="A796" s="180"/>
      <c r="B796" s="180"/>
      <c r="C796" s="180"/>
      <c r="D796" s="180">
        <f t="shared" si="125"/>
        <v>1095</v>
      </c>
      <c r="E796" s="180"/>
      <c r="F796" s="184">
        <f t="shared" si="126"/>
        <v>1095</v>
      </c>
      <c r="G796" s="184">
        <f t="shared" si="127"/>
        <v>1065</v>
      </c>
      <c r="H796" s="180" t="str">
        <f t="shared" ca="1" si="128"/>
        <v>VENCIDO</v>
      </c>
      <c r="I796" s="183" t="e">
        <f t="shared" si="132"/>
        <v>#N/A</v>
      </c>
      <c r="J796" s="182" t="e">
        <f t="shared" si="131"/>
        <v>#N/A</v>
      </c>
      <c r="K796" s="182" t="e">
        <f t="shared" si="129"/>
        <v>#N/A</v>
      </c>
      <c r="L796" s="181" t="e">
        <f t="shared" si="130"/>
        <v>#N/A</v>
      </c>
      <c r="M796" s="180"/>
    </row>
    <row r="797" spans="1:13" ht="18.75" customHeight="1">
      <c r="A797" s="180"/>
      <c r="B797" s="180"/>
      <c r="C797" s="180"/>
      <c r="D797" s="180">
        <f t="shared" si="125"/>
        <v>1095</v>
      </c>
      <c r="E797" s="180"/>
      <c r="F797" s="184">
        <f t="shared" si="126"/>
        <v>1095</v>
      </c>
      <c r="G797" s="184">
        <f t="shared" si="127"/>
        <v>1065</v>
      </c>
      <c r="H797" s="180" t="str">
        <f t="shared" ca="1" si="128"/>
        <v>VENCIDO</v>
      </c>
      <c r="I797" s="183" t="e">
        <f t="shared" si="132"/>
        <v>#N/A</v>
      </c>
      <c r="J797" s="182" t="e">
        <f t="shared" si="131"/>
        <v>#N/A</v>
      </c>
      <c r="K797" s="182" t="e">
        <f t="shared" si="129"/>
        <v>#N/A</v>
      </c>
      <c r="L797" s="181" t="e">
        <f t="shared" si="130"/>
        <v>#N/A</v>
      </c>
      <c r="M797" s="180"/>
    </row>
    <row r="798" spans="1:13" ht="18.75" customHeight="1">
      <c r="A798" s="180"/>
      <c r="B798" s="180"/>
      <c r="C798" s="180"/>
      <c r="D798" s="180">
        <f t="shared" si="125"/>
        <v>1095</v>
      </c>
      <c r="E798" s="180"/>
      <c r="F798" s="184">
        <f t="shared" si="126"/>
        <v>1095</v>
      </c>
      <c r="G798" s="184">
        <f t="shared" si="127"/>
        <v>1065</v>
      </c>
      <c r="H798" s="180" t="str">
        <f t="shared" ca="1" si="128"/>
        <v>VENCIDO</v>
      </c>
      <c r="I798" s="183" t="e">
        <f t="shared" si="132"/>
        <v>#N/A</v>
      </c>
      <c r="J798" s="182" t="e">
        <f t="shared" si="131"/>
        <v>#N/A</v>
      </c>
      <c r="K798" s="182" t="e">
        <f t="shared" si="129"/>
        <v>#N/A</v>
      </c>
      <c r="L798" s="181" t="e">
        <f t="shared" si="130"/>
        <v>#N/A</v>
      </c>
      <c r="M798" s="180"/>
    </row>
    <row r="799" spans="1:13" ht="18.75" customHeight="1">
      <c r="A799" s="180"/>
      <c r="B799" s="180"/>
      <c r="C799" s="180"/>
      <c r="D799" s="180">
        <f t="shared" ref="D799:D843" si="133">IF(C799="A1 - 1 ano PJ",365,IF(C799="A1 - 1 ano PF",365,(365*3)))</f>
        <v>1095</v>
      </c>
      <c r="E799" s="180"/>
      <c r="F799" s="184">
        <f t="shared" ref="F799:F843" si="134">E799+D799</f>
        <v>1095</v>
      </c>
      <c r="G799" s="184">
        <f t="shared" ref="G799:G843" si="135">F799-30</f>
        <v>1065</v>
      </c>
      <c r="H799" s="180" t="str">
        <f t="shared" ref="H799:H843" ca="1" si="136">IF($A$6&lt;G799,"VÁLIDO",IF($A$6&gt;F799,"VENCIDO","A VENCER"))</f>
        <v>VENCIDO</v>
      </c>
      <c r="I799" s="183" t="e">
        <f t="shared" ref="I799:I843" si="137">VLOOKUP(C799,$M$3:$O$6,2,0)</f>
        <v>#N/A</v>
      </c>
      <c r="J799" s="182" t="e">
        <f t="shared" ref="J799:J843" si="138">VLOOKUP(C799,$M$3:$O$6,3,0)</f>
        <v>#N/A</v>
      </c>
      <c r="K799" s="182" t="e">
        <f t="shared" ref="K799:K843" si="139">J799-I799</f>
        <v>#N/A</v>
      </c>
      <c r="L799" s="181" t="e">
        <f t="shared" ref="L799:L843" si="140">K799/J799</f>
        <v>#N/A</v>
      </c>
      <c r="M799" s="180"/>
    </row>
    <row r="800" spans="1:13" ht="18.75" customHeight="1">
      <c r="A800" s="180"/>
      <c r="B800" s="180"/>
      <c r="C800" s="180"/>
      <c r="D800" s="180">
        <f t="shared" si="133"/>
        <v>1095</v>
      </c>
      <c r="E800" s="180"/>
      <c r="F800" s="184">
        <f t="shared" si="134"/>
        <v>1095</v>
      </c>
      <c r="G800" s="184">
        <f t="shared" si="135"/>
        <v>1065</v>
      </c>
      <c r="H800" s="180" t="str">
        <f t="shared" ca="1" si="136"/>
        <v>VENCIDO</v>
      </c>
      <c r="I800" s="183" t="e">
        <f t="shared" si="137"/>
        <v>#N/A</v>
      </c>
      <c r="J800" s="182" t="e">
        <f t="shared" si="138"/>
        <v>#N/A</v>
      </c>
      <c r="K800" s="182" t="e">
        <f t="shared" si="139"/>
        <v>#N/A</v>
      </c>
      <c r="L800" s="181" t="e">
        <f t="shared" si="140"/>
        <v>#N/A</v>
      </c>
      <c r="M800" s="180"/>
    </row>
    <row r="801" spans="1:13" ht="18.75" customHeight="1">
      <c r="A801" s="180"/>
      <c r="B801" s="180"/>
      <c r="C801" s="180"/>
      <c r="D801" s="180">
        <f t="shared" si="133"/>
        <v>1095</v>
      </c>
      <c r="E801" s="180"/>
      <c r="F801" s="184">
        <f t="shared" si="134"/>
        <v>1095</v>
      </c>
      <c r="G801" s="184">
        <f t="shared" si="135"/>
        <v>1065</v>
      </c>
      <c r="H801" s="180" t="str">
        <f t="shared" ca="1" si="136"/>
        <v>VENCIDO</v>
      </c>
      <c r="I801" s="183" t="e">
        <f t="shared" si="137"/>
        <v>#N/A</v>
      </c>
      <c r="J801" s="182" t="e">
        <f t="shared" si="138"/>
        <v>#N/A</v>
      </c>
      <c r="K801" s="182" t="e">
        <f t="shared" si="139"/>
        <v>#N/A</v>
      </c>
      <c r="L801" s="181" t="e">
        <f t="shared" si="140"/>
        <v>#N/A</v>
      </c>
      <c r="M801" s="180"/>
    </row>
    <row r="802" spans="1:13" ht="18.75" customHeight="1">
      <c r="A802" s="180"/>
      <c r="B802" s="180"/>
      <c r="C802" s="180"/>
      <c r="D802" s="180">
        <f t="shared" si="133"/>
        <v>1095</v>
      </c>
      <c r="E802" s="180"/>
      <c r="F802" s="184">
        <f t="shared" si="134"/>
        <v>1095</v>
      </c>
      <c r="G802" s="184">
        <f t="shared" si="135"/>
        <v>1065</v>
      </c>
      <c r="H802" s="180" t="str">
        <f t="shared" ca="1" si="136"/>
        <v>VENCIDO</v>
      </c>
      <c r="I802" s="183" t="e">
        <f t="shared" si="137"/>
        <v>#N/A</v>
      </c>
      <c r="J802" s="182" t="e">
        <f t="shared" si="138"/>
        <v>#N/A</v>
      </c>
      <c r="K802" s="182" t="e">
        <f t="shared" si="139"/>
        <v>#N/A</v>
      </c>
      <c r="L802" s="181" t="e">
        <f t="shared" si="140"/>
        <v>#N/A</v>
      </c>
      <c r="M802" s="180"/>
    </row>
    <row r="803" spans="1:13" ht="18.75" customHeight="1">
      <c r="A803" s="180"/>
      <c r="B803" s="180"/>
      <c r="C803" s="180"/>
      <c r="D803" s="180">
        <f t="shared" si="133"/>
        <v>1095</v>
      </c>
      <c r="E803" s="180"/>
      <c r="F803" s="184">
        <f t="shared" si="134"/>
        <v>1095</v>
      </c>
      <c r="G803" s="184">
        <f t="shared" si="135"/>
        <v>1065</v>
      </c>
      <c r="H803" s="180" t="str">
        <f t="shared" ca="1" si="136"/>
        <v>VENCIDO</v>
      </c>
      <c r="I803" s="183" t="e">
        <f t="shared" si="137"/>
        <v>#N/A</v>
      </c>
      <c r="J803" s="182" t="e">
        <f t="shared" si="138"/>
        <v>#N/A</v>
      </c>
      <c r="K803" s="182" t="e">
        <f t="shared" si="139"/>
        <v>#N/A</v>
      </c>
      <c r="L803" s="181" t="e">
        <f t="shared" si="140"/>
        <v>#N/A</v>
      </c>
      <c r="M803" s="180"/>
    </row>
    <row r="804" spans="1:13" ht="18.75" customHeight="1">
      <c r="A804" s="180"/>
      <c r="B804" s="180"/>
      <c r="C804" s="180"/>
      <c r="D804" s="180">
        <f t="shared" si="133"/>
        <v>1095</v>
      </c>
      <c r="E804" s="180"/>
      <c r="F804" s="184">
        <f t="shared" si="134"/>
        <v>1095</v>
      </c>
      <c r="G804" s="184">
        <f t="shared" si="135"/>
        <v>1065</v>
      </c>
      <c r="H804" s="180" t="str">
        <f t="shared" ca="1" si="136"/>
        <v>VENCIDO</v>
      </c>
      <c r="I804" s="183" t="e">
        <f t="shared" si="137"/>
        <v>#N/A</v>
      </c>
      <c r="J804" s="182" t="e">
        <f t="shared" si="138"/>
        <v>#N/A</v>
      </c>
      <c r="K804" s="182" t="e">
        <f t="shared" si="139"/>
        <v>#N/A</v>
      </c>
      <c r="L804" s="181" t="e">
        <f t="shared" si="140"/>
        <v>#N/A</v>
      </c>
      <c r="M804" s="180"/>
    </row>
    <row r="805" spans="1:13" ht="18.75" customHeight="1">
      <c r="A805" s="180"/>
      <c r="B805" s="180"/>
      <c r="C805" s="180"/>
      <c r="D805" s="180">
        <f t="shared" si="133"/>
        <v>1095</v>
      </c>
      <c r="E805" s="180"/>
      <c r="F805" s="184">
        <f t="shared" si="134"/>
        <v>1095</v>
      </c>
      <c r="G805" s="184">
        <f t="shared" si="135"/>
        <v>1065</v>
      </c>
      <c r="H805" s="180" t="str">
        <f t="shared" ca="1" si="136"/>
        <v>VENCIDO</v>
      </c>
      <c r="I805" s="183" t="e">
        <f t="shared" si="137"/>
        <v>#N/A</v>
      </c>
      <c r="J805" s="182" t="e">
        <f t="shared" si="138"/>
        <v>#N/A</v>
      </c>
      <c r="K805" s="182" t="e">
        <f t="shared" si="139"/>
        <v>#N/A</v>
      </c>
      <c r="L805" s="181" t="e">
        <f t="shared" si="140"/>
        <v>#N/A</v>
      </c>
      <c r="M805" s="180"/>
    </row>
    <row r="806" spans="1:13" ht="18.75" customHeight="1">
      <c r="A806" s="180"/>
      <c r="B806" s="180"/>
      <c r="C806" s="180"/>
      <c r="D806" s="180">
        <f t="shared" si="133"/>
        <v>1095</v>
      </c>
      <c r="E806" s="180"/>
      <c r="F806" s="184">
        <f t="shared" si="134"/>
        <v>1095</v>
      </c>
      <c r="G806" s="184">
        <f t="shared" si="135"/>
        <v>1065</v>
      </c>
      <c r="H806" s="180" t="str">
        <f t="shared" ca="1" si="136"/>
        <v>VENCIDO</v>
      </c>
      <c r="I806" s="183" t="e">
        <f t="shared" si="137"/>
        <v>#N/A</v>
      </c>
      <c r="J806" s="182" t="e">
        <f t="shared" si="138"/>
        <v>#N/A</v>
      </c>
      <c r="K806" s="182" t="e">
        <f t="shared" si="139"/>
        <v>#N/A</v>
      </c>
      <c r="L806" s="181" t="e">
        <f t="shared" si="140"/>
        <v>#N/A</v>
      </c>
      <c r="M806" s="180"/>
    </row>
    <row r="807" spans="1:13" ht="18.75" customHeight="1">
      <c r="A807" s="180"/>
      <c r="B807" s="180"/>
      <c r="C807" s="180"/>
      <c r="D807" s="180">
        <f t="shared" si="133"/>
        <v>1095</v>
      </c>
      <c r="E807" s="180"/>
      <c r="F807" s="184">
        <f t="shared" si="134"/>
        <v>1095</v>
      </c>
      <c r="G807" s="184">
        <f t="shared" si="135"/>
        <v>1065</v>
      </c>
      <c r="H807" s="180" t="str">
        <f t="shared" ca="1" si="136"/>
        <v>VENCIDO</v>
      </c>
      <c r="I807" s="183" t="e">
        <f t="shared" si="137"/>
        <v>#N/A</v>
      </c>
      <c r="J807" s="182" t="e">
        <f t="shared" si="138"/>
        <v>#N/A</v>
      </c>
      <c r="K807" s="182" t="e">
        <f t="shared" si="139"/>
        <v>#N/A</v>
      </c>
      <c r="L807" s="181" t="e">
        <f t="shared" si="140"/>
        <v>#N/A</v>
      </c>
      <c r="M807" s="180"/>
    </row>
    <row r="808" spans="1:13" ht="18.75" customHeight="1">
      <c r="A808" s="180"/>
      <c r="B808" s="180"/>
      <c r="C808" s="180"/>
      <c r="D808" s="180">
        <f t="shared" si="133"/>
        <v>1095</v>
      </c>
      <c r="E808" s="180"/>
      <c r="F808" s="184">
        <f t="shared" si="134"/>
        <v>1095</v>
      </c>
      <c r="G808" s="184">
        <f t="shared" si="135"/>
        <v>1065</v>
      </c>
      <c r="H808" s="180" t="str">
        <f t="shared" ca="1" si="136"/>
        <v>VENCIDO</v>
      </c>
      <c r="I808" s="183" t="e">
        <f t="shared" si="137"/>
        <v>#N/A</v>
      </c>
      <c r="J808" s="182" t="e">
        <f t="shared" si="138"/>
        <v>#N/A</v>
      </c>
      <c r="K808" s="182" t="e">
        <f t="shared" si="139"/>
        <v>#N/A</v>
      </c>
      <c r="L808" s="181" t="e">
        <f t="shared" si="140"/>
        <v>#N/A</v>
      </c>
      <c r="M808" s="180"/>
    </row>
    <row r="809" spans="1:13" ht="18.75" customHeight="1">
      <c r="A809" s="180"/>
      <c r="B809" s="180"/>
      <c r="C809" s="180"/>
      <c r="D809" s="180">
        <f t="shared" si="133"/>
        <v>1095</v>
      </c>
      <c r="E809" s="180"/>
      <c r="F809" s="184">
        <f t="shared" si="134"/>
        <v>1095</v>
      </c>
      <c r="G809" s="184">
        <f t="shared" si="135"/>
        <v>1065</v>
      </c>
      <c r="H809" s="180" t="str">
        <f t="shared" ca="1" si="136"/>
        <v>VENCIDO</v>
      </c>
      <c r="I809" s="183" t="e">
        <f t="shared" si="137"/>
        <v>#N/A</v>
      </c>
      <c r="J809" s="182" t="e">
        <f t="shared" si="138"/>
        <v>#N/A</v>
      </c>
      <c r="K809" s="182" t="e">
        <f t="shared" si="139"/>
        <v>#N/A</v>
      </c>
      <c r="L809" s="181" t="e">
        <f t="shared" si="140"/>
        <v>#N/A</v>
      </c>
      <c r="M809" s="180"/>
    </row>
    <row r="810" spans="1:13" ht="18.75" customHeight="1">
      <c r="A810" s="180"/>
      <c r="B810" s="180"/>
      <c r="C810" s="180"/>
      <c r="D810" s="180">
        <f t="shared" si="133"/>
        <v>1095</v>
      </c>
      <c r="E810" s="180"/>
      <c r="F810" s="184">
        <f t="shared" si="134"/>
        <v>1095</v>
      </c>
      <c r="G810" s="184">
        <f t="shared" si="135"/>
        <v>1065</v>
      </c>
      <c r="H810" s="180" t="str">
        <f t="shared" ca="1" si="136"/>
        <v>VENCIDO</v>
      </c>
      <c r="I810" s="183" t="e">
        <f t="shared" si="137"/>
        <v>#N/A</v>
      </c>
      <c r="J810" s="182" t="e">
        <f t="shared" si="138"/>
        <v>#N/A</v>
      </c>
      <c r="K810" s="182" t="e">
        <f t="shared" si="139"/>
        <v>#N/A</v>
      </c>
      <c r="L810" s="181" t="e">
        <f t="shared" si="140"/>
        <v>#N/A</v>
      </c>
      <c r="M810" s="180"/>
    </row>
    <row r="811" spans="1:13" ht="18.75" customHeight="1">
      <c r="A811" s="180"/>
      <c r="B811" s="180"/>
      <c r="C811" s="180"/>
      <c r="D811" s="180">
        <f t="shared" si="133"/>
        <v>1095</v>
      </c>
      <c r="E811" s="180"/>
      <c r="F811" s="184">
        <f t="shared" si="134"/>
        <v>1095</v>
      </c>
      <c r="G811" s="184">
        <f t="shared" si="135"/>
        <v>1065</v>
      </c>
      <c r="H811" s="180" t="str">
        <f t="shared" ca="1" si="136"/>
        <v>VENCIDO</v>
      </c>
      <c r="I811" s="183" t="e">
        <f t="shared" si="137"/>
        <v>#N/A</v>
      </c>
      <c r="J811" s="182" t="e">
        <f t="shared" si="138"/>
        <v>#N/A</v>
      </c>
      <c r="K811" s="182" t="e">
        <f t="shared" si="139"/>
        <v>#N/A</v>
      </c>
      <c r="L811" s="181" t="e">
        <f t="shared" si="140"/>
        <v>#N/A</v>
      </c>
      <c r="M811" s="180"/>
    </row>
    <row r="812" spans="1:13" ht="18.75" customHeight="1">
      <c r="A812" s="180"/>
      <c r="B812" s="180"/>
      <c r="C812" s="180"/>
      <c r="D812" s="180">
        <f t="shared" si="133"/>
        <v>1095</v>
      </c>
      <c r="E812" s="180"/>
      <c r="F812" s="184">
        <f t="shared" si="134"/>
        <v>1095</v>
      </c>
      <c r="G812" s="184">
        <f t="shared" si="135"/>
        <v>1065</v>
      </c>
      <c r="H812" s="180" t="str">
        <f t="shared" ca="1" si="136"/>
        <v>VENCIDO</v>
      </c>
      <c r="I812" s="183" t="e">
        <f t="shared" si="137"/>
        <v>#N/A</v>
      </c>
      <c r="J812" s="182" t="e">
        <f t="shared" si="138"/>
        <v>#N/A</v>
      </c>
      <c r="K812" s="182" t="e">
        <f t="shared" si="139"/>
        <v>#N/A</v>
      </c>
      <c r="L812" s="181" t="e">
        <f t="shared" si="140"/>
        <v>#N/A</v>
      </c>
      <c r="M812" s="180"/>
    </row>
    <row r="813" spans="1:13" ht="18.75" customHeight="1">
      <c r="A813" s="180"/>
      <c r="B813" s="180"/>
      <c r="C813" s="180"/>
      <c r="D813" s="180">
        <f t="shared" si="133"/>
        <v>1095</v>
      </c>
      <c r="E813" s="180"/>
      <c r="F813" s="184">
        <f t="shared" si="134"/>
        <v>1095</v>
      </c>
      <c r="G813" s="184">
        <f t="shared" si="135"/>
        <v>1065</v>
      </c>
      <c r="H813" s="180" t="str">
        <f t="shared" ca="1" si="136"/>
        <v>VENCIDO</v>
      </c>
      <c r="I813" s="183" t="e">
        <f t="shared" si="137"/>
        <v>#N/A</v>
      </c>
      <c r="J813" s="182" t="e">
        <f t="shared" si="138"/>
        <v>#N/A</v>
      </c>
      <c r="K813" s="182" t="e">
        <f t="shared" si="139"/>
        <v>#N/A</v>
      </c>
      <c r="L813" s="181" t="e">
        <f t="shared" si="140"/>
        <v>#N/A</v>
      </c>
      <c r="M813" s="180"/>
    </row>
    <row r="814" spans="1:13" ht="18.75" customHeight="1">
      <c r="A814" s="180"/>
      <c r="B814" s="180"/>
      <c r="C814" s="180"/>
      <c r="D814" s="180">
        <f t="shared" si="133"/>
        <v>1095</v>
      </c>
      <c r="E814" s="180"/>
      <c r="F814" s="184">
        <f t="shared" si="134"/>
        <v>1095</v>
      </c>
      <c r="G814" s="184">
        <f t="shared" si="135"/>
        <v>1065</v>
      </c>
      <c r="H814" s="180" t="str">
        <f t="shared" ca="1" si="136"/>
        <v>VENCIDO</v>
      </c>
      <c r="I814" s="183" t="e">
        <f t="shared" si="137"/>
        <v>#N/A</v>
      </c>
      <c r="J814" s="182" t="e">
        <f t="shared" si="138"/>
        <v>#N/A</v>
      </c>
      <c r="K814" s="182" t="e">
        <f t="shared" si="139"/>
        <v>#N/A</v>
      </c>
      <c r="L814" s="181" t="e">
        <f t="shared" si="140"/>
        <v>#N/A</v>
      </c>
      <c r="M814" s="180"/>
    </row>
    <row r="815" spans="1:13" ht="18.75" customHeight="1">
      <c r="A815" s="180"/>
      <c r="B815" s="180"/>
      <c r="C815" s="180"/>
      <c r="D815" s="180">
        <f t="shared" si="133"/>
        <v>1095</v>
      </c>
      <c r="E815" s="180"/>
      <c r="F815" s="184">
        <f t="shared" si="134"/>
        <v>1095</v>
      </c>
      <c r="G815" s="184">
        <f t="shared" si="135"/>
        <v>1065</v>
      </c>
      <c r="H815" s="180" t="str">
        <f t="shared" ca="1" si="136"/>
        <v>VENCIDO</v>
      </c>
      <c r="I815" s="183" t="e">
        <f t="shared" si="137"/>
        <v>#N/A</v>
      </c>
      <c r="J815" s="182" t="e">
        <f t="shared" si="138"/>
        <v>#N/A</v>
      </c>
      <c r="K815" s="182" t="e">
        <f t="shared" si="139"/>
        <v>#N/A</v>
      </c>
      <c r="L815" s="181" t="e">
        <f t="shared" si="140"/>
        <v>#N/A</v>
      </c>
      <c r="M815" s="180"/>
    </row>
    <row r="816" spans="1:13" ht="18.75" customHeight="1">
      <c r="A816" s="180"/>
      <c r="B816" s="180"/>
      <c r="C816" s="180"/>
      <c r="D816" s="180">
        <f t="shared" si="133"/>
        <v>1095</v>
      </c>
      <c r="E816" s="180"/>
      <c r="F816" s="184">
        <f t="shared" si="134"/>
        <v>1095</v>
      </c>
      <c r="G816" s="184">
        <f t="shared" si="135"/>
        <v>1065</v>
      </c>
      <c r="H816" s="180" t="str">
        <f t="shared" ca="1" si="136"/>
        <v>VENCIDO</v>
      </c>
      <c r="I816" s="183" t="e">
        <f t="shared" si="137"/>
        <v>#N/A</v>
      </c>
      <c r="J816" s="182" t="e">
        <f t="shared" si="138"/>
        <v>#N/A</v>
      </c>
      <c r="K816" s="182" t="e">
        <f t="shared" si="139"/>
        <v>#N/A</v>
      </c>
      <c r="L816" s="181" t="e">
        <f t="shared" si="140"/>
        <v>#N/A</v>
      </c>
      <c r="M816" s="180"/>
    </row>
    <row r="817" spans="1:13" ht="18.75" customHeight="1">
      <c r="A817" s="180"/>
      <c r="B817" s="180"/>
      <c r="C817" s="180"/>
      <c r="D817" s="180">
        <f t="shared" si="133"/>
        <v>1095</v>
      </c>
      <c r="E817" s="180"/>
      <c r="F817" s="184">
        <f t="shared" si="134"/>
        <v>1095</v>
      </c>
      <c r="G817" s="184">
        <f t="shared" si="135"/>
        <v>1065</v>
      </c>
      <c r="H817" s="180" t="str">
        <f t="shared" ca="1" si="136"/>
        <v>VENCIDO</v>
      </c>
      <c r="I817" s="183" t="e">
        <f t="shared" si="137"/>
        <v>#N/A</v>
      </c>
      <c r="J817" s="182" t="e">
        <f t="shared" si="138"/>
        <v>#N/A</v>
      </c>
      <c r="K817" s="182" t="e">
        <f t="shared" si="139"/>
        <v>#N/A</v>
      </c>
      <c r="L817" s="181" t="e">
        <f t="shared" si="140"/>
        <v>#N/A</v>
      </c>
      <c r="M817" s="180"/>
    </row>
    <row r="818" spans="1:13" ht="18.75" customHeight="1">
      <c r="A818" s="180"/>
      <c r="B818" s="180"/>
      <c r="C818" s="180"/>
      <c r="D818" s="180">
        <f t="shared" si="133"/>
        <v>1095</v>
      </c>
      <c r="E818" s="180"/>
      <c r="F818" s="184">
        <f t="shared" si="134"/>
        <v>1095</v>
      </c>
      <c r="G818" s="184">
        <f t="shared" si="135"/>
        <v>1065</v>
      </c>
      <c r="H818" s="180" t="str">
        <f t="shared" ca="1" si="136"/>
        <v>VENCIDO</v>
      </c>
      <c r="I818" s="183" t="e">
        <f t="shared" si="137"/>
        <v>#N/A</v>
      </c>
      <c r="J818" s="182" t="e">
        <f t="shared" si="138"/>
        <v>#N/A</v>
      </c>
      <c r="K818" s="182" t="e">
        <f t="shared" si="139"/>
        <v>#N/A</v>
      </c>
      <c r="L818" s="181" t="e">
        <f t="shared" si="140"/>
        <v>#N/A</v>
      </c>
      <c r="M818" s="180"/>
    </row>
    <row r="819" spans="1:13" ht="18.75" customHeight="1">
      <c r="A819" s="180"/>
      <c r="B819" s="180"/>
      <c r="C819" s="180"/>
      <c r="D819" s="180">
        <f t="shared" si="133"/>
        <v>1095</v>
      </c>
      <c r="E819" s="180"/>
      <c r="F819" s="184">
        <f t="shared" si="134"/>
        <v>1095</v>
      </c>
      <c r="G819" s="184">
        <f t="shared" si="135"/>
        <v>1065</v>
      </c>
      <c r="H819" s="180" t="str">
        <f t="shared" ca="1" si="136"/>
        <v>VENCIDO</v>
      </c>
      <c r="I819" s="183" t="e">
        <f t="shared" si="137"/>
        <v>#N/A</v>
      </c>
      <c r="J819" s="182" t="e">
        <f t="shared" si="138"/>
        <v>#N/A</v>
      </c>
      <c r="K819" s="182" t="e">
        <f t="shared" si="139"/>
        <v>#N/A</v>
      </c>
      <c r="L819" s="181" t="e">
        <f t="shared" si="140"/>
        <v>#N/A</v>
      </c>
      <c r="M819" s="180"/>
    </row>
    <row r="820" spans="1:13" ht="18.75" customHeight="1">
      <c r="A820" s="180"/>
      <c r="B820" s="180"/>
      <c r="C820" s="180"/>
      <c r="D820" s="180">
        <f t="shared" si="133"/>
        <v>1095</v>
      </c>
      <c r="E820" s="180"/>
      <c r="F820" s="184">
        <f t="shared" si="134"/>
        <v>1095</v>
      </c>
      <c r="G820" s="184">
        <f t="shared" si="135"/>
        <v>1065</v>
      </c>
      <c r="H820" s="180" t="str">
        <f t="shared" ca="1" si="136"/>
        <v>VENCIDO</v>
      </c>
      <c r="I820" s="183" t="e">
        <f t="shared" si="137"/>
        <v>#N/A</v>
      </c>
      <c r="J820" s="182" t="e">
        <f t="shared" si="138"/>
        <v>#N/A</v>
      </c>
      <c r="K820" s="182" t="e">
        <f t="shared" si="139"/>
        <v>#N/A</v>
      </c>
      <c r="L820" s="181" t="e">
        <f t="shared" si="140"/>
        <v>#N/A</v>
      </c>
      <c r="M820" s="180"/>
    </row>
    <row r="821" spans="1:13" ht="18.75" customHeight="1">
      <c r="A821" s="180"/>
      <c r="B821" s="180"/>
      <c r="C821" s="180"/>
      <c r="D821" s="180">
        <f t="shared" si="133"/>
        <v>1095</v>
      </c>
      <c r="E821" s="180"/>
      <c r="F821" s="184">
        <f t="shared" si="134"/>
        <v>1095</v>
      </c>
      <c r="G821" s="184">
        <f t="shared" si="135"/>
        <v>1065</v>
      </c>
      <c r="H821" s="180" t="str">
        <f t="shared" ca="1" si="136"/>
        <v>VENCIDO</v>
      </c>
      <c r="I821" s="183" t="e">
        <f t="shared" si="137"/>
        <v>#N/A</v>
      </c>
      <c r="J821" s="182" t="e">
        <f t="shared" si="138"/>
        <v>#N/A</v>
      </c>
      <c r="K821" s="182" t="e">
        <f t="shared" si="139"/>
        <v>#N/A</v>
      </c>
      <c r="L821" s="181" t="e">
        <f t="shared" si="140"/>
        <v>#N/A</v>
      </c>
      <c r="M821" s="180"/>
    </row>
    <row r="822" spans="1:13" ht="18.75" customHeight="1">
      <c r="A822" s="180"/>
      <c r="B822" s="180"/>
      <c r="C822" s="180"/>
      <c r="D822" s="180">
        <f t="shared" si="133"/>
        <v>1095</v>
      </c>
      <c r="E822" s="180"/>
      <c r="F822" s="184">
        <f t="shared" si="134"/>
        <v>1095</v>
      </c>
      <c r="G822" s="184">
        <f t="shared" si="135"/>
        <v>1065</v>
      </c>
      <c r="H822" s="180" t="str">
        <f t="shared" ca="1" si="136"/>
        <v>VENCIDO</v>
      </c>
      <c r="I822" s="183" t="e">
        <f t="shared" si="137"/>
        <v>#N/A</v>
      </c>
      <c r="J822" s="182" t="e">
        <f t="shared" si="138"/>
        <v>#N/A</v>
      </c>
      <c r="K822" s="182" t="e">
        <f t="shared" si="139"/>
        <v>#N/A</v>
      </c>
      <c r="L822" s="181" t="e">
        <f t="shared" si="140"/>
        <v>#N/A</v>
      </c>
      <c r="M822" s="180"/>
    </row>
    <row r="823" spans="1:13" ht="18.75" customHeight="1">
      <c r="A823" s="180"/>
      <c r="B823" s="180"/>
      <c r="C823" s="180"/>
      <c r="D823" s="180">
        <f t="shared" si="133"/>
        <v>1095</v>
      </c>
      <c r="E823" s="180"/>
      <c r="F823" s="184">
        <f t="shared" si="134"/>
        <v>1095</v>
      </c>
      <c r="G823" s="184">
        <f t="shared" si="135"/>
        <v>1065</v>
      </c>
      <c r="H823" s="180" t="str">
        <f t="shared" ca="1" si="136"/>
        <v>VENCIDO</v>
      </c>
      <c r="I823" s="183" t="e">
        <f t="shared" si="137"/>
        <v>#N/A</v>
      </c>
      <c r="J823" s="182" t="e">
        <f t="shared" si="138"/>
        <v>#N/A</v>
      </c>
      <c r="K823" s="182" t="e">
        <f t="shared" si="139"/>
        <v>#N/A</v>
      </c>
      <c r="L823" s="181" t="e">
        <f t="shared" si="140"/>
        <v>#N/A</v>
      </c>
      <c r="M823" s="180"/>
    </row>
    <row r="824" spans="1:13" ht="18.75" customHeight="1">
      <c r="A824" s="180"/>
      <c r="B824" s="180"/>
      <c r="C824" s="180"/>
      <c r="D824" s="180">
        <f t="shared" si="133"/>
        <v>1095</v>
      </c>
      <c r="E824" s="180"/>
      <c r="F824" s="184">
        <f t="shared" si="134"/>
        <v>1095</v>
      </c>
      <c r="G824" s="184">
        <f t="shared" si="135"/>
        <v>1065</v>
      </c>
      <c r="H824" s="180" t="str">
        <f t="shared" ca="1" si="136"/>
        <v>VENCIDO</v>
      </c>
      <c r="I824" s="183" t="e">
        <f t="shared" si="137"/>
        <v>#N/A</v>
      </c>
      <c r="J824" s="182" t="e">
        <f t="shared" si="138"/>
        <v>#N/A</v>
      </c>
      <c r="K824" s="182" t="e">
        <f t="shared" si="139"/>
        <v>#N/A</v>
      </c>
      <c r="L824" s="181" t="e">
        <f t="shared" si="140"/>
        <v>#N/A</v>
      </c>
      <c r="M824" s="180"/>
    </row>
    <row r="825" spans="1:13" ht="18.75" customHeight="1">
      <c r="A825" s="180"/>
      <c r="B825" s="180"/>
      <c r="C825" s="180"/>
      <c r="D825" s="180">
        <f t="shared" si="133"/>
        <v>1095</v>
      </c>
      <c r="E825" s="180"/>
      <c r="F825" s="184">
        <f t="shared" si="134"/>
        <v>1095</v>
      </c>
      <c r="G825" s="184">
        <f t="shared" si="135"/>
        <v>1065</v>
      </c>
      <c r="H825" s="180" t="str">
        <f t="shared" ca="1" si="136"/>
        <v>VENCIDO</v>
      </c>
      <c r="I825" s="183" t="e">
        <f t="shared" si="137"/>
        <v>#N/A</v>
      </c>
      <c r="J825" s="182" t="e">
        <f t="shared" si="138"/>
        <v>#N/A</v>
      </c>
      <c r="K825" s="182" t="e">
        <f t="shared" si="139"/>
        <v>#N/A</v>
      </c>
      <c r="L825" s="181" t="e">
        <f t="shared" si="140"/>
        <v>#N/A</v>
      </c>
      <c r="M825" s="180"/>
    </row>
    <row r="826" spans="1:13" ht="18.75" customHeight="1">
      <c r="A826" s="180"/>
      <c r="B826" s="180"/>
      <c r="C826" s="180"/>
      <c r="D826" s="180">
        <f t="shared" si="133"/>
        <v>1095</v>
      </c>
      <c r="E826" s="180"/>
      <c r="F826" s="184">
        <f t="shared" si="134"/>
        <v>1095</v>
      </c>
      <c r="G826" s="184">
        <f t="shared" si="135"/>
        <v>1065</v>
      </c>
      <c r="H826" s="180" t="str">
        <f t="shared" ca="1" si="136"/>
        <v>VENCIDO</v>
      </c>
      <c r="I826" s="183" t="e">
        <f t="shared" si="137"/>
        <v>#N/A</v>
      </c>
      <c r="J826" s="182" t="e">
        <f t="shared" si="138"/>
        <v>#N/A</v>
      </c>
      <c r="K826" s="182" t="e">
        <f t="shared" si="139"/>
        <v>#N/A</v>
      </c>
      <c r="L826" s="181" t="e">
        <f t="shared" si="140"/>
        <v>#N/A</v>
      </c>
      <c r="M826" s="180"/>
    </row>
    <row r="827" spans="1:13" ht="18.75" customHeight="1">
      <c r="A827" s="180"/>
      <c r="B827" s="180"/>
      <c r="C827" s="180"/>
      <c r="D827" s="180">
        <f t="shared" si="133"/>
        <v>1095</v>
      </c>
      <c r="E827" s="180"/>
      <c r="F827" s="184">
        <f t="shared" si="134"/>
        <v>1095</v>
      </c>
      <c r="G827" s="184">
        <f t="shared" si="135"/>
        <v>1065</v>
      </c>
      <c r="H827" s="180" t="str">
        <f t="shared" ca="1" si="136"/>
        <v>VENCIDO</v>
      </c>
      <c r="I827" s="183" t="e">
        <f t="shared" si="137"/>
        <v>#N/A</v>
      </c>
      <c r="J827" s="182" t="e">
        <f t="shared" si="138"/>
        <v>#N/A</v>
      </c>
      <c r="K827" s="182" t="e">
        <f t="shared" si="139"/>
        <v>#N/A</v>
      </c>
      <c r="L827" s="181" t="e">
        <f t="shared" si="140"/>
        <v>#N/A</v>
      </c>
      <c r="M827" s="180"/>
    </row>
    <row r="828" spans="1:13" ht="18.75" customHeight="1">
      <c r="A828" s="180"/>
      <c r="B828" s="180"/>
      <c r="C828" s="180"/>
      <c r="D828" s="180">
        <f t="shared" si="133"/>
        <v>1095</v>
      </c>
      <c r="E828" s="180"/>
      <c r="F828" s="184">
        <f t="shared" si="134"/>
        <v>1095</v>
      </c>
      <c r="G828" s="184">
        <f t="shared" si="135"/>
        <v>1065</v>
      </c>
      <c r="H828" s="180" t="str">
        <f t="shared" ca="1" si="136"/>
        <v>VENCIDO</v>
      </c>
      <c r="I828" s="183" t="e">
        <f t="shared" si="137"/>
        <v>#N/A</v>
      </c>
      <c r="J828" s="182" t="e">
        <f t="shared" si="138"/>
        <v>#N/A</v>
      </c>
      <c r="K828" s="182" t="e">
        <f t="shared" si="139"/>
        <v>#N/A</v>
      </c>
      <c r="L828" s="181" t="e">
        <f t="shared" si="140"/>
        <v>#N/A</v>
      </c>
      <c r="M828" s="180"/>
    </row>
    <row r="829" spans="1:13" ht="18.75" customHeight="1">
      <c r="A829" s="180"/>
      <c r="B829" s="180"/>
      <c r="C829" s="180"/>
      <c r="D829" s="180">
        <f t="shared" si="133"/>
        <v>1095</v>
      </c>
      <c r="E829" s="180"/>
      <c r="F829" s="184">
        <f t="shared" si="134"/>
        <v>1095</v>
      </c>
      <c r="G829" s="184">
        <f t="shared" si="135"/>
        <v>1065</v>
      </c>
      <c r="H829" s="180" t="str">
        <f t="shared" ca="1" si="136"/>
        <v>VENCIDO</v>
      </c>
      <c r="I829" s="183" t="e">
        <f t="shared" si="137"/>
        <v>#N/A</v>
      </c>
      <c r="J829" s="182" t="e">
        <f t="shared" si="138"/>
        <v>#N/A</v>
      </c>
      <c r="K829" s="182" t="e">
        <f t="shared" si="139"/>
        <v>#N/A</v>
      </c>
      <c r="L829" s="181" t="e">
        <f t="shared" si="140"/>
        <v>#N/A</v>
      </c>
      <c r="M829" s="180"/>
    </row>
    <row r="830" spans="1:13" ht="18.75" customHeight="1">
      <c r="A830" s="180"/>
      <c r="B830" s="180"/>
      <c r="C830" s="180"/>
      <c r="D830" s="180">
        <f t="shared" si="133"/>
        <v>1095</v>
      </c>
      <c r="E830" s="180"/>
      <c r="F830" s="184">
        <f t="shared" si="134"/>
        <v>1095</v>
      </c>
      <c r="G830" s="184">
        <f t="shared" si="135"/>
        <v>1065</v>
      </c>
      <c r="H830" s="180" t="str">
        <f t="shared" ca="1" si="136"/>
        <v>VENCIDO</v>
      </c>
      <c r="I830" s="183" t="e">
        <f t="shared" si="137"/>
        <v>#N/A</v>
      </c>
      <c r="J830" s="182" t="e">
        <f t="shared" si="138"/>
        <v>#N/A</v>
      </c>
      <c r="K830" s="182" t="e">
        <f t="shared" si="139"/>
        <v>#N/A</v>
      </c>
      <c r="L830" s="181" t="e">
        <f t="shared" si="140"/>
        <v>#N/A</v>
      </c>
      <c r="M830" s="180"/>
    </row>
    <row r="831" spans="1:13" ht="18.75" customHeight="1">
      <c r="A831" s="180"/>
      <c r="B831" s="180"/>
      <c r="C831" s="180"/>
      <c r="D831" s="180">
        <f t="shared" si="133"/>
        <v>1095</v>
      </c>
      <c r="E831" s="180"/>
      <c r="F831" s="184">
        <f t="shared" si="134"/>
        <v>1095</v>
      </c>
      <c r="G831" s="184">
        <f t="shared" si="135"/>
        <v>1065</v>
      </c>
      <c r="H831" s="180" t="str">
        <f t="shared" ca="1" si="136"/>
        <v>VENCIDO</v>
      </c>
      <c r="I831" s="183" t="e">
        <f t="shared" si="137"/>
        <v>#N/A</v>
      </c>
      <c r="J831" s="182" t="e">
        <f t="shared" si="138"/>
        <v>#N/A</v>
      </c>
      <c r="K831" s="182" t="e">
        <f t="shared" si="139"/>
        <v>#N/A</v>
      </c>
      <c r="L831" s="181" t="e">
        <f t="shared" si="140"/>
        <v>#N/A</v>
      </c>
      <c r="M831" s="180"/>
    </row>
    <row r="832" spans="1:13" ht="18.75" customHeight="1">
      <c r="A832" s="180"/>
      <c r="B832" s="180"/>
      <c r="C832" s="180"/>
      <c r="D832" s="180">
        <f t="shared" si="133"/>
        <v>1095</v>
      </c>
      <c r="E832" s="180"/>
      <c r="F832" s="184">
        <f t="shared" si="134"/>
        <v>1095</v>
      </c>
      <c r="G832" s="184">
        <f t="shared" si="135"/>
        <v>1065</v>
      </c>
      <c r="H832" s="180" t="str">
        <f t="shared" ca="1" si="136"/>
        <v>VENCIDO</v>
      </c>
      <c r="I832" s="183" t="e">
        <f t="shared" si="137"/>
        <v>#N/A</v>
      </c>
      <c r="J832" s="182" t="e">
        <f t="shared" si="138"/>
        <v>#N/A</v>
      </c>
      <c r="K832" s="182" t="e">
        <f t="shared" si="139"/>
        <v>#N/A</v>
      </c>
      <c r="L832" s="181" t="e">
        <f t="shared" si="140"/>
        <v>#N/A</v>
      </c>
      <c r="M832" s="180"/>
    </row>
    <row r="833" spans="1:13" ht="18.75" customHeight="1">
      <c r="A833" s="180"/>
      <c r="B833" s="180"/>
      <c r="C833" s="180"/>
      <c r="D833" s="180">
        <f t="shared" si="133"/>
        <v>1095</v>
      </c>
      <c r="E833" s="180"/>
      <c r="F833" s="184">
        <f t="shared" si="134"/>
        <v>1095</v>
      </c>
      <c r="G833" s="184">
        <f t="shared" si="135"/>
        <v>1065</v>
      </c>
      <c r="H833" s="180" t="str">
        <f t="shared" ca="1" si="136"/>
        <v>VENCIDO</v>
      </c>
      <c r="I833" s="183" t="e">
        <f t="shared" si="137"/>
        <v>#N/A</v>
      </c>
      <c r="J833" s="182" t="e">
        <f t="shared" si="138"/>
        <v>#N/A</v>
      </c>
      <c r="K833" s="182" t="e">
        <f t="shared" si="139"/>
        <v>#N/A</v>
      </c>
      <c r="L833" s="181" t="e">
        <f t="shared" si="140"/>
        <v>#N/A</v>
      </c>
      <c r="M833" s="180"/>
    </row>
    <row r="834" spans="1:13" ht="18.75" customHeight="1">
      <c r="A834" s="180"/>
      <c r="B834" s="180"/>
      <c r="C834" s="180"/>
      <c r="D834" s="180">
        <f t="shared" si="133"/>
        <v>1095</v>
      </c>
      <c r="E834" s="180"/>
      <c r="F834" s="184">
        <f t="shared" si="134"/>
        <v>1095</v>
      </c>
      <c r="G834" s="184">
        <f t="shared" si="135"/>
        <v>1065</v>
      </c>
      <c r="H834" s="180" t="str">
        <f t="shared" ca="1" si="136"/>
        <v>VENCIDO</v>
      </c>
      <c r="I834" s="183" t="e">
        <f t="shared" si="137"/>
        <v>#N/A</v>
      </c>
      <c r="J834" s="182" t="e">
        <f t="shared" si="138"/>
        <v>#N/A</v>
      </c>
      <c r="K834" s="182" t="e">
        <f t="shared" si="139"/>
        <v>#N/A</v>
      </c>
      <c r="L834" s="181" t="e">
        <f t="shared" si="140"/>
        <v>#N/A</v>
      </c>
      <c r="M834" s="180"/>
    </row>
    <row r="835" spans="1:13" ht="18.75" customHeight="1">
      <c r="A835" s="180"/>
      <c r="B835" s="180"/>
      <c r="C835" s="180"/>
      <c r="D835" s="180">
        <f t="shared" si="133"/>
        <v>1095</v>
      </c>
      <c r="E835" s="180"/>
      <c r="F835" s="184">
        <f t="shared" si="134"/>
        <v>1095</v>
      </c>
      <c r="G835" s="184">
        <f t="shared" si="135"/>
        <v>1065</v>
      </c>
      <c r="H835" s="180" t="str">
        <f t="shared" ca="1" si="136"/>
        <v>VENCIDO</v>
      </c>
      <c r="I835" s="183" t="e">
        <f t="shared" si="137"/>
        <v>#N/A</v>
      </c>
      <c r="J835" s="182" t="e">
        <f t="shared" si="138"/>
        <v>#N/A</v>
      </c>
      <c r="K835" s="182" t="e">
        <f t="shared" si="139"/>
        <v>#N/A</v>
      </c>
      <c r="L835" s="181" t="e">
        <f t="shared" si="140"/>
        <v>#N/A</v>
      </c>
      <c r="M835" s="180"/>
    </row>
    <row r="836" spans="1:13" ht="18.75" customHeight="1">
      <c r="A836" s="180"/>
      <c r="B836" s="180"/>
      <c r="C836" s="180"/>
      <c r="D836" s="180">
        <f t="shared" si="133"/>
        <v>1095</v>
      </c>
      <c r="E836" s="180"/>
      <c r="F836" s="184">
        <f t="shared" si="134"/>
        <v>1095</v>
      </c>
      <c r="G836" s="184">
        <f t="shared" si="135"/>
        <v>1065</v>
      </c>
      <c r="H836" s="180" t="str">
        <f t="shared" ca="1" si="136"/>
        <v>VENCIDO</v>
      </c>
      <c r="I836" s="183" t="e">
        <f t="shared" si="137"/>
        <v>#N/A</v>
      </c>
      <c r="J836" s="182" t="e">
        <f t="shared" si="138"/>
        <v>#N/A</v>
      </c>
      <c r="K836" s="182" t="e">
        <f t="shared" si="139"/>
        <v>#N/A</v>
      </c>
      <c r="L836" s="181" t="e">
        <f t="shared" si="140"/>
        <v>#N/A</v>
      </c>
      <c r="M836" s="180"/>
    </row>
    <row r="837" spans="1:13" ht="18.75" customHeight="1">
      <c r="A837" s="180"/>
      <c r="B837" s="180"/>
      <c r="C837" s="180"/>
      <c r="D837" s="180">
        <f t="shared" si="133"/>
        <v>1095</v>
      </c>
      <c r="E837" s="180"/>
      <c r="F837" s="184">
        <f t="shared" si="134"/>
        <v>1095</v>
      </c>
      <c r="G837" s="184">
        <f t="shared" si="135"/>
        <v>1065</v>
      </c>
      <c r="H837" s="180" t="str">
        <f t="shared" ca="1" si="136"/>
        <v>VENCIDO</v>
      </c>
      <c r="I837" s="183" t="e">
        <f t="shared" si="137"/>
        <v>#N/A</v>
      </c>
      <c r="J837" s="182" t="e">
        <f t="shared" si="138"/>
        <v>#N/A</v>
      </c>
      <c r="K837" s="182" t="e">
        <f t="shared" si="139"/>
        <v>#N/A</v>
      </c>
      <c r="L837" s="181" t="e">
        <f t="shared" si="140"/>
        <v>#N/A</v>
      </c>
      <c r="M837" s="180"/>
    </row>
    <row r="838" spans="1:13" ht="18.75" customHeight="1">
      <c r="A838" s="180"/>
      <c r="B838" s="180"/>
      <c r="C838" s="180"/>
      <c r="D838" s="180">
        <f t="shared" si="133"/>
        <v>1095</v>
      </c>
      <c r="E838" s="180"/>
      <c r="F838" s="184">
        <f t="shared" si="134"/>
        <v>1095</v>
      </c>
      <c r="G838" s="184">
        <f t="shared" si="135"/>
        <v>1065</v>
      </c>
      <c r="H838" s="180" t="str">
        <f t="shared" ca="1" si="136"/>
        <v>VENCIDO</v>
      </c>
      <c r="I838" s="183" t="e">
        <f t="shared" si="137"/>
        <v>#N/A</v>
      </c>
      <c r="J838" s="182" t="e">
        <f t="shared" si="138"/>
        <v>#N/A</v>
      </c>
      <c r="K838" s="182" t="e">
        <f t="shared" si="139"/>
        <v>#N/A</v>
      </c>
      <c r="L838" s="181" t="e">
        <f t="shared" si="140"/>
        <v>#N/A</v>
      </c>
      <c r="M838" s="180"/>
    </row>
    <row r="839" spans="1:13" ht="18.75" customHeight="1">
      <c r="A839" s="180"/>
      <c r="B839" s="180"/>
      <c r="C839" s="180"/>
      <c r="D839" s="180">
        <f t="shared" si="133"/>
        <v>1095</v>
      </c>
      <c r="E839" s="180"/>
      <c r="F839" s="184">
        <f t="shared" si="134"/>
        <v>1095</v>
      </c>
      <c r="G839" s="184">
        <f t="shared" si="135"/>
        <v>1065</v>
      </c>
      <c r="H839" s="180" t="str">
        <f t="shared" ca="1" si="136"/>
        <v>VENCIDO</v>
      </c>
      <c r="I839" s="183" t="e">
        <f t="shared" si="137"/>
        <v>#N/A</v>
      </c>
      <c r="J839" s="182" t="e">
        <f t="shared" si="138"/>
        <v>#N/A</v>
      </c>
      <c r="K839" s="182" t="e">
        <f t="shared" si="139"/>
        <v>#N/A</v>
      </c>
      <c r="L839" s="181" t="e">
        <f t="shared" si="140"/>
        <v>#N/A</v>
      </c>
      <c r="M839" s="180"/>
    </row>
    <row r="840" spans="1:13" ht="18.75" customHeight="1">
      <c r="A840" s="180"/>
      <c r="B840" s="180"/>
      <c r="C840" s="180"/>
      <c r="D840" s="180">
        <f t="shared" si="133"/>
        <v>1095</v>
      </c>
      <c r="E840" s="180"/>
      <c r="F840" s="184">
        <f t="shared" si="134"/>
        <v>1095</v>
      </c>
      <c r="G840" s="184">
        <f t="shared" si="135"/>
        <v>1065</v>
      </c>
      <c r="H840" s="180" t="str">
        <f t="shared" ca="1" si="136"/>
        <v>VENCIDO</v>
      </c>
      <c r="I840" s="183" t="e">
        <f t="shared" si="137"/>
        <v>#N/A</v>
      </c>
      <c r="J840" s="182" t="e">
        <f t="shared" si="138"/>
        <v>#N/A</v>
      </c>
      <c r="K840" s="182" t="e">
        <f t="shared" si="139"/>
        <v>#N/A</v>
      </c>
      <c r="L840" s="181" t="e">
        <f t="shared" si="140"/>
        <v>#N/A</v>
      </c>
      <c r="M840" s="180"/>
    </row>
    <row r="841" spans="1:13" ht="18.75" customHeight="1">
      <c r="A841" s="180"/>
      <c r="B841" s="180"/>
      <c r="C841" s="180"/>
      <c r="D841" s="180">
        <f t="shared" si="133"/>
        <v>1095</v>
      </c>
      <c r="E841" s="180"/>
      <c r="F841" s="184">
        <f t="shared" si="134"/>
        <v>1095</v>
      </c>
      <c r="G841" s="184">
        <f t="shared" si="135"/>
        <v>1065</v>
      </c>
      <c r="H841" s="180" t="str">
        <f t="shared" ca="1" si="136"/>
        <v>VENCIDO</v>
      </c>
      <c r="I841" s="183" t="e">
        <f t="shared" si="137"/>
        <v>#N/A</v>
      </c>
      <c r="J841" s="182" t="e">
        <f t="shared" si="138"/>
        <v>#N/A</v>
      </c>
      <c r="K841" s="182" t="e">
        <f t="shared" si="139"/>
        <v>#N/A</v>
      </c>
      <c r="L841" s="181" t="e">
        <f t="shared" si="140"/>
        <v>#N/A</v>
      </c>
      <c r="M841" s="180"/>
    </row>
    <row r="842" spans="1:13" ht="18.75" customHeight="1">
      <c r="A842" s="180"/>
      <c r="B842" s="180"/>
      <c r="C842" s="180"/>
      <c r="D842" s="180">
        <f t="shared" si="133"/>
        <v>1095</v>
      </c>
      <c r="E842" s="180"/>
      <c r="F842" s="184">
        <f t="shared" si="134"/>
        <v>1095</v>
      </c>
      <c r="G842" s="184">
        <f t="shared" si="135"/>
        <v>1065</v>
      </c>
      <c r="H842" s="180" t="str">
        <f t="shared" ca="1" si="136"/>
        <v>VENCIDO</v>
      </c>
      <c r="I842" s="183" t="e">
        <f t="shared" si="137"/>
        <v>#N/A</v>
      </c>
      <c r="J842" s="182" t="e">
        <f t="shared" si="138"/>
        <v>#N/A</v>
      </c>
      <c r="K842" s="182" t="e">
        <f t="shared" si="139"/>
        <v>#N/A</v>
      </c>
      <c r="L842" s="181" t="e">
        <f t="shared" si="140"/>
        <v>#N/A</v>
      </c>
      <c r="M842" s="180"/>
    </row>
    <row r="843" spans="1:13" ht="18.75" customHeight="1">
      <c r="A843" s="180"/>
      <c r="B843" s="180"/>
      <c r="C843" s="180"/>
      <c r="D843" s="180">
        <f t="shared" si="133"/>
        <v>1095</v>
      </c>
      <c r="E843" s="180"/>
      <c r="F843" s="184">
        <f t="shared" si="134"/>
        <v>1095</v>
      </c>
      <c r="G843" s="184">
        <f t="shared" si="135"/>
        <v>1065</v>
      </c>
      <c r="H843" s="180" t="str">
        <f t="shared" ca="1" si="136"/>
        <v>VENCIDO</v>
      </c>
      <c r="I843" s="183" t="e">
        <f t="shared" si="137"/>
        <v>#N/A</v>
      </c>
      <c r="J843" s="182" t="e">
        <f t="shared" si="138"/>
        <v>#N/A</v>
      </c>
      <c r="K843" s="182" t="e">
        <f t="shared" si="139"/>
        <v>#N/A</v>
      </c>
      <c r="L843" s="181" t="e">
        <f t="shared" si="140"/>
        <v>#N/A</v>
      </c>
      <c r="M843" s="180"/>
    </row>
    <row r="844" spans="1:13" ht="18.75" customHeight="1">
      <c r="D844" s="180">
        <f t="shared" ref="D844:D858" si="141">IF(C844="A1 - 1 ano PJ",365,IF(C844="A1 - 1 ano PF",365,(365*3)))</f>
        <v>1095</v>
      </c>
    </row>
    <row r="845" spans="1:13" ht="18.75" customHeight="1">
      <c r="D845" s="180">
        <f t="shared" si="141"/>
        <v>1095</v>
      </c>
    </row>
    <row r="846" spans="1:13" ht="18.75" customHeight="1">
      <c r="D846" s="180">
        <f t="shared" si="141"/>
        <v>1095</v>
      </c>
    </row>
    <row r="847" spans="1:13" ht="18.75" customHeight="1">
      <c r="D847" s="180">
        <f t="shared" si="141"/>
        <v>1095</v>
      </c>
    </row>
    <row r="848" spans="1:13" ht="18.75" customHeight="1">
      <c r="D848" s="180">
        <f t="shared" si="141"/>
        <v>1095</v>
      </c>
    </row>
    <row r="849" spans="4:4" ht="18.75" customHeight="1">
      <c r="D849" s="180">
        <f t="shared" si="141"/>
        <v>1095</v>
      </c>
    </row>
    <row r="850" spans="4:4" ht="18.75" customHeight="1">
      <c r="D850" s="180">
        <f t="shared" si="141"/>
        <v>1095</v>
      </c>
    </row>
    <row r="851" spans="4:4" ht="18.75" customHeight="1">
      <c r="D851" s="180">
        <f t="shared" si="141"/>
        <v>1095</v>
      </c>
    </row>
    <row r="852" spans="4:4" ht="18.75" customHeight="1">
      <c r="D852" s="180">
        <f t="shared" si="141"/>
        <v>1095</v>
      </c>
    </row>
    <row r="853" spans="4:4" ht="18.75" customHeight="1">
      <c r="D853" s="180">
        <f t="shared" si="141"/>
        <v>1095</v>
      </c>
    </row>
    <row r="854" spans="4:4" ht="18.75" customHeight="1">
      <c r="D854" s="180">
        <f t="shared" si="141"/>
        <v>1095</v>
      </c>
    </row>
    <row r="855" spans="4:4" ht="18.75" customHeight="1">
      <c r="D855" s="180">
        <f t="shared" si="141"/>
        <v>1095</v>
      </c>
    </row>
    <row r="856" spans="4:4" ht="18.75" customHeight="1">
      <c r="D856" s="180">
        <f t="shared" si="141"/>
        <v>1095</v>
      </c>
    </row>
    <row r="857" spans="4:4" ht="18.75" customHeight="1">
      <c r="D857" s="180">
        <f t="shared" si="141"/>
        <v>1095</v>
      </c>
    </row>
    <row r="858" spans="4:4" ht="18.75" customHeight="1">
      <c r="D858" s="180">
        <f t="shared" si="141"/>
        <v>1095</v>
      </c>
    </row>
    <row r="859" spans="4:4" ht="18.75" customHeight="1">
      <c r="D859" s="180">
        <f t="shared" ref="D859:D922" si="142">IF(C859="A1 - 1 ano PJ",365,IF(C859="A1 - 1 ano PF",365,(365*3)))</f>
        <v>1095</v>
      </c>
    </row>
    <row r="860" spans="4:4" ht="18.75" customHeight="1">
      <c r="D860" s="180">
        <f t="shared" si="142"/>
        <v>1095</v>
      </c>
    </row>
    <row r="861" spans="4:4" ht="18.75" customHeight="1">
      <c r="D861" s="180">
        <f t="shared" si="142"/>
        <v>1095</v>
      </c>
    </row>
    <row r="862" spans="4:4" ht="18.75" customHeight="1">
      <c r="D862" s="180">
        <f t="shared" si="142"/>
        <v>1095</v>
      </c>
    </row>
    <row r="863" spans="4:4" ht="18.75" customHeight="1">
      <c r="D863" s="180">
        <f t="shared" si="142"/>
        <v>1095</v>
      </c>
    </row>
    <row r="864" spans="4:4" ht="18.75" customHeight="1">
      <c r="D864" s="180">
        <f t="shared" si="142"/>
        <v>1095</v>
      </c>
    </row>
    <row r="865" spans="4:4" ht="18.75" customHeight="1">
      <c r="D865" s="180">
        <f t="shared" si="142"/>
        <v>1095</v>
      </c>
    </row>
    <row r="866" spans="4:4" ht="18.75" customHeight="1">
      <c r="D866" s="180">
        <f t="shared" si="142"/>
        <v>1095</v>
      </c>
    </row>
    <row r="867" spans="4:4" ht="18.75" customHeight="1">
      <c r="D867" s="180">
        <f t="shared" si="142"/>
        <v>1095</v>
      </c>
    </row>
    <row r="868" spans="4:4" ht="18.75" customHeight="1">
      <c r="D868" s="180">
        <f t="shared" si="142"/>
        <v>1095</v>
      </c>
    </row>
    <row r="869" spans="4:4" ht="18.75" customHeight="1">
      <c r="D869" s="180">
        <f t="shared" si="142"/>
        <v>1095</v>
      </c>
    </row>
    <row r="870" spans="4:4" ht="18.75" customHeight="1">
      <c r="D870" s="180">
        <f t="shared" si="142"/>
        <v>1095</v>
      </c>
    </row>
    <row r="871" spans="4:4" ht="18.75" customHeight="1">
      <c r="D871" s="180">
        <f t="shared" si="142"/>
        <v>1095</v>
      </c>
    </row>
    <row r="872" spans="4:4" ht="18.75" customHeight="1">
      <c r="D872" s="180">
        <f t="shared" si="142"/>
        <v>1095</v>
      </c>
    </row>
    <row r="873" spans="4:4" ht="18.75" customHeight="1">
      <c r="D873" s="180">
        <f t="shared" si="142"/>
        <v>1095</v>
      </c>
    </row>
    <row r="874" spans="4:4" ht="18.75" customHeight="1">
      <c r="D874" s="180">
        <f t="shared" si="142"/>
        <v>1095</v>
      </c>
    </row>
    <row r="875" spans="4:4" ht="18.75" customHeight="1">
      <c r="D875" s="180">
        <f t="shared" si="142"/>
        <v>1095</v>
      </c>
    </row>
    <row r="876" spans="4:4" ht="18.75" customHeight="1">
      <c r="D876" s="180">
        <f t="shared" si="142"/>
        <v>1095</v>
      </c>
    </row>
    <row r="877" spans="4:4" ht="18.75" customHeight="1">
      <c r="D877" s="180">
        <f t="shared" si="142"/>
        <v>1095</v>
      </c>
    </row>
    <row r="878" spans="4:4" ht="18.75" customHeight="1">
      <c r="D878" s="180">
        <f t="shared" si="142"/>
        <v>1095</v>
      </c>
    </row>
    <row r="879" spans="4:4" ht="18.75" customHeight="1">
      <c r="D879" s="180">
        <f t="shared" si="142"/>
        <v>1095</v>
      </c>
    </row>
    <row r="880" spans="4:4" ht="18.75" customHeight="1">
      <c r="D880" s="180">
        <f t="shared" si="142"/>
        <v>1095</v>
      </c>
    </row>
    <row r="881" spans="4:4" ht="18.75" customHeight="1">
      <c r="D881" s="180">
        <f t="shared" si="142"/>
        <v>1095</v>
      </c>
    </row>
    <row r="882" spans="4:4" ht="18.75" customHeight="1">
      <c r="D882" s="180">
        <f t="shared" si="142"/>
        <v>1095</v>
      </c>
    </row>
    <row r="883" spans="4:4" ht="18.75" customHeight="1">
      <c r="D883" s="180">
        <f t="shared" si="142"/>
        <v>1095</v>
      </c>
    </row>
    <row r="884" spans="4:4" ht="18.75" customHeight="1">
      <c r="D884" s="180">
        <f t="shared" si="142"/>
        <v>1095</v>
      </c>
    </row>
    <row r="885" spans="4:4" ht="18.75" customHeight="1">
      <c r="D885" s="180">
        <f t="shared" si="142"/>
        <v>1095</v>
      </c>
    </row>
    <row r="886" spans="4:4" ht="18.75" customHeight="1">
      <c r="D886" s="180">
        <f t="shared" si="142"/>
        <v>1095</v>
      </c>
    </row>
    <row r="887" spans="4:4" ht="18.75" customHeight="1">
      <c r="D887" s="180">
        <f t="shared" si="142"/>
        <v>1095</v>
      </c>
    </row>
    <row r="888" spans="4:4" ht="18.75" customHeight="1">
      <c r="D888" s="180">
        <f t="shared" si="142"/>
        <v>1095</v>
      </c>
    </row>
    <row r="889" spans="4:4" ht="18.75" customHeight="1">
      <c r="D889" s="180">
        <f t="shared" si="142"/>
        <v>1095</v>
      </c>
    </row>
    <row r="890" spans="4:4" ht="18.75" customHeight="1">
      <c r="D890" s="180">
        <f t="shared" si="142"/>
        <v>1095</v>
      </c>
    </row>
    <row r="891" spans="4:4" ht="18.75" customHeight="1">
      <c r="D891" s="180">
        <f t="shared" si="142"/>
        <v>1095</v>
      </c>
    </row>
    <row r="892" spans="4:4" ht="18.75" customHeight="1">
      <c r="D892" s="180">
        <f t="shared" si="142"/>
        <v>1095</v>
      </c>
    </row>
    <row r="893" spans="4:4" ht="18.75" customHeight="1">
      <c r="D893" s="180">
        <f t="shared" si="142"/>
        <v>1095</v>
      </c>
    </row>
    <row r="894" spans="4:4" ht="18.75" customHeight="1">
      <c r="D894" s="180">
        <f t="shared" si="142"/>
        <v>1095</v>
      </c>
    </row>
    <row r="895" spans="4:4" ht="18.75" customHeight="1">
      <c r="D895" s="180">
        <f t="shared" si="142"/>
        <v>1095</v>
      </c>
    </row>
    <row r="896" spans="4:4" ht="18.75" customHeight="1">
      <c r="D896" s="180">
        <f t="shared" si="142"/>
        <v>1095</v>
      </c>
    </row>
    <row r="897" spans="4:4" ht="18.75" customHeight="1">
      <c r="D897" s="180">
        <f t="shared" si="142"/>
        <v>1095</v>
      </c>
    </row>
    <row r="898" spans="4:4" ht="18.75" customHeight="1">
      <c r="D898" s="180">
        <f t="shared" si="142"/>
        <v>1095</v>
      </c>
    </row>
    <row r="899" spans="4:4" ht="18.75" customHeight="1">
      <c r="D899" s="180">
        <f t="shared" si="142"/>
        <v>1095</v>
      </c>
    </row>
    <row r="900" spans="4:4" ht="18.75" customHeight="1">
      <c r="D900" s="180">
        <f t="shared" si="142"/>
        <v>1095</v>
      </c>
    </row>
    <row r="901" spans="4:4" ht="18.75" customHeight="1">
      <c r="D901" s="180">
        <f t="shared" si="142"/>
        <v>1095</v>
      </c>
    </row>
    <row r="902" spans="4:4" ht="18.75" customHeight="1">
      <c r="D902" s="180">
        <f t="shared" si="142"/>
        <v>1095</v>
      </c>
    </row>
    <row r="903" spans="4:4" ht="18.75" customHeight="1">
      <c r="D903" s="180">
        <f t="shared" si="142"/>
        <v>1095</v>
      </c>
    </row>
    <row r="904" spans="4:4" ht="18.75" customHeight="1">
      <c r="D904" s="180">
        <f t="shared" si="142"/>
        <v>1095</v>
      </c>
    </row>
    <row r="905" spans="4:4" ht="18.75" customHeight="1">
      <c r="D905" s="180">
        <f t="shared" si="142"/>
        <v>1095</v>
      </c>
    </row>
    <row r="906" spans="4:4" ht="18.75" customHeight="1">
      <c r="D906" s="180">
        <f t="shared" si="142"/>
        <v>1095</v>
      </c>
    </row>
    <row r="907" spans="4:4" ht="18.75" customHeight="1">
      <c r="D907" s="180">
        <f t="shared" si="142"/>
        <v>1095</v>
      </c>
    </row>
    <row r="908" spans="4:4" ht="18.75" customHeight="1">
      <c r="D908" s="180">
        <f t="shared" si="142"/>
        <v>1095</v>
      </c>
    </row>
    <row r="909" spans="4:4" ht="18.75" customHeight="1">
      <c r="D909" s="180">
        <f t="shared" si="142"/>
        <v>1095</v>
      </c>
    </row>
    <row r="910" spans="4:4" ht="18.75" customHeight="1">
      <c r="D910" s="180">
        <f t="shared" si="142"/>
        <v>1095</v>
      </c>
    </row>
    <row r="911" spans="4:4" ht="18.75" customHeight="1">
      <c r="D911" s="180">
        <f t="shared" si="142"/>
        <v>1095</v>
      </c>
    </row>
    <row r="912" spans="4:4" ht="18.75" customHeight="1">
      <c r="D912" s="180">
        <f t="shared" si="142"/>
        <v>1095</v>
      </c>
    </row>
    <row r="913" spans="4:4" ht="18.75" customHeight="1">
      <c r="D913" s="180">
        <f t="shared" si="142"/>
        <v>1095</v>
      </c>
    </row>
    <row r="914" spans="4:4" ht="18.75" customHeight="1">
      <c r="D914" s="180">
        <f t="shared" si="142"/>
        <v>1095</v>
      </c>
    </row>
    <row r="915" spans="4:4" ht="18.75" customHeight="1">
      <c r="D915" s="180">
        <f t="shared" si="142"/>
        <v>1095</v>
      </c>
    </row>
    <row r="916" spans="4:4" ht="18.75" customHeight="1">
      <c r="D916" s="180">
        <f t="shared" si="142"/>
        <v>1095</v>
      </c>
    </row>
    <row r="917" spans="4:4" ht="18.75" customHeight="1">
      <c r="D917" s="180">
        <f t="shared" si="142"/>
        <v>1095</v>
      </c>
    </row>
    <row r="918" spans="4:4" ht="18.75" customHeight="1">
      <c r="D918" s="180">
        <f t="shared" si="142"/>
        <v>1095</v>
      </c>
    </row>
    <row r="919" spans="4:4" ht="18.75" customHeight="1">
      <c r="D919" s="180">
        <f t="shared" si="142"/>
        <v>1095</v>
      </c>
    </row>
    <row r="920" spans="4:4" ht="18.75" customHeight="1">
      <c r="D920" s="180">
        <f t="shared" si="142"/>
        <v>1095</v>
      </c>
    </row>
    <row r="921" spans="4:4" ht="18.75" customHeight="1">
      <c r="D921" s="180">
        <f t="shared" si="142"/>
        <v>1095</v>
      </c>
    </row>
    <row r="922" spans="4:4" ht="18.75" customHeight="1">
      <c r="D922" s="180">
        <f t="shared" si="142"/>
        <v>1095</v>
      </c>
    </row>
    <row r="923" spans="4:4" ht="18.75" customHeight="1">
      <c r="D923" s="180">
        <f t="shared" ref="D923:D986" si="143">IF(C923="A1 - 1 ano PJ",365,IF(C923="A1 - 1 ano PF",365,(365*3)))</f>
        <v>1095</v>
      </c>
    </row>
    <row r="924" spans="4:4" ht="18.75" customHeight="1">
      <c r="D924" s="180">
        <f t="shared" si="143"/>
        <v>1095</v>
      </c>
    </row>
    <row r="925" spans="4:4" ht="18.75" customHeight="1">
      <c r="D925" s="180">
        <f t="shared" si="143"/>
        <v>1095</v>
      </c>
    </row>
    <row r="926" spans="4:4" ht="18.75" customHeight="1">
      <c r="D926" s="180">
        <f t="shared" si="143"/>
        <v>1095</v>
      </c>
    </row>
    <row r="927" spans="4:4" ht="18.75" customHeight="1">
      <c r="D927" s="180">
        <f t="shared" si="143"/>
        <v>1095</v>
      </c>
    </row>
    <row r="928" spans="4:4" ht="18.75" customHeight="1">
      <c r="D928" s="180">
        <f t="shared" si="143"/>
        <v>1095</v>
      </c>
    </row>
    <row r="929" spans="4:4" ht="18.75" customHeight="1">
      <c r="D929" s="180">
        <f t="shared" si="143"/>
        <v>1095</v>
      </c>
    </row>
    <row r="930" spans="4:4" ht="18.75" customHeight="1">
      <c r="D930" s="180">
        <f t="shared" si="143"/>
        <v>1095</v>
      </c>
    </row>
    <row r="931" spans="4:4" ht="18.75" customHeight="1">
      <c r="D931" s="180">
        <f t="shared" si="143"/>
        <v>1095</v>
      </c>
    </row>
    <row r="932" spans="4:4" ht="18.75" customHeight="1">
      <c r="D932" s="180">
        <f t="shared" si="143"/>
        <v>1095</v>
      </c>
    </row>
    <row r="933" spans="4:4" ht="18.75" customHeight="1">
      <c r="D933" s="180">
        <f t="shared" si="143"/>
        <v>1095</v>
      </c>
    </row>
    <row r="934" spans="4:4" ht="18.75" customHeight="1">
      <c r="D934" s="180">
        <f t="shared" si="143"/>
        <v>1095</v>
      </c>
    </row>
    <row r="935" spans="4:4" ht="18.75" customHeight="1">
      <c r="D935" s="180">
        <f t="shared" si="143"/>
        <v>1095</v>
      </c>
    </row>
    <row r="936" spans="4:4" ht="18.75" customHeight="1">
      <c r="D936" s="180">
        <f t="shared" si="143"/>
        <v>1095</v>
      </c>
    </row>
    <row r="937" spans="4:4" ht="18.75" customHeight="1">
      <c r="D937" s="180">
        <f t="shared" si="143"/>
        <v>1095</v>
      </c>
    </row>
    <row r="938" spans="4:4" ht="18.75" customHeight="1">
      <c r="D938" s="180">
        <f t="shared" si="143"/>
        <v>1095</v>
      </c>
    </row>
    <row r="939" spans="4:4" ht="18.75" customHeight="1">
      <c r="D939" s="180">
        <f t="shared" si="143"/>
        <v>1095</v>
      </c>
    </row>
    <row r="940" spans="4:4" ht="18.75" customHeight="1">
      <c r="D940" s="180">
        <f t="shared" si="143"/>
        <v>1095</v>
      </c>
    </row>
    <row r="941" spans="4:4" ht="18.75" customHeight="1">
      <c r="D941" s="180">
        <f t="shared" si="143"/>
        <v>1095</v>
      </c>
    </row>
    <row r="942" spans="4:4" ht="18.75" customHeight="1">
      <c r="D942" s="180">
        <f t="shared" si="143"/>
        <v>1095</v>
      </c>
    </row>
    <row r="943" spans="4:4" ht="18.75" customHeight="1">
      <c r="D943" s="180">
        <f t="shared" si="143"/>
        <v>1095</v>
      </c>
    </row>
    <row r="944" spans="4:4" ht="18.75" customHeight="1">
      <c r="D944" s="180">
        <f t="shared" si="143"/>
        <v>1095</v>
      </c>
    </row>
    <row r="945" spans="4:4" ht="18.75" customHeight="1">
      <c r="D945" s="180">
        <f t="shared" si="143"/>
        <v>1095</v>
      </c>
    </row>
    <row r="946" spans="4:4" ht="18.75" customHeight="1">
      <c r="D946" s="180">
        <f t="shared" si="143"/>
        <v>1095</v>
      </c>
    </row>
    <row r="947" spans="4:4" ht="18.75" customHeight="1">
      <c r="D947" s="180">
        <f t="shared" si="143"/>
        <v>1095</v>
      </c>
    </row>
    <row r="948" spans="4:4" ht="18.75" customHeight="1">
      <c r="D948" s="180">
        <f t="shared" si="143"/>
        <v>1095</v>
      </c>
    </row>
    <row r="949" spans="4:4" ht="18.75" customHeight="1">
      <c r="D949" s="180">
        <f t="shared" si="143"/>
        <v>1095</v>
      </c>
    </row>
    <row r="950" spans="4:4" ht="18.75" customHeight="1">
      <c r="D950" s="180">
        <f t="shared" si="143"/>
        <v>1095</v>
      </c>
    </row>
    <row r="951" spans="4:4" ht="18.75" customHeight="1">
      <c r="D951" s="180">
        <f t="shared" si="143"/>
        <v>1095</v>
      </c>
    </row>
    <row r="952" spans="4:4" ht="18.75" customHeight="1">
      <c r="D952" s="180">
        <f t="shared" si="143"/>
        <v>1095</v>
      </c>
    </row>
    <row r="953" spans="4:4" ht="18.75" customHeight="1">
      <c r="D953" s="180">
        <f t="shared" si="143"/>
        <v>1095</v>
      </c>
    </row>
    <row r="954" spans="4:4" ht="18.75" customHeight="1">
      <c r="D954" s="180">
        <f t="shared" si="143"/>
        <v>1095</v>
      </c>
    </row>
    <row r="955" spans="4:4" ht="18.75" customHeight="1">
      <c r="D955" s="180">
        <f t="shared" si="143"/>
        <v>1095</v>
      </c>
    </row>
    <row r="956" spans="4:4" ht="18.75" customHeight="1">
      <c r="D956" s="180">
        <f t="shared" si="143"/>
        <v>1095</v>
      </c>
    </row>
    <row r="957" spans="4:4" ht="18.75" customHeight="1">
      <c r="D957" s="180">
        <f t="shared" si="143"/>
        <v>1095</v>
      </c>
    </row>
    <row r="958" spans="4:4" ht="18.75" customHeight="1">
      <c r="D958" s="180">
        <f t="shared" si="143"/>
        <v>1095</v>
      </c>
    </row>
    <row r="959" spans="4:4" ht="18.75" customHeight="1">
      <c r="D959" s="180">
        <f t="shared" si="143"/>
        <v>1095</v>
      </c>
    </row>
    <row r="960" spans="4:4" ht="18.75" customHeight="1">
      <c r="D960" s="180">
        <f t="shared" si="143"/>
        <v>1095</v>
      </c>
    </row>
    <row r="961" spans="4:4" ht="18.75" customHeight="1">
      <c r="D961" s="180">
        <f t="shared" si="143"/>
        <v>1095</v>
      </c>
    </row>
    <row r="962" spans="4:4" ht="18.75" customHeight="1">
      <c r="D962" s="180">
        <f t="shared" si="143"/>
        <v>1095</v>
      </c>
    </row>
    <row r="963" spans="4:4" ht="18.75" customHeight="1">
      <c r="D963" s="180">
        <f t="shared" si="143"/>
        <v>1095</v>
      </c>
    </row>
    <row r="964" spans="4:4" ht="18.75" customHeight="1">
      <c r="D964" s="180">
        <f t="shared" si="143"/>
        <v>1095</v>
      </c>
    </row>
    <row r="965" spans="4:4" ht="18.75" customHeight="1">
      <c r="D965" s="180">
        <f t="shared" si="143"/>
        <v>1095</v>
      </c>
    </row>
    <row r="966" spans="4:4" ht="18.75" customHeight="1">
      <c r="D966" s="180">
        <f t="shared" si="143"/>
        <v>1095</v>
      </c>
    </row>
    <row r="967" spans="4:4" ht="18.75" customHeight="1">
      <c r="D967" s="180">
        <f t="shared" si="143"/>
        <v>1095</v>
      </c>
    </row>
    <row r="968" spans="4:4" ht="18.75" customHeight="1">
      <c r="D968" s="180">
        <f t="shared" si="143"/>
        <v>1095</v>
      </c>
    </row>
    <row r="969" spans="4:4" ht="18.75" customHeight="1">
      <c r="D969" s="180">
        <f t="shared" si="143"/>
        <v>1095</v>
      </c>
    </row>
    <row r="970" spans="4:4" ht="18.75" customHeight="1">
      <c r="D970" s="180">
        <f t="shared" si="143"/>
        <v>1095</v>
      </c>
    </row>
    <row r="971" spans="4:4" ht="18.75" customHeight="1">
      <c r="D971" s="180">
        <f t="shared" si="143"/>
        <v>1095</v>
      </c>
    </row>
    <row r="972" spans="4:4" ht="18.75" customHeight="1">
      <c r="D972" s="180">
        <f t="shared" si="143"/>
        <v>1095</v>
      </c>
    </row>
    <row r="973" spans="4:4" ht="18.75" customHeight="1">
      <c r="D973" s="180">
        <f t="shared" si="143"/>
        <v>1095</v>
      </c>
    </row>
    <row r="974" spans="4:4" ht="18.75" customHeight="1">
      <c r="D974" s="180">
        <f t="shared" si="143"/>
        <v>1095</v>
      </c>
    </row>
    <row r="975" spans="4:4" ht="18.75" customHeight="1">
      <c r="D975" s="180">
        <f t="shared" si="143"/>
        <v>1095</v>
      </c>
    </row>
    <row r="976" spans="4:4" ht="18.75" customHeight="1">
      <c r="D976" s="180">
        <f t="shared" si="143"/>
        <v>1095</v>
      </c>
    </row>
    <row r="977" spans="4:4" ht="18.75" customHeight="1">
      <c r="D977" s="180">
        <f t="shared" si="143"/>
        <v>1095</v>
      </c>
    </row>
    <row r="978" spans="4:4" ht="18.75" customHeight="1">
      <c r="D978" s="180">
        <f t="shared" si="143"/>
        <v>1095</v>
      </c>
    </row>
    <row r="979" spans="4:4" ht="18.75" customHeight="1">
      <c r="D979" s="180">
        <f t="shared" si="143"/>
        <v>1095</v>
      </c>
    </row>
    <row r="980" spans="4:4" ht="18.75" customHeight="1">
      <c r="D980" s="180">
        <f t="shared" si="143"/>
        <v>1095</v>
      </c>
    </row>
    <row r="981" spans="4:4" ht="18.75" customHeight="1">
      <c r="D981" s="180">
        <f t="shared" si="143"/>
        <v>1095</v>
      </c>
    </row>
    <row r="982" spans="4:4" ht="18.75" customHeight="1">
      <c r="D982" s="180">
        <f t="shared" si="143"/>
        <v>1095</v>
      </c>
    </row>
    <row r="983" spans="4:4" ht="18.75" customHeight="1">
      <c r="D983" s="180">
        <f t="shared" si="143"/>
        <v>1095</v>
      </c>
    </row>
    <row r="984" spans="4:4" ht="18.75" customHeight="1">
      <c r="D984" s="180">
        <f t="shared" si="143"/>
        <v>1095</v>
      </c>
    </row>
    <row r="985" spans="4:4" ht="18.75" customHeight="1">
      <c r="D985" s="180">
        <f t="shared" si="143"/>
        <v>1095</v>
      </c>
    </row>
    <row r="986" spans="4:4" ht="18.75" customHeight="1">
      <c r="D986" s="180">
        <f t="shared" si="143"/>
        <v>1095</v>
      </c>
    </row>
    <row r="987" spans="4:4" ht="18.75" customHeight="1">
      <c r="D987" s="180">
        <f t="shared" ref="D987:D1050" si="144">IF(C987="A1 - 1 ano PJ",365,IF(C987="A1 - 1 ano PF",365,(365*3)))</f>
        <v>1095</v>
      </c>
    </row>
    <row r="988" spans="4:4" ht="18.75" customHeight="1">
      <c r="D988" s="180">
        <f t="shared" si="144"/>
        <v>1095</v>
      </c>
    </row>
    <row r="989" spans="4:4" ht="18.75" customHeight="1">
      <c r="D989" s="180">
        <f t="shared" si="144"/>
        <v>1095</v>
      </c>
    </row>
    <row r="990" spans="4:4" ht="18.75" customHeight="1">
      <c r="D990" s="180">
        <f t="shared" si="144"/>
        <v>1095</v>
      </c>
    </row>
    <row r="991" spans="4:4" ht="18.75" customHeight="1">
      <c r="D991" s="180">
        <f t="shared" si="144"/>
        <v>1095</v>
      </c>
    </row>
    <row r="992" spans="4:4" ht="18.75" customHeight="1">
      <c r="D992" s="180">
        <f t="shared" si="144"/>
        <v>1095</v>
      </c>
    </row>
    <row r="993" spans="4:4" ht="18.75" customHeight="1">
      <c r="D993" s="180">
        <f t="shared" si="144"/>
        <v>1095</v>
      </c>
    </row>
    <row r="994" spans="4:4" ht="18.75" customHeight="1">
      <c r="D994" s="180">
        <f t="shared" si="144"/>
        <v>1095</v>
      </c>
    </row>
    <row r="995" spans="4:4" ht="18.75" customHeight="1">
      <c r="D995" s="180">
        <f t="shared" si="144"/>
        <v>1095</v>
      </c>
    </row>
    <row r="996" spans="4:4" ht="18.75" customHeight="1">
      <c r="D996" s="180">
        <f t="shared" si="144"/>
        <v>1095</v>
      </c>
    </row>
    <row r="997" spans="4:4" ht="18.75" customHeight="1">
      <c r="D997" s="180">
        <f t="shared" si="144"/>
        <v>1095</v>
      </c>
    </row>
    <row r="998" spans="4:4" ht="18.75" customHeight="1">
      <c r="D998" s="180">
        <f t="shared" si="144"/>
        <v>1095</v>
      </c>
    </row>
    <row r="999" spans="4:4" ht="18.75" customHeight="1">
      <c r="D999" s="180">
        <f t="shared" si="144"/>
        <v>1095</v>
      </c>
    </row>
    <row r="1000" spans="4:4" ht="18.75" customHeight="1">
      <c r="D1000" s="180">
        <f t="shared" si="144"/>
        <v>1095</v>
      </c>
    </row>
    <row r="1001" spans="4:4" ht="18.75" customHeight="1">
      <c r="D1001" s="180">
        <f t="shared" si="144"/>
        <v>1095</v>
      </c>
    </row>
    <row r="1002" spans="4:4" ht="18.75" customHeight="1">
      <c r="D1002" s="180">
        <f t="shared" si="144"/>
        <v>1095</v>
      </c>
    </row>
    <row r="1003" spans="4:4" ht="18.75" customHeight="1">
      <c r="D1003" s="180">
        <f t="shared" si="144"/>
        <v>1095</v>
      </c>
    </row>
    <row r="1004" spans="4:4" ht="18.75" customHeight="1">
      <c r="D1004" s="180">
        <f t="shared" si="144"/>
        <v>1095</v>
      </c>
    </row>
    <row r="1005" spans="4:4" ht="18.75" customHeight="1">
      <c r="D1005" s="180">
        <f t="shared" si="144"/>
        <v>1095</v>
      </c>
    </row>
    <row r="1006" spans="4:4" ht="18.75" customHeight="1">
      <c r="D1006" s="180">
        <f t="shared" si="144"/>
        <v>1095</v>
      </c>
    </row>
    <row r="1007" spans="4:4" ht="18.75" customHeight="1">
      <c r="D1007" s="180">
        <f t="shared" si="144"/>
        <v>1095</v>
      </c>
    </row>
    <row r="1008" spans="4:4" ht="18.75" customHeight="1">
      <c r="D1008" s="180">
        <f t="shared" si="144"/>
        <v>1095</v>
      </c>
    </row>
    <row r="1009" spans="4:4" ht="18.75" customHeight="1">
      <c r="D1009" s="180">
        <f t="shared" si="144"/>
        <v>1095</v>
      </c>
    </row>
    <row r="1010" spans="4:4" ht="18.75" customHeight="1">
      <c r="D1010" s="180">
        <f t="shared" si="144"/>
        <v>1095</v>
      </c>
    </row>
    <row r="1011" spans="4:4" ht="18.75" customHeight="1">
      <c r="D1011" s="180">
        <f t="shared" si="144"/>
        <v>1095</v>
      </c>
    </row>
    <row r="1012" spans="4:4" ht="18.75" customHeight="1">
      <c r="D1012" s="180">
        <f t="shared" si="144"/>
        <v>1095</v>
      </c>
    </row>
    <row r="1013" spans="4:4" ht="18.75" customHeight="1">
      <c r="D1013" s="180">
        <f t="shared" si="144"/>
        <v>1095</v>
      </c>
    </row>
    <row r="1014" spans="4:4" ht="18.75" customHeight="1">
      <c r="D1014" s="180">
        <f t="shared" si="144"/>
        <v>1095</v>
      </c>
    </row>
    <row r="1015" spans="4:4" ht="18.75" customHeight="1">
      <c r="D1015" s="180">
        <f t="shared" si="144"/>
        <v>1095</v>
      </c>
    </row>
    <row r="1016" spans="4:4" ht="18.75" customHeight="1">
      <c r="D1016" s="180">
        <f t="shared" si="144"/>
        <v>1095</v>
      </c>
    </row>
    <row r="1017" spans="4:4" ht="18.75" customHeight="1">
      <c r="D1017" s="180">
        <f t="shared" si="144"/>
        <v>1095</v>
      </c>
    </row>
    <row r="1018" spans="4:4" ht="18.75" customHeight="1">
      <c r="D1018" s="180">
        <f t="shared" si="144"/>
        <v>1095</v>
      </c>
    </row>
    <row r="1019" spans="4:4" ht="18.75" customHeight="1">
      <c r="D1019" s="180">
        <f t="shared" si="144"/>
        <v>1095</v>
      </c>
    </row>
    <row r="1020" spans="4:4" ht="18.75" customHeight="1">
      <c r="D1020" s="180">
        <f t="shared" si="144"/>
        <v>1095</v>
      </c>
    </row>
    <row r="1021" spans="4:4" ht="18.75" customHeight="1">
      <c r="D1021" s="180">
        <f t="shared" si="144"/>
        <v>1095</v>
      </c>
    </row>
    <row r="1022" spans="4:4" ht="18.75" customHeight="1">
      <c r="D1022" s="180">
        <f t="shared" si="144"/>
        <v>1095</v>
      </c>
    </row>
    <row r="1023" spans="4:4" ht="18.75" customHeight="1">
      <c r="D1023" s="180">
        <f t="shared" si="144"/>
        <v>1095</v>
      </c>
    </row>
    <row r="1024" spans="4:4" ht="18.75" customHeight="1">
      <c r="D1024" s="180">
        <f t="shared" si="144"/>
        <v>1095</v>
      </c>
    </row>
    <row r="1025" spans="4:4" ht="18.75" customHeight="1">
      <c r="D1025" s="180">
        <f t="shared" si="144"/>
        <v>1095</v>
      </c>
    </row>
    <row r="1026" spans="4:4" ht="18.75" customHeight="1">
      <c r="D1026" s="180">
        <f t="shared" si="144"/>
        <v>1095</v>
      </c>
    </row>
    <row r="1027" spans="4:4" ht="18.75" customHeight="1">
      <c r="D1027" s="180">
        <f t="shared" si="144"/>
        <v>1095</v>
      </c>
    </row>
    <row r="1028" spans="4:4" ht="18.75" customHeight="1">
      <c r="D1028" s="180">
        <f t="shared" si="144"/>
        <v>1095</v>
      </c>
    </row>
    <row r="1029" spans="4:4" ht="18.75" customHeight="1">
      <c r="D1029" s="180">
        <f t="shared" si="144"/>
        <v>1095</v>
      </c>
    </row>
    <row r="1030" spans="4:4" ht="18.75" customHeight="1">
      <c r="D1030" s="180">
        <f t="shared" si="144"/>
        <v>1095</v>
      </c>
    </row>
    <row r="1031" spans="4:4" ht="18.75" customHeight="1">
      <c r="D1031" s="180">
        <f t="shared" si="144"/>
        <v>1095</v>
      </c>
    </row>
    <row r="1032" spans="4:4" ht="18.75" customHeight="1">
      <c r="D1032" s="180">
        <f t="shared" si="144"/>
        <v>1095</v>
      </c>
    </row>
    <row r="1033" spans="4:4" ht="18.75" customHeight="1">
      <c r="D1033" s="180">
        <f t="shared" si="144"/>
        <v>1095</v>
      </c>
    </row>
    <row r="1034" spans="4:4" ht="18.75" customHeight="1">
      <c r="D1034" s="180">
        <f t="shared" si="144"/>
        <v>1095</v>
      </c>
    </row>
    <row r="1035" spans="4:4" ht="18.75" customHeight="1">
      <c r="D1035" s="180">
        <f t="shared" si="144"/>
        <v>1095</v>
      </c>
    </row>
    <row r="1036" spans="4:4" ht="18.75" customHeight="1">
      <c r="D1036" s="180">
        <f t="shared" si="144"/>
        <v>1095</v>
      </c>
    </row>
    <row r="1037" spans="4:4" ht="18.75" customHeight="1">
      <c r="D1037" s="180">
        <f t="shared" si="144"/>
        <v>1095</v>
      </c>
    </row>
    <row r="1038" spans="4:4" ht="18.75" customHeight="1">
      <c r="D1038" s="180">
        <f t="shared" si="144"/>
        <v>1095</v>
      </c>
    </row>
    <row r="1039" spans="4:4" ht="18.75" customHeight="1">
      <c r="D1039" s="180">
        <f t="shared" si="144"/>
        <v>1095</v>
      </c>
    </row>
    <row r="1040" spans="4:4" ht="18.75" customHeight="1">
      <c r="D1040" s="180">
        <f t="shared" si="144"/>
        <v>1095</v>
      </c>
    </row>
    <row r="1041" spans="4:4" ht="18.75" customHeight="1">
      <c r="D1041" s="180">
        <f t="shared" si="144"/>
        <v>1095</v>
      </c>
    </row>
    <row r="1042" spans="4:4" ht="18.75" customHeight="1">
      <c r="D1042" s="180">
        <f t="shared" si="144"/>
        <v>1095</v>
      </c>
    </row>
    <row r="1043" spans="4:4" ht="18.75" customHeight="1">
      <c r="D1043" s="180">
        <f t="shared" si="144"/>
        <v>1095</v>
      </c>
    </row>
    <row r="1044" spans="4:4" ht="18.75" customHeight="1">
      <c r="D1044" s="180">
        <f t="shared" si="144"/>
        <v>1095</v>
      </c>
    </row>
    <row r="1045" spans="4:4" ht="18.75" customHeight="1">
      <c r="D1045" s="180">
        <f t="shared" si="144"/>
        <v>1095</v>
      </c>
    </row>
    <row r="1046" spans="4:4" ht="18.75" customHeight="1">
      <c r="D1046" s="180">
        <f t="shared" si="144"/>
        <v>1095</v>
      </c>
    </row>
    <row r="1047" spans="4:4" ht="18.75" customHeight="1">
      <c r="D1047" s="180">
        <f t="shared" si="144"/>
        <v>1095</v>
      </c>
    </row>
    <row r="1048" spans="4:4" ht="18.75" customHeight="1">
      <c r="D1048" s="180">
        <f t="shared" si="144"/>
        <v>1095</v>
      </c>
    </row>
    <row r="1049" spans="4:4" ht="18.75" customHeight="1">
      <c r="D1049" s="180">
        <f t="shared" si="144"/>
        <v>1095</v>
      </c>
    </row>
    <row r="1050" spans="4:4" ht="18.75" customHeight="1">
      <c r="D1050" s="180">
        <f t="shared" si="144"/>
        <v>1095</v>
      </c>
    </row>
    <row r="1051" spans="4:4" ht="18.75" customHeight="1">
      <c r="D1051" s="180">
        <f t="shared" ref="D1051:D1114" si="145">IF(C1051="A1 - 1 ano PJ",365,IF(C1051="A1 - 1 ano PF",365,(365*3)))</f>
        <v>1095</v>
      </c>
    </row>
    <row r="1052" spans="4:4" ht="18.75" customHeight="1">
      <c r="D1052" s="180">
        <f t="shared" si="145"/>
        <v>1095</v>
      </c>
    </row>
    <row r="1053" spans="4:4" ht="18.75" customHeight="1">
      <c r="D1053" s="180">
        <f t="shared" si="145"/>
        <v>1095</v>
      </c>
    </row>
    <row r="1054" spans="4:4" ht="18.75" customHeight="1">
      <c r="D1054" s="180">
        <f t="shared" si="145"/>
        <v>1095</v>
      </c>
    </row>
    <row r="1055" spans="4:4" ht="18.75" customHeight="1">
      <c r="D1055" s="180">
        <f t="shared" si="145"/>
        <v>1095</v>
      </c>
    </row>
    <row r="1056" spans="4:4" ht="18.75" customHeight="1">
      <c r="D1056" s="180">
        <f t="shared" si="145"/>
        <v>1095</v>
      </c>
    </row>
    <row r="1057" spans="4:4" ht="18.75" customHeight="1">
      <c r="D1057" s="180">
        <f t="shared" si="145"/>
        <v>1095</v>
      </c>
    </row>
    <row r="1058" spans="4:4" ht="18.75" customHeight="1">
      <c r="D1058" s="180">
        <f t="shared" si="145"/>
        <v>1095</v>
      </c>
    </row>
    <row r="1059" spans="4:4" ht="18.75" customHeight="1">
      <c r="D1059" s="180">
        <f t="shared" si="145"/>
        <v>1095</v>
      </c>
    </row>
    <row r="1060" spans="4:4" ht="18.75" customHeight="1">
      <c r="D1060" s="180">
        <f t="shared" si="145"/>
        <v>1095</v>
      </c>
    </row>
    <row r="1061" spans="4:4" ht="18.75" customHeight="1">
      <c r="D1061" s="180">
        <f t="shared" si="145"/>
        <v>1095</v>
      </c>
    </row>
    <row r="1062" spans="4:4" ht="18.75" customHeight="1">
      <c r="D1062" s="180">
        <f t="shared" si="145"/>
        <v>1095</v>
      </c>
    </row>
    <row r="1063" spans="4:4" ht="18.75" customHeight="1">
      <c r="D1063" s="180">
        <f t="shared" si="145"/>
        <v>1095</v>
      </c>
    </row>
    <row r="1064" spans="4:4" ht="18.75" customHeight="1">
      <c r="D1064" s="180">
        <f t="shared" si="145"/>
        <v>1095</v>
      </c>
    </row>
    <row r="1065" spans="4:4" ht="18.75" customHeight="1">
      <c r="D1065" s="180">
        <f t="shared" si="145"/>
        <v>1095</v>
      </c>
    </row>
    <row r="1066" spans="4:4" ht="18.75" customHeight="1">
      <c r="D1066" s="180">
        <f t="shared" si="145"/>
        <v>1095</v>
      </c>
    </row>
    <row r="1067" spans="4:4" ht="18.75" customHeight="1">
      <c r="D1067" s="180">
        <f t="shared" si="145"/>
        <v>1095</v>
      </c>
    </row>
    <row r="1068" spans="4:4" ht="18.75" customHeight="1">
      <c r="D1068" s="180">
        <f t="shared" si="145"/>
        <v>1095</v>
      </c>
    </row>
    <row r="1069" spans="4:4" ht="18.75" customHeight="1">
      <c r="D1069" s="180">
        <f t="shared" si="145"/>
        <v>1095</v>
      </c>
    </row>
    <row r="1070" spans="4:4" ht="18.75" customHeight="1">
      <c r="D1070" s="180">
        <f t="shared" si="145"/>
        <v>1095</v>
      </c>
    </row>
    <row r="1071" spans="4:4" ht="18.75" customHeight="1">
      <c r="D1071" s="180">
        <f t="shared" si="145"/>
        <v>1095</v>
      </c>
    </row>
    <row r="1072" spans="4:4" ht="18.75" customHeight="1">
      <c r="D1072" s="180">
        <f t="shared" si="145"/>
        <v>1095</v>
      </c>
    </row>
    <row r="1073" spans="4:4" ht="18.75" customHeight="1">
      <c r="D1073" s="180">
        <f t="shared" si="145"/>
        <v>1095</v>
      </c>
    </row>
    <row r="1074" spans="4:4" ht="18.75" customHeight="1">
      <c r="D1074" s="180">
        <f t="shared" si="145"/>
        <v>1095</v>
      </c>
    </row>
    <row r="1075" spans="4:4" ht="18.75" customHeight="1">
      <c r="D1075" s="180">
        <f t="shared" si="145"/>
        <v>1095</v>
      </c>
    </row>
    <row r="1076" spans="4:4" ht="18.75" customHeight="1">
      <c r="D1076" s="180">
        <f t="shared" si="145"/>
        <v>1095</v>
      </c>
    </row>
    <row r="1077" spans="4:4" ht="18.75" customHeight="1">
      <c r="D1077" s="180">
        <f t="shared" si="145"/>
        <v>1095</v>
      </c>
    </row>
    <row r="1078" spans="4:4" ht="18.75" customHeight="1">
      <c r="D1078" s="180">
        <f t="shared" si="145"/>
        <v>1095</v>
      </c>
    </row>
    <row r="1079" spans="4:4" ht="18.75" customHeight="1">
      <c r="D1079" s="180">
        <f t="shared" si="145"/>
        <v>1095</v>
      </c>
    </row>
    <row r="1080" spans="4:4" ht="18.75" customHeight="1">
      <c r="D1080" s="180">
        <f t="shared" si="145"/>
        <v>1095</v>
      </c>
    </row>
    <row r="1081" spans="4:4" ht="18.75" customHeight="1">
      <c r="D1081" s="180">
        <f t="shared" si="145"/>
        <v>1095</v>
      </c>
    </row>
    <row r="1082" spans="4:4" ht="18.75" customHeight="1">
      <c r="D1082" s="180">
        <f t="shared" si="145"/>
        <v>1095</v>
      </c>
    </row>
    <row r="1083" spans="4:4" ht="18.75" customHeight="1">
      <c r="D1083" s="180">
        <f t="shared" si="145"/>
        <v>1095</v>
      </c>
    </row>
    <row r="1084" spans="4:4" ht="18.75" customHeight="1">
      <c r="D1084" s="180">
        <f t="shared" si="145"/>
        <v>1095</v>
      </c>
    </row>
    <row r="1085" spans="4:4" ht="18.75" customHeight="1">
      <c r="D1085" s="180">
        <f t="shared" si="145"/>
        <v>1095</v>
      </c>
    </row>
    <row r="1086" spans="4:4" ht="18.75" customHeight="1">
      <c r="D1086" s="180">
        <f t="shared" si="145"/>
        <v>1095</v>
      </c>
    </row>
    <row r="1087" spans="4:4" ht="18.75" customHeight="1">
      <c r="D1087" s="180">
        <f t="shared" si="145"/>
        <v>1095</v>
      </c>
    </row>
    <row r="1088" spans="4:4" ht="18.75" customHeight="1">
      <c r="D1088" s="180">
        <f t="shared" si="145"/>
        <v>1095</v>
      </c>
    </row>
    <row r="1089" spans="4:4" ht="18.75" customHeight="1">
      <c r="D1089" s="180">
        <f t="shared" si="145"/>
        <v>1095</v>
      </c>
    </row>
    <row r="1090" spans="4:4" ht="18.75" customHeight="1">
      <c r="D1090" s="180">
        <f t="shared" si="145"/>
        <v>1095</v>
      </c>
    </row>
    <row r="1091" spans="4:4" ht="18.75" customHeight="1">
      <c r="D1091" s="180">
        <f t="shared" si="145"/>
        <v>1095</v>
      </c>
    </row>
    <row r="1092" spans="4:4" ht="18.75" customHeight="1">
      <c r="D1092" s="180">
        <f t="shared" si="145"/>
        <v>1095</v>
      </c>
    </row>
    <row r="1093" spans="4:4" ht="18.75" customHeight="1">
      <c r="D1093" s="180">
        <f t="shared" si="145"/>
        <v>1095</v>
      </c>
    </row>
    <row r="1094" spans="4:4" ht="18.75" customHeight="1">
      <c r="D1094" s="180">
        <f t="shared" si="145"/>
        <v>1095</v>
      </c>
    </row>
    <row r="1095" spans="4:4" ht="18.75" customHeight="1">
      <c r="D1095" s="180">
        <f t="shared" si="145"/>
        <v>1095</v>
      </c>
    </row>
    <row r="1096" spans="4:4" ht="18.75" customHeight="1">
      <c r="D1096" s="180">
        <f t="shared" si="145"/>
        <v>1095</v>
      </c>
    </row>
    <row r="1097" spans="4:4" ht="18.75" customHeight="1">
      <c r="D1097" s="180">
        <f t="shared" si="145"/>
        <v>1095</v>
      </c>
    </row>
    <row r="1098" spans="4:4" ht="18.75" customHeight="1">
      <c r="D1098" s="180">
        <f t="shared" si="145"/>
        <v>1095</v>
      </c>
    </row>
    <row r="1099" spans="4:4" ht="18.75" customHeight="1">
      <c r="D1099" s="180">
        <f t="shared" si="145"/>
        <v>1095</v>
      </c>
    </row>
    <row r="1100" spans="4:4" ht="18.75" customHeight="1">
      <c r="D1100" s="180">
        <f t="shared" si="145"/>
        <v>1095</v>
      </c>
    </row>
    <row r="1101" spans="4:4" ht="18.75" customHeight="1">
      <c r="D1101" s="180">
        <f t="shared" si="145"/>
        <v>1095</v>
      </c>
    </row>
    <row r="1102" spans="4:4" ht="18.75" customHeight="1">
      <c r="D1102" s="180">
        <f t="shared" si="145"/>
        <v>1095</v>
      </c>
    </row>
    <row r="1103" spans="4:4" ht="18.75" customHeight="1">
      <c r="D1103" s="180">
        <f t="shared" si="145"/>
        <v>1095</v>
      </c>
    </row>
    <row r="1104" spans="4:4" ht="18.75" customHeight="1">
      <c r="D1104" s="180">
        <f t="shared" si="145"/>
        <v>1095</v>
      </c>
    </row>
    <row r="1105" spans="4:4" ht="18.75" customHeight="1">
      <c r="D1105" s="180">
        <f t="shared" si="145"/>
        <v>1095</v>
      </c>
    </row>
    <row r="1106" spans="4:4" ht="18.75" customHeight="1">
      <c r="D1106" s="180">
        <f t="shared" si="145"/>
        <v>1095</v>
      </c>
    </row>
    <row r="1107" spans="4:4" ht="18.75" customHeight="1">
      <c r="D1107" s="180">
        <f t="shared" si="145"/>
        <v>1095</v>
      </c>
    </row>
    <row r="1108" spans="4:4" ht="18.75" customHeight="1">
      <c r="D1108" s="180">
        <f t="shared" si="145"/>
        <v>1095</v>
      </c>
    </row>
    <row r="1109" spans="4:4" ht="18.75" customHeight="1">
      <c r="D1109" s="180">
        <f t="shared" si="145"/>
        <v>1095</v>
      </c>
    </row>
    <row r="1110" spans="4:4" ht="18.75" customHeight="1">
      <c r="D1110" s="180">
        <f t="shared" si="145"/>
        <v>1095</v>
      </c>
    </row>
    <row r="1111" spans="4:4" ht="18.75" customHeight="1">
      <c r="D1111" s="180">
        <f t="shared" si="145"/>
        <v>1095</v>
      </c>
    </row>
    <row r="1112" spans="4:4" ht="18.75" customHeight="1">
      <c r="D1112" s="180">
        <f t="shared" si="145"/>
        <v>1095</v>
      </c>
    </row>
    <row r="1113" spans="4:4" ht="18.75" customHeight="1">
      <c r="D1113" s="180">
        <f t="shared" si="145"/>
        <v>1095</v>
      </c>
    </row>
    <row r="1114" spans="4:4" ht="18.75" customHeight="1">
      <c r="D1114" s="180">
        <f t="shared" si="145"/>
        <v>1095</v>
      </c>
    </row>
    <row r="1115" spans="4:4" ht="18.75" customHeight="1">
      <c r="D1115" s="180">
        <f t="shared" ref="D1115:D1178" si="146">IF(C1115="A1 - 1 ano PJ",365,IF(C1115="A1 - 1 ano PF",365,(365*3)))</f>
        <v>1095</v>
      </c>
    </row>
    <row r="1116" spans="4:4" ht="18.75" customHeight="1">
      <c r="D1116" s="180">
        <f t="shared" si="146"/>
        <v>1095</v>
      </c>
    </row>
    <row r="1117" spans="4:4" ht="18.75" customHeight="1">
      <c r="D1117" s="180">
        <f t="shared" si="146"/>
        <v>1095</v>
      </c>
    </row>
    <row r="1118" spans="4:4" ht="18.75" customHeight="1">
      <c r="D1118" s="180">
        <f t="shared" si="146"/>
        <v>1095</v>
      </c>
    </row>
    <row r="1119" spans="4:4" ht="18.75" customHeight="1">
      <c r="D1119" s="180">
        <f t="shared" si="146"/>
        <v>1095</v>
      </c>
    </row>
    <row r="1120" spans="4:4" ht="18.75" customHeight="1">
      <c r="D1120" s="180">
        <f t="shared" si="146"/>
        <v>1095</v>
      </c>
    </row>
    <row r="1121" spans="4:4" ht="18.75" customHeight="1">
      <c r="D1121" s="180">
        <f t="shared" si="146"/>
        <v>1095</v>
      </c>
    </row>
    <row r="1122" spans="4:4" ht="18.75" customHeight="1">
      <c r="D1122" s="180">
        <f t="shared" si="146"/>
        <v>1095</v>
      </c>
    </row>
    <row r="1123" spans="4:4" ht="18.75" customHeight="1">
      <c r="D1123" s="180">
        <f t="shared" si="146"/>
        <v>1095</v>
      </c>
    </row>
    <row r="1124" spans="4:4" ht="18.75" customHeight="1">
      <c r="D1124" s="180">
        <f t="shared" si="146"/>
        <v>1095</v>
      </c>
    </row>
    <row r="1125" spans="4:4" ht="18.75" customHeight="1">
      <c r="D1125" s="180">
        <f t="shared" si="146"/>
        <v>1095</v>
      </c>
    </row>
    <row r="1126" spans="4:4" ht="18.75" customHeight="1">
      <c r="D1126" s="180">
        <f t="shared" si="146"/>
        <v>1095</v>
      </c>
    </row>
    <row r="1127" spans="4:4" ht="18.75" customHeight="1">
      <c r="D1127" s="180">
        <f t="shared" si="146"/>
        <v>1095</v>
      </c>
    </row>
    <row r="1128" spans="4:4" ht="18.75" customHeight="1">
      <c r="D1128" s="180">
        <f t="shared" si="146"/>
        <v>1095</v>
      </c>
    </row>
    <row r="1129" spans="4:4" ht="18.75" customHeight="1">
      <c r="D1129" s="180">
        <f t="shared" si="146"/>
        <v>1095</v>
      </c>
    </row>
    <row r="1130" spans="4:4" ht="18.75" customHeight="1">
      <c r="D1130" s="180">
        <f t="shared" si="146"/>
        <v>1095</v>
      </c>
    </row>
    <row r="1131" spans="4:4" ht="18.75" customHeight="1">
      <c r="D1131" s="180">
        <f t="shared" si="146"/>
        <v>1095</v>
      </c>
    </row>
    <row r="1132" spans="4:4" ht="18.75" customHeight="1">
      <c r="D1132" s="180">
        <f t="shared" si="146"/>
        <v>1095</v>
      </c>
    </row>
    <row r="1133" spans="4:4" ht="18.75" customHeight="1">
      <c r="D1133" s="180">
        <f t="shared" si="146"/>
        <v>1095</v>
      </c>
    </row>
    <row r="1134" spans="4:4" ht="18.75" customHeight="1">
      <c r="D1134" s="180">
        <f t="shared" si="146"/>
        <v>1095</v>
      </c>
    </row>
    <row r="1135" spans="4:4" ht="18.75" customHeight="1">
      <c r="D1135" s="180">
        <f t="shared" si="146"/>
        <v>1095</v>
      </c>
    </row>
    <row r="1136" spans="4:4" ht="18.75" customHeight="1">
      <c r="D1136" s="180">
        <f t="shared" si="146"/>
        <v>1095</v>
      </c>
    </row>
    <row r="1137" spans="4:4" ht="18.75" customHeight="1">
      <c r="D1137" s="180">
        <f t="shared" si="146"/>
        <v>1095</v>
      </c>
    </row>
    <row r="1138" spans="4:4" ht="18.75" customHeight="1">
      <c r="D1138" s="180">
        <f t="shared" si="146"/>
        <v>1095</v>
      </c>
    </row>
    <row r="1139" spans="4:4" ht="18.75" customHeight="1">
      <c r="D1139" s="180">
        <f t="shared" si="146"/>
        <v>1095</v>
      </c>
    </row>
    <row r="1140" spans="4:4" ht="18.75" customHeight="1">
      <c r="D1140" s="180">
        <f t="shared" si="146"/>
        <v>1095</v>
      </c>
    </row>
    <row r="1141" spans="4:4" ht="18.75" customHeight="1">
      <c r="D1141" s="180">
        <f t="shared" si="146"/>
        <v>1095</v>
      </c>
    </row>
    <row r="1142" spans="4:4" ht="18.75" customHeight="1">
      <c r="D1142" s="180">
        <f t="shared" si="146"/>
        <v>1095</v>
      </c>
    </row>
    <row r="1143" spans="4:4" ht="18.75" customHeight="1">
      <c r="D1143" s="180">
        <f t="shared" si="146"/>
        <v>1095</v>
      </c>
    </row>
    <row r="1144" spans="4:4" ht="18.75" customHeight="1">
      <c r="D1144" s="180">
        <f t="shared" si="146"/>
        <v>1095</v>
      </c>
    </row>
    <row r="1145" spans="4:4" ht="18.75" customHeight="1">
      <c r="D1145" s="180">
        <f t="shared" si="146"/>
        <v>1095</v>
      </c>
    </row>
    <row r="1146" spans="4:4" ht="18.75" customHeight="1">
      <c r="D1146" s="180">
        <f t="shared" si="146"/>
        <v>1095</v>
      </c>
    </row>
    <row r="1147" spans="4:4" ht="18.75" customHeight="1">
      <c r="D1147" s="180">
        <f t="shared" si="146"/>
        <v>1095</v>
      </c>
    </row>
    <row r="1148" spans="4:4" ht="18.75" customHeight="1">
      <c r="D1148" s="180">
        <f t="shared" si="146"/>
        <v>1095</v>
      </c>
    </row>
    <row r="1149" spans="4:4" ht="18.75" customHeight="1">
      <c r="D1149" s="180">
        <f t="shared" si="146"/>
        <v>1095</v>
      </c>
    </row>
    <row r="1150" spans="4:4" ht="18.75" customHeight="1">
      <c r="D1150" s="180">
        <f t="shared" si="146"/>
        <v>1095</v>
      </c>
    </row>
    <row r="1151" spans="4:4" ht="18.75" customHeight="1">
      <c r="D1151" s="180">
        <f t="shared" si="146"/>
        <v>1095</v>
      </c>
    </row>
    <row r="1152" spans="4:4" ht="18.75" customHeight="1">
      <c r="D1152" s="180">
        <f t="shared" si="146"/>
        <v>1095</v>
      </c>
    </row>
    <row r="1153" spans="4:4" ht="18.75" customHeight="1">
      <c r="D1153" s="180">
        <f t="shared" si="146"/>
        <v>1095</v>
      </c>
    </row>
    <row r="1154" spans="4:4" ht="18.75" customHeight="1">
      <c r="D1154" s="180">
        <f t="shared" si="146"/>
        <v>1095</v>
      </c>
    </row>
    <row r="1155" spans="4:4" ht="18.75" customHeight="1">
      <c r="D1155" s="180">
        <f t="shared" si="146"/>
        <v>1095</v>
      </c>
    </row>
    <row r="1156" spans="4:4" ht="18.75" customHeight="1">
      <c r="D1156" s="180">
        <f t="shared" si="146"/>
        <v>1095</v>
      </c>
    </row>
    <row r="1157" spans="4:4" ht="18.75" customHeight="1">
      <c r="D1157" s="180">
        <f t="shared" si="146"/>
        <v>1095</v>
      </c>
    </row>
    <row r="1158" spans="4:4" ht="18.75" customHeight="1">
      <c r="D1158" s="180">
        <f t="shared" si="146"/>
        <v>1095</v>
      </c>
    </row>
    <row r="1159" spans="4:4" ht="18.75" customHeight="1">
      <c r="D1159" s="180">
        <f t="shared" si="146"/>
        <v>1095</v>
      </c>
    </row>
    <row r="1160" spans="4:4" ht="18.75" customHeight="1">
      <c r="D1160" s="180">
        <f t="shared" si="146"/>
        <v>1095</v>
      </c>
    </row>
    <row r="1161" spans="4:4" ht="18.75" customHeight="1">
      <c r="D1161" s="180">
        <f t="shared" si="146"/>
        <v>1095</v>
      </c>
    </row>
    <row r="1162" spans="4:4" ht="18.75" customHeight="1">
      <c r="D1162" s="180">
        <f t="shared" si="146"/>
        <v>1095</v>
      </c>
    </row>
    <row r="1163" spans="4:4" ht="18.75" customHeight="1">
      <c r="D1163" s="180">
        <f t="shared" si="146"/>
        <v>1095</v>
      </c>
    </row>
    <row r="1164" spans="4:4" ht="18.75" customHeight="1">
      <c r="D1164" s="180">
        <f t="shared" si="146"/>
        <v>1095</v>
      </c>
    </row>
    <row r="1165" spans="4:4" ht="18.75" customHeight="1">
      <c r="D1165" s="180">
        <f t="shared" si="146"/>
        <v>1095</v>
      </c>
    </row>
    <row r="1166" spans="4:4" ht="18.75" customHeight="1">
      <c r="D1166" s="180">
        <f t="shared" si="146"/>
        <v>1095</v>
      </c>
    </row>
    <row r="1167" spans="4:4" ht="18.75" customHeight="1">
      <c r="D1167" s="180">
        <f t="shared" si="146"/>
        <v>1095</v>
      </c>
    </row>
    <row r="1168" spans="4:4" ht="18.75" customHeight="1">
      <c r="D1168" s="180">
        <f t="shared" si="146"/>
        <v>1095</v>
      </c>
    </row>
    <row r="1169" spans="4:4" ht="18.75" customHeight="1">
      <c r="D1169" s="180">
        <f t="shared" si="146"/>
        <v>1095</v>
      </c>
    </row>
    <row r="1170" spans="4:4" ht="18.75" customHeight="1">
      <c r="D1170" s="180">
        <f t="shared" si="146"/>
        <v>1095</v>
      </c>
    </row>
    <row r="1171" spans="4:4" ht="18.75" customHeight="1">
      <c r="D1171" s="180">
        <f t="shared" si="146"/>
        <v>1095</v>
      </c>
    </row>
    <row r="1172" spans="4:4" ht="18.75" customHeight="1">
      <c r="D1172" s="180">
        <f t="shared" si="146"/>
        <v>1095</v>
      </c>
    </row>
    <row r="1173" spans="4:4" ht="18.75" customHeight="1">
      <c r="D1173" s="180">
        <f t="shared" si="146"/>
        <v>1095</v>
      </c>
    </row>
    <row r="1174" spans="4:4" ht="18.75" customHeight="1">
      <c r="D1174" s="180">
        <f t="shared" si="146"/>
        <v>1095</v>
      </c>
    </row>
    <row r="1175" spans="4:4" ht="18.75" customHeight="1">
      <c r="D1175" s="180">
        <f t="shared" si="146"/>
        <v>1095</v>
      </c>
    </row>
    <row r="1176" spans="4:4" ht="18.75" customHeight="1">
      <c r="D1176" s="180">
        <f t="shared" si="146"/>
        <v>1095</v>
      </c>
    </row>
    <row r="1177" spans="4:4" ht="18.75" customHeight="1">
      <c r="D1177" s="180">
        <f t="shared" si="146"/>
        <v>1095</v>
      </c>
    </row>
    <row r="1178" spans="4:4" ht="18.75" customHeight="1">
      <c r="D1178" s="180">
        <f t="shared" si="146"/>
        <v>1095</v>
      </c>
    </row>
    <row r="1179" spans="4:4" ht="18.75" customHeight="1">
      <c r="D1179" s="180">
        <f t="shared" ref="D1179:D1242" si="147">IF(C1179="A1 - 1 ano PJ",365,IF(C1179="A1 - 1 ano PF",365,(365*3)))</f>
        <v>1095</v>
      </c>
    </row>
    <row r="1180" spans="4:4" ht="18.75" customHeight="1">
      <c r="D1180" s="180">
        <f t="shared" si="147"/>
        <v>1095</v>
      </c>
    </row>
    <row r="1181" spans="4:4" ht="18.75" customHeight="1">
      <c r="D1181" s="180">
        <f t="shared" si="147"/>
        <v>1095</v>
      </c>
    </row>
    <row r="1182" spans="4:4" ht="18.75" customHeight="1">
      <c r="D1182" s="180">
        <f t="shared" si="147"/>
        <v>1095</v>
      </c>
    </row>
    <row r="1183" spans="4:4" ht="18.75" customHeight="1">
      <c r="D1183" s="180">
        <f t="shared" si="147"/>
        <v>1095</v>
      </c>
    </row>
    <row r="1184" spans="4:4" ht="18.75" customHeight="1">
      <c r="D1184" s="180">
        <f t="shared" si="147"/>
        <v>1095</v>
      </c>
    </row>
    <row r="1185" spans="4:4" ht="18.75" customHeight="1">
      <c r="D1185" s="180">
        <f t="shared" si="147"/>
        <v>1095</v>
      </c>
    </row>
    <row r="1186" spans="4:4" ht="18.75" customHeight="1">
      <c r="D1186" s="180">
        <f t="shared" si="147"/>
        <v>1095</v>
      </c>
    </row>
    <row r="1187" spans="4:4" ht="18.75" customHeight="1">
      <c r="D1187" s="180">
        <f t="shared" si="147"/>
        <v>1095</v>
      </c>
    </row>
    <row r="1188" spans="4:4" ht="18.75" customHeight="1">
      <c r="D1188" s="180">
        <f t="shared" si="147"/>
        <v>1095</v>
      </c>
    </row>
    <row r="1189" spans="4:4" ht="18.75" customHeight="1">
      <c r="D1189" s="180">
        <f t="shared" si="147"/>
        <v>1095</v>
      </c>
    </row>
    <row r="1190" spans="4:4" ht="18.75" customHeight="1">
      <c r="D1190" s="180">
        <f t="shared" si="147"/>
        <v>1095</v>
      </c>
    </row>
    <row r="1191" spans="4:4" ht="18.75" customHeight="1">
      <c r="D1191" s="180">
        <f t="shared" si="147"/>
        <v>1095</v>
      </c>
    </row>
    <row r="1192" spans="4:4" ht="18.75" customHeight="1">
      <c r="D1192" s="180">
        <f t="shared" si="147"/>
        <v>1095</v>
      </c>
    </row>
    <row r="1193" spans="4:4" ht="18.75" customHeight="1">
      <c r="D1193" s="180">
        <f t="shared" si="147"/>
        <v>1095</v>
      </c>
    </row>
    <row r="1194" spans="4:4" ht="18.75" customHeight="1">
      <c r="D1194" s="180">
        <f t="shared" si="147"/>
        <v>1095</v>
      </c>
    </row>
    <row r="1195" spans="4:4" ht="18.75" customHeight="1">
      <c r="D1195" s="180">
        <f t="shared" si="147"/>
        <v>1095</v>
      </c>
    </row>
    <row r="1196" spans="4:4" ht="18.75" customHeight="1">
      <c r="D1196" s="180">
        <f t="shared" si="147"/>
        <v>1095</v>
      </c>
    </row>
    <row r="1197" spans="4:4" ht="18.75" customHeight="1">
      <c r="D1197" s="180">
        <f t="shared" si="147"/>
        <v>1095</v>
      </c>
    </row>
    <row r="1198" spans="4:4" ht="18.75" customHeight="1">
      <c r="D1198" s="180">
        <f t="shared" si="147"/>
        <v>1095</v>
      </c>
    </row>
    <row r="1199" spans="4:4" ht="18.75" customHeight="1">
      <c r="D1199" s="180">
        <f t="shared" si="147"/>
        <v>1095</v>
      </c>
    </row>
    <row r="1200" spans="4:4" ht="18.75" customHeight="1">
      <c r="D1200" s="180">
        <f t="shared" si="147"/>
        <v>1095</v>
      </c>
    </row>
    <row r="1201" spans="4:4" ht="18.75" customHeight="1">
      <c r="D1201" s="180">
        <f t="shared" si="147"/>
        <v>1095</v>
      </c>
    </row>
    <row r="1202" spans="4:4" ht="18.75" customHeight="1">
      <c r="D1202" s="180">
        <f t="shared" si="147"/>
        <v>1095</v>
      </c>
    </row>
    <row r="1203" spans="4:4" ht="18.75" customHeight="1">
      <c r="D1203" s="180">
        <f t="shared" si="147"/>
        <v>1095</v>
      </c>
    </row>
    <row r="1204" spans="4:4" ht="18.75" customHeight="1">
      <c r="D1204" s="180">
        <f t="shared" si="147"/>
        <v>1095</v>
      </c>
    </row>
    <row r="1205" spans="4:4" ht="18.75" customHeight="1">
      <c r="D1205" s="180">
        <f t="shared" si="147"/>
        <v>1095</v>
      </c>
    </row>
    <row r="1206" spans="4:4" ht="18.75" customHeight="1">
      <c r="D1206" s="180">
        <f t="shared" si="147"/>
        <v>1095</v>
      </c>
    </row>
    <row r="1207" spans="4:4" ht="18.75" customHeight="1">
      <c r="D1207" s="180">
        <f t="shared" si="147"/>
        <v>1095</v>
      </c>
    </row>
    <row r="1208" spans="4:4" ht="18.75" customHeight="1">
      <c r="D1208" s="180">
        <f t="shared" si="147"/>
        <v>1095</v>
      </c>
    </row>
    <row r="1209" spans="4:4" ht="18.75" customHeight="1">
      <c r="D1209" s="180">
        <f t="shared" si="147"/>
        <v>1095</v>
      </c>
    </row>
    <row r="1210" spans="4:4" ht="18.75" customHeight="1">
      <c r="D1210" s="180">
        <f t="shared" si="147"/>
        <v>1095</v>
      </c>
    </row>
    <row r="1211" spans="4:4" ht="18.75" customHeight="1">
      <c r="D1211" s="180">
        <f t="shared" si="147"/>
        <v>1095</v>
      </c>
    </row>
    <row r="1212" spans="4:4" ht="18.75" customHeight="1">
      <c r="D1212" s="180">
        <f t="shared" si="147"/>
        <v>1095</v>
      </c>
    </row>
    <row r="1213" spans="4:4" ht="18.75" customHeight="1">
      <c r="D1213" s="180">
        <f t="shared" si="147"/>
        <v>1095</v>
      </c>
    </row>
    <row r="1214" spans="4:4" ht="18.75" customHeight="1">
      <c r="D1214" s="180">
        <f t="shared" si="147"/>
        <v>1095</v>
      </c>
    </row>
    <row r="1215" spans="4:4" ht="18.75" customHeight="1">
      <c r="D1215" s="180">
        <f t="shared" si="147"/>
        <v>1095</v>
      </c>
    </row>
    <row r="1216" spans="4:4" ht="18.75" customHeight="1">
      <c r="D1216" s="180">
        <f t="shared" si="147"/>
        <v>1095</v>
      </c>
    </row>
    <row r="1217" spans="4:4" ht="18.75" customHeight="1">
      <c r="D1217" s="180">
        <f t="shared" si="147"/>
        <v>1095</v>
      </c>
    </row>
    <row r="1218" spans="4:4" ht="18.75" customHeight="1">
      <c r="D1218" s="180">
        <f t="shared" si="147"/>
        <v>1095</v>
      </c>
    </row>
    <row r="1219" spans="4:4" ht="18.75" customHeight="1">
      <c r="D1219" s="180">
        <f t="shared" si="147"/>
        <v>1095</v>
      </c>
    </row>
    <row r="1220" spans="4:4" ht="18.75" customHeight="1">
      <c r="D1220" s="180">
        <f t="shared" si="147"/>
        <v>1095</v>
      </c>
    </row>
    <row r="1221" spans="4:4" ht="18.75" customHeight="1">
      <c r="D1221" s="180">
        <f t="shared" si="147"/>
        <v>1095</v>
      </c>
    </row>
    <row r="1222" spans="4:4" ht="18.75" customHeight="1">
      <c r="D1222" s="180">
        <f t="shared" si="147"/>
        <v>1095</v>
      </c>
    </row>
    <row r="1223" spans="4:4" ht="18.75" customHeight="1">
      <c r="D1223" s="180">
        <f t="shared" si="147"/>
        <v>1095</v>
      </c>
    </row>
    <row r="1224" spans="4:4" ht="18.75" customHeight="1">
      <c r="D1224" s="180">
        <f t="shared" si="147"/>
        <v>1095</v>
      </c>
    </row>
    <row r="1225" spans="4:4" ht="18.75" customHeight="1">
      <c r="D1225" s="180">
        <f t="shared" si="147"/>
        <v>1095</v>
      </c>
    </row>
    <row r="1226" spans="4:4" ht="18.75" customHeight="1">
      <c r="D1226" s="180">
        <f t="shared" si="147"/>
        <v>1095</v>
      </c>
    </row>
    <row r="1227" spans="4:4" ht="18.75" customHeight="1">
      <c r="D1227" s="180">
        <f t="shared" si="147"/>
        <v>1095</v>
      </c>
    </row>
    <row r="1228" spans="4:4" ht="18.75" customHeight="1">
      <c r="D1228" s="180">
        <f t="shared" si="147"/>
        <v>1095</v>
      </c>
    </row>
    <row r="1229" spans="4:4" ht="18.75" customHeight="1">
      <c r="D1229" s="180">
        <f t="shared" si="147"/>
        <v>1095</v>
      </c>
    </row>
    <row r="1230" spans="4:4" ht="18.75" customHeight="1">
      <c r="D1230" s="180">
        <f t="shared" si="147"/>
        <v>1095</v>
      </c>
    </row>
    <row r="1231" spans="4:4" ht="18.75" customHeight="1">
      <c r="D1231" s="180">
        <f t="shared" si="147"/>
        <v>1095</v>
      </c>
    </row>
    <row r="1232" spans="4:4" ht="18.75" customHeight="1">
      <c r="D1232" s="180">
        <f t="shared" si="147"/>
        <v>1095</v>
      </c>
    </row>
    <row r="1233" spans="4:4" ht="18.75" customHeight="1">
      <c r="D1233" s="180">
        <f t="shared" si="147"/>
        <v>1095</v>
      </c>
    </row>
    <row r="1234" spans="4:4" ht="18.75" customHeight="1">
      <c r="D1234" s="180">
        <f t="shared" si="147"/>
        <v>1095</v>
      </c>
    </row>
    <row r="1235" spans="4:4" ht="18.75" customHeight="1">
      <c r="D1235" s="180">
        <f t="shared" si="147"/>
        <v>1095</v>
      </c>
    </row>
    <row r="1236" spans="4:4" ht="18.75" customHeight="1">
      <c r="D1236" s="180">
        <f t="shared" si="147"/>
        <v>1095</v>
      </c>
    </row>
    <row r="1237" spans="4:4" ht="18.75" customHeight="1">
      <c r="D1237" s="180">
        <f t="shared" si="147"/>
        <v>1095</v>
      </c>
    </row>
    <row r="1238" spans="4:4" ht="18.75" customHeight="1">
      <c r="D1238" s="180">
        <f t="shared" si="147"/>
        <v>1095</v>
      </c>
    </row>
    <row r="1239" spans="4:4" ht="18.75" customHeight="1">
      <c r="D1239" s="180">
        <f t="shared" si="147"/>
        <v>1095</v>
      </c>
    </row>
    <row r="1240" spans="4:4" ht="18.75" customHeight="1">
      <c r="D1240" s="180">
        <f t="shared" si="147"/>
        <v>1095</v>
      </c>
    </row>
    <row r="1241" spans="4:4" ht="18.75" customHeight="1">
      <c r="D1241" s="180">
        <f t="shared" si="147"/>
        <v>1095</v>
      </c>
    </row>
    <row r="1242" spans="4:4" ht="18.75" customHeight="1">
      <c r="D1242" s="180">
        <f t="shared" si="147"/>
        <v>1095</v>
      </c>
    </row>
    <row r="1243" spans="4:4" ht="18.75" customHeight="1">
      <c r="D1243" s="180">
        <f t="shared" ref="D1243:D1264" si="148">IF(C1243="A1 - 1 ano PJ",365,IF(C1243="A1 - 1 ano PF",365,(365*3)))</f>
        <v>1095</v>
      </c>
    </row>
    <row r="1244" spans="4:4" ht="18.75" customHeight="1">
      <c r="D1244" s="180">
        <f t="shared" si="148"/>
        <v>1095</v>
      </c>
    </row>
    <row r="1245" spans="4:4" ht="18.75" customHeight="1">
      <c r="D1245" s="180">
        <f t="shared" si="148"/>
        <v>1095</v>
      </c>
    </row>
    <row r="1246" spans="4:4" ht="18.75" customHeight="1">
      <c r="D1246" s="180">
        <f t="shared" si="148"/>
        <v>1095</v>
      </c>
    </row>
    <row r="1247" spans="4:4" ht="18.75" customHeight="1">
      <c r="D1247" s="180">
        <f t="shared" si="148"/>
        <v>1095</v>
      </c>
    </row>
    <row r="1248" spans="4:4" ht="18.75" customHeight="1">
      <c r="D1248" s="180">
        <f t="shared" si="148"/>
        <v>1095</v>
      </c>
    </row>
    <row r="1249" spans="4:4" ht="18.75" customHeight="1">
      <c r="D1249" s="180">
        <f t="shared" si="148"/>
        <v>1095</v>
      </c>
    </row>
    <row r="1250" spans="4:4" ht="18.75" customHeight="1">
      <c r="D1250" s="180">
        <f t="shared" si="148"/>
        <v>1095</v>
      </c>
    </row>
    <row r="1251" spans="4:4" ht="18.75" customHeight="1">
      <c r="D1251" s="180">
        <f t="shared" si="148"/>
        <v>1095</v>
      </c>
    </row>
    <row r="1252" spans="4:4" ht="18.75" customHeight="1">
      <c r="D1252" s="180">
        <f t="shared" si="148"/>
        <v>1095</v>
      </c>
    </row>
    <row r="1253" spans="4:4" ht="18.75" customHeight="1">
      <c r="D1253" s="180">
        <f t="shared" si="148"/>
        <v>1095</v>
      </c>
    </row>
    <row r="1254" spans="4:4" ht="18.75" customHeight="1">
      <c r="D1254" s="180">
        <f t="shared" si="148"/>
        <v>1095</v>
      </c>
    </row>
    <row r="1255" spans="4:4" ht="18.75" customHeight="1">
      <c r="D1255" s="180">
        <f t="shared" si="148"/>
        <v>1095</v>
      </c>
    </row>
    <row r="1256" spans="4:4" ht="18.75" customHeight="1">
      <c r="D1256" s="180">
        <f t="shared" si="148"/>
        <v>1095</v>
      </c>
    </row>
    <row r="1257" spans="4:4" ht="18.75" customHeight="1">
      <c r="D1257" s="180">
        <f t="shared" si="148"/>
        <v>1095</v>
      </c>
    </row>
    <row r="1258" spans="4:4" ht="18.75" customHeight="1">
      <c r="D1258" s="180">
        <f t="shared" si="148"/>
        <v>1095</v>
      </c>
    </row>
    <row r="1259" spans="4:4" ht="18.75" customHeight="1">
      <c r="D1259" s="180">
        <f t="shared" si="148"/>
        <v>1095</v>
      </c>
    </row>
    <row r="1260" spans="4:4" ht="18.75" customHeight="1">
      <c r="D1260" s="180">
        <f t="shared" si="148"/>
        <v>1095</v>
      </c>
    </row>
    <row r="1261" spans="4:4" ht="18.75" customHeight="1">
      <c r="D1261" s="180">
        <f t="shared" si="148"/>
        <v>1095</v>
      </c>
    </row>
    <row r="1262" spans="4:4" ht="18.75" customHeight="1">
      <c r="D1262" s="180">
        <f t="shared" si="148"/>
        <v>1095</v>
      </c>
    </row>
    <row r="1263" spans="4:4" ht="18.75" customHeight="1">
      <c r="D1263" s="180">
        <f t="shared" si="148"/>
        <v>1095</v>
      </c>
    </row>
    <row r="1264" spans="4:4" ht="18.75" customHeight="1">
      <c r="D1264" s="180">
        <f t="shared" si="148"/>
        <v>1095</v>
      </c>
    </row>
  </sheetData>
  <autoFilter ref="A561:O1264" xr:uid="{00000000-0001-0000-0200-000000000000}"/>
  <mergeCells count="25">
    <mergeCell ref="A378:M378"/>
    <mergeCell ref="A657:M657"/>
    <mergeCell ref="A485:M485"/>
    <mergeCell ref="A470:M470"/>
    <mergeCell ref="A451:M451"/>
    <mergeCell ref="A419:M419"/>
    <mergeCell ref="A556:M556"/>
    <mergeCell ref="A535:M535"/>
    <mergeCell ref="A643:M643"/>
    <mergeCell ref="A503:M503"/>
    <mergeCell ref="A615:M615"/>
    <mergeCell ref="A599:M599"/>
    <mergeCell ref="A574:M574"/>
    <mergeCell ref="B4:J5"/>
    <mergeCell ref="A284:M284"/>
    <mergeCell ref="A273:M274"/>
    <mergeCell ref="A302:M302"/>
    <mergeCell ref="A325:M325"/>
    <mergeCell ref="B685:N685"/>
    <mergeCell ref="A518:M518"/>
    <mergeCell ref="A778:M778"/>
    <mergeCell ref="A768:M768"/>
    <mergeCell ref="A751:M751"/>
    <mergeCell ref="A723:M723"/>
    <mergeCell ref="A737:M737"/>
  </mergeCells>
  <conditionalFormatting sqref="H2:H272 H275:H283 H285:H301 H303:H324 H326:H377 H379:H418 H420:H450 H471:H484 H486:H502 H452:H469 H504:H517 H536:H555 H557:H573 H519:H534 H600:H614 H575:H598 H616:H642 H644:H656 H658:H684 H686:H704 H706:H722 H724:H736 H738:H750 H752:H767 H769:H777 H779:H1048576">
    <cfRule type="cellIs" dxfId="2290" priority="2" operator="equal">
      <formula>"A VENCER"</formula>
    </cfRule>
    <cfRule type="cellIs" dxfId="2289" priority="3" operator="equal">
      <formula>"VÁLIDO"</formula>
    </cfRule>
    <cfRule type="cellIs" dxfId="2288" priority="4" operator="equal">
      <formula>"VENCIDO"</formula>
    </cfRule>
  </conditionalFormatting>
  <conditionalFormatting sqref="M2:M272 M275:M283 M285:M301 M303:M324 M326:M377 M379:M418 M420:M450 M471:M484 M486:M502 M452:M469 M504:M517 M536:M555 M557:M573 M519:M534 M600:M614 M575:M598 M616:M642 M644:M656 M658:M684 M686:M704 M706:M722 M724:M736 M738:M750 M752:M767 M769:M777 M779:M1048576">
    <cfRule type="cellIs" dxfId="2287" priority="1" operator="equal">
      <formula>"PAGO"</formula>
    </cfRule>
  </conditionalFormatting>
  <dataValidations count="2">
    <dataValidation type="list" allowBlank="1" showInputMessage="1" showErrorMessage="1" sqref="C9:C272 C275:C283 C285:C301 C303:C324 C326:C377 C379:C418 C420:C450 C471:C484 C452:C469 C486:C502 C504:C517 C536:C555 C519:C534 C557:C573 C575:C598 C600:C614 C616:C642 C644:C656 C658:C684 C686:C704 C706:C722 C724:C736 C738:C750 C814:C1048576 C752 C769:C777 C779:C812" xr:uid="{00000000-0002-0000-0200-000000000000}">
      <formula1>$M$3:$M$6</formula1>
    </dataValidation>
    <dataValidation type="list" allowBlank="1" showInputMessage="1" showErrorMessage="1" sqref="C813 C753:C767" xr:uid="{5F8F6395-1EB1-4A9C-BC25-63062241018D}">
      <formula1>$M$2:$M$6</formula1>
    </dataValidation>
  </dataValidations>
  <hyperlinks>
    <hyperlink ref="B1" location="dashboard!A1" display="RETONAR AO DASHBOARD" xr:uid="{00000000-0004-0000-02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AF54"/>
  <sheetViews>
    <sheetView showGridLines="0" topLeftCell="H4" zoomScale="50" zoomScaleNormal="50" workbookViewId="0">
      <selection activeCell="R35" sqref="R35"/>
    </sheetView>
  </sheetViews>
  <sheetFormatPr defaultColWidth="9.140625" defaultRowHeight="15"/>
  <cols>
    <col min="1" max="1" width="6.28515625" style="231" customWidth="1"/>
    <col min="2" max="6" width="9.140625" style="231"/>
    <col min="7" max="7" width="12.7109375" style="231" customWidth="1"/>
    <col min="8" max="10" width="9.140625" style="231"/>
    <col min="11" max="11" width="10.7109375" style="231" customWidth="1"/>
    <col min="12" max="12" width="5.85546875" style="231" customWidth="1"/>
    <col min="13" max="26" width="9.140625" style="231"/>
    <col min="27" max="27" width="4.5703125" style="231" customWidth="1"/>
    <col min="28" max="28" width="12.42578125" style="231" customWidth="1"/>
    <col min="29" max="33" width="12.85546875" style="231" customWidth="1"/>
    <col min="34" max="16384" width="9.140625" style="231"/>
  </cols>
  <sheetData>
    <row r="1" spans="1:32" ht="15.75">
      <c r="A1" s="359" t="s">
        <v>1605</v>
      </c>
      <c r="L1" s="231" t="s">
        <v>1096</v>
      </c>
    </row>
    <row r="4" spans="1:32" ht="50.25" customHeight="1"/>
    <row r="5" spans="1:32" s="331" customFormat="1" ht="5.25" customHeight="1"/>
    <row r="6" spans="1:32" s="462" customFormat="1" ht="27.75" customHeight="1"/>
    <row r="7" spans="1:32" s="462" customFormat="1" ht="31.5" customHeight="1"/>
    <row r="8" spans="1:32" s="331" customFormat="1" ht="11.25" customHeight="1"/>
    <row r="9" spans="1:32" ht="16.5" customHeight="1"/>
    <row r="11" spans="1:32">
      <c r="Z11" s="336"/>
      <c r="AA11" s="336"/>
      <c r="AB11" s="464"/>
      <c r="AC11" s="464"/>
      <c r="AD11" s="464"/>
      <c r="AE11" s="464"/>
      <c r="AF11" s="336"/>
    </row>
    <row r="12" spans="1:32">
      <c r="I12" s="232"/>
      <c r="Z12" s="336"/>
      <c r="AA12" s="336"/>
      <c r="AB12" s="464"/>
      <c r="AC12" s="464"/>
      <c r="AD12" s="464"/>
      <c r="AE12" s="464"/>
      <c r="AF12" s="336"/>
    </row>
    <row r="13" spans="1:32">
      <c r="Z13" s="336"/>
      <c r="AA13" s="336"/>
      <c r="AB13" s="464"/>
      <c r="AC13" s="464"/>
      <c r="AD13" s="464"/>
      <c r="AE13" s="464"/>
      <c r="AF13" s="336"/>
    </row>
    <row r="14" spans="1:32" ht="15" customHeight="1">
      <c r="Z14" s="336"/>
      <c r="AA14" s="336"/>
      <c r="AB14" s="463"/>
      <c r="AC14" s="463"/>
      <c r="AD14" s="463"/>
      <c r="AE14" s="463"/>
      <c r="AF14" s="336"/>
    </row>
    <row r="15" spans="1:32" ht="15.75" customHeight="1">
      <c r="Z15" s="336"/>
      <c r="AA15" s="336"/>
      <c r="AB15" s="463"/>
      <c r="AC15" s="463"/>
      <c r="AD15" s="463"/>
      <c r="AE15" s="463"/>
      <c r="AF15" s="336"/>
    </row>
    <row r="16" spans="1:32" ht="18.75">
      <c r="Z16" s="336"/>
      <c r="AA16" s="336"/>
      <c r="AB16" s="337"/>
      <c r="AC16" s="338"/>
      <c r="AD16" s="463"/>
      <c r="AE16" s="463"/>
      <c r="AF16" s="336"/>
    </row>
    <row r="17" spans="26:32" ht="18.75">
      <c r="Z17" s="336"/>
      <c r="AA17" s="336"/>
      <c r="AB17" s="337"/>
      <c r="AC17" s="337"/>
      <c r="AD17" s="463"/>
      <c r="AE17" s="463"/>
      <c r="AF17" s="336"/>
    </row>
    <row r="18" spans="26:32" ht="18.75">
      <c r="Z18" s="336"/>
      <c r="AA18" s="336"/>
      <c r="AB18" s="337"/>
      <c r="AC18" s="337"/>
      <c r="AD18" s="463"/>
      <c r="AE18" s="463"/>
      <c r="AF18" s="336"/>
    </row>
    <row r="19" spans="26:32" ht="18.75">
      <c r="Z19" s="336"/>
      <c r="AA19" s="336"/>
      <c r="AB19" s="337"/>
      <c r="AC19" s="337"/>
      <c r="AD19" s="463"/>
      <c r="AE19" s="463"/>
      <c r="AF19" s="336"/>
    </row>
    <row r="20" spans="26:32" ht="18.75">
      <c r="Z20" s="336"/>
      <c r="AA20" s="336"/>
      <c r="AB20" s="337"/>
      <c r="AC20" s="337"/>
      <c r="AD20" s="463"/>
      <c r="AE20" s="463"/>
      <c r="AF20" s="336"/>
    </row>
    <row r="21" spans="26:32" ht="18.75">
      <c r="Z21" s="336"/>
      <c r="AA21" s="336"/>
      <c r="AB21" s="337"/>
      <c r="AC21" s="337"/>
      <c r="AD21" s="463"/>
      <c r="AE21" s="463"/>
      <c r="AF21" s="336"/>
    </row>
    <row r="22" spans="26:32" ht="18.75">
      <c r="Z22" s="336"/>
      <c r="AA22" s="336"/>
      <c r="AB22" s="337"/>
      <c r="AC22" s="337"/>
      <c r="AD22" s="463"/>
      <c r="AE22" s="463"/>
      <c r="AF22" s="336"/>
    </row>
    <row r="23" spans="26:32" ht="18.75">
      <c r="Z23" s="336"/>
      <c r="AA23" s="336"/>
      <c r="AB23" s="337"/>
      <c r="AC23" s="337"/>
      <c r="AD23" s="463"/>
      <c r="AE23" s="463"/>
      <c r="AF23" s="336"/>
    </row>
    <row r="24" spans="26:32" ht="18.75">
      <c r="Z24" s="336"/>
      <c r="AA24" s="336"/>
      <c r="AB24" s="337"/>
      <c r="AC24" s="337"/>
      <c r="AD24" s="463"/>
      <c r="AE24" s="463"/>
      <c r="AF24" s="336"/>
    </row>
    <row r="25" spans="26:32">
      <c r="Z25" s="336"/>
      <c r="AA25" s="336"/>
      <c r="AB25" s="336"/>
      <c r="AC25" s="336"/>
      <c r="AD25" s="463"/>
      <c r="AE25" s="463"/>
      <c r="AF25" s="336"/>
    </row>
    <row r="26" spans="26:32">
      <c r="Z26" s="336"/>
      <c r="AA26" s="336"/>
      <c r="AB26" s="336"/>
      <c r="AC26" s="336"/>
      <c r="AD26" s="336"/>
      <c r="AE26" s="336"/>
      <c r="AF26" s="336"/>
    </row>
    <row r="36" spans="11:29">
      <c r="K36" s="465"/>
      <c r="L36" s="465"/>
      <c r="M36" s="465"/>
      <c r="N36" s="465"/>
      <c r="O36" s="465"/>
      <c r="P36" s="465"/>
      <c r="Q36" s="465"/>
      <c r="R36" s="465"/>
      <c r="S36" s="465"/>
      <c r="T36" s="465"/>
      <c r="U36" s="465"/>
      <c r="V36" s="465"/>
      <c r="W36" s="466"/>
      <c r="X36" s="466"/>
      <c r="Y36" s="466"/>
      <c r="Z36" s="466"/>
      <c r="AA36" s="466"/>
      <c r="AB36" s="466"/>
      <c r="AC36" s="466"/>
    </row>
    <row r="37" spans="11:29"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5"/>
      <c r="V37" s="465"/>
      <c r="W37" s="466"/>
      <c r="X37" s="466"/>
      <c r="Y37" s="466"/>
      <c r="Z37" s="466"/>
      <c r="AA37" s="466"/>
      <c r="AB37" s="466"/>
      <c r="AC37" s="466"/>
    </row>
    <row r="38" spans="11:29"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5"/>
      <c r="V38" s="465"/>
      <c r="W38" s="466"/>
      <c r="X38" s="466"/>
      <c r="Y38" s="466"/>
      <c r="Z38" s="466"/>
      <c r="AA38" s="466"/>
      <c r="AB38" s="466"/>
      <c r="AC38" s="466"/>
    </row>
    <row r="39" spans="11:29"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5"/>
      <c r="V39" s="465"/>
      <c r="W39" s="466"/>
      <c r="X39" s="466"/>
      <c r="Y39" s="466"/>
      <c r="Z39" s="466"/>
      <c r="AA39" s="466"/>
      <c r="AB39" s="466"/>
      <c r="AC39" s="466"/>
    </row>
    <row r="40" spans="11:29"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5"/>
      <c r="V40" s="465"/>
      <c r="W40" s="466"/>
      <c r="X40" s="466"/>
      <c r="Y40" s="466"/>
      <c r="Z40" s="466"/>
      <c r="AA40" s="466"/>
      <c r="AB40" s="466"/>
      <c r="AC40" s="466"/>
    </row>
    <row r="41" spans="11:29" ht="36.75">
      <c r="V41" s="349"/>
      <c r="W41" s="348"/>
    </row>
    <row r="44" spans="11:29" ht="36.75">
      <c r="K44" s="351"/>
      <c r="L44" s="348"/>
      <c r="R44" s="350"/>
    </row>
    <row r="48" spans="11:29" ht="36.75">
      <c r="X48" s="350"/>
      <c r="Y48" s="348"/>
    </row>
    <row r="54" spans="24:25" ht="36.75">
      <c r="X54" s="352"/>
      <c r="Y54" s="348"/>
    </row>
  </sheetData>
  <mergeCells count="12">
    <mergeCell ref="K36:V40"/>
    <mergeCell ref="AD16:AE17"/>
    <mergeCell ref="AD18:AE19"/>
    <mergeCell ref="AD20:AE21"/>
    <mergeCell ref="AD22:AE23"/>
    <mergeCell ref="AD24:AE25"/>
    <mergeCell ref="W36:AC40"/>
    <mergeCell ref="A6:XFD7"/>
    <mergeCell ref="AD14:AE15"/>
    <mergeCell ref="AC14:AC15"/>
    <mergeCell ref="AB14:AB15"/>
    <mergeCell ref="AB11:AE13"/>
  </mergeCells>
  <conditionalFormatting sqref="A1">
    <cfRule type="containsText" dxfId="2286" priority="3" operator="containsText" text="PENDENTE">
      <formula>NOT(ISERROR(SEARCH("PENDENTE",A1)))</formula>
    </cfRule>
    <cfRule type="containsText" dxfId="2285" priority="4" operator="containsText" text="PAGO">
      <formula>NOT(ISERROR(SEARCH("PAGO",A1)))</formula>
    </cfRule>
  </conditionalFormatting>
  <conditionalFormatting sqref="A1">
    <cfRule type="containsText" dxfId="2284" priority="1" operator="containsText" text="Malha">
      <formula>NOT(ISERROR(SEARCH("Malha",A1)))</formula>
    </cfRule>
    <cfRule type="containsText" dxfId="2283" priority="2" operator="containsText" text="OK">
      <formula>NOT(ISERROR(SEARCH("OK",A1)))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684"/>
  <sheetViews>
    <sheetView zoomScale="88" zoomScaleNormal="88" workbookViewId="0">
      <pane ySplit="2" topLeftCell="A282" activePane="bottomLeft" state="frozen"/>
      <selection activeCell="A2" sqref="A2"/>
      <selection pane="bottomLeft" sqref="A1:B1"/>
    </sheetView>
  </sheetViews>
  <sheetFormatPr defaultColWidth="18.5703125" defaultRowHeight="15"/>
  <cols>
    <col min="1" max="1" width="13.85546875" customWidth="1"/>
    <col min="2" max="2" width="29.85546875" customWidth="1"/>
    <col min="5" max="5" width="18" bestFit="1" customWidth="1"/>
  </cols>
  <sheetData>
    <row r="1" spans="1:16" s="142" customFormat="1" ht="22.5" customHeight="1" thickBot="1">
      <c r="A1" s="583" t="s">
        <v>1706</v>
      </c>
      <c r="B1" s="583"/>
      <c r="D1" s="347">
        <v>2023</v>
      </c>
      <c r="F1" s="367">
        <v>2024</v>
      </c>
    </row>
    <row r="2" spans="1:16" s="257" customFormat="1" ht="35.25" customHeight="1" thickTop="1" thickBot="1">
      <c r="A2" s="254">
        <v>2025</v>
      </c>
      <c r="B2" s="422">
        <f>SUM(P3:P684)</f>
        <v>628035.63</v>
      </c>
      <c r="C2" s="255">
        <v>45658</v>
      </c>
      <c r="D2" s="255">
        <v>45689</v>
      </c>
      <c r="E2" s="255">
        <v>45717</v>
      </c>
      <c r="F2" s="255">
        <v>45748</v>
      </c>
      <c r="G2" s="255">
        <v>45778</v>
      </c>
      <c r="H2" s="255">
        <v>45809</v>
      </c>
      <c r="I2" s="255">
        <v>45839</v>
      </c>
      <c r="J2" s="255">
        <v>45870</v>
      </c>
      <c r="K2" s="255">
        <v>45901</v>
      </c>
      <c r="L2" s="255">
        <v>45931</v>
      </c>
      <c r="M2" s="255">
        <v>45962</v>
      </c>
      <c r="N2" s="255" t="s">
        <v>1775</v>
      </c>
      <c r="O2" s="255">
        <v>45992</v>
      </c>
      <c r="P2" s="256" t="s">
        <v>1004</v>
      </c>
    </row>
    <row r="3" spans="1:16" ht="15" customHeight="1" thickTop="1">
      <c r="A3" s="496">
        <v>2</v>
      </c>
      <c r="B3" s="584" t="s">
        <v>148</v>
      </c>
      <c r="C3" s="585">
        <v>645</v>
      </c>
      <c r="D3" s="586">
        <v>645</v>
      </c>
      <c r="E3" s="586">
        <v>645</v>
      </c>
      <c r="F3" s="586">
        <v>645</v>
      </c>
      <c r="G3" s="586">
        <v>645</v>
      </c>
      <c r="H3" s="586"/>
      <c r="I3" s="502"/>
      <c r="J3" s="502"/>
      <c r="K3" s="502"/>
      <c r="L3" s="502"/>
      <c r="M3" s="502"/>
      <c r="N3" s="502"/>
      <c r="O3" s="589"/>
      <c r="P3" s="476">
        <f>SUM(C3:O4)</f>
        <v>3225</v>
      </c>
    </row>
    <row r="4" spans="1:16">
      <c r="A4" s="496"/>
      <c r="B4" s="507"/>
      <c r="C4" s="509"/>
      <c r="D4" s="503"/>
      <c r="E4" s="503"/>
      <c r="F4" s="503"/>
      <c r="G4" s="503"/>
      <c r="H4" s="503"/>
      <c r="I4" s="503"/>
      <c r="J4" s="503"/>
      <c r="K4" s="503"/>
      <c r="L4" s="503"/>
      <c r="M4" s="503"/>
      <c r="N4" s="503"/>
      <c r="O4" s="502"/>
      <c r="P4" s="445"/>
    </row>
    <row r="5" spans="1:16">
      <c r="A5" s="496"/>
      <c r="B5" s="81" t="s">
        <v>363</v>
      </c>
      <c r="C5" s="72">
        <v>45910</v>
      </c>
      <c r="D5" s="65">
        <v>45910</v>
      </c>
      <c r="E5" s="65">
        <v>46000</v>
      </c>
      <c r="F5" s="65">
        <v>46000</v>
      </c>
      <c r="G5" s="65">
        <v>46000</v>
      </c>
      <c r="H5" s="65"/>
      <c r="I5" s="64"/>
      <c r="J5" s="54"/>
      <c r="K5" s="54"/>
      <c r="L5" s="54"/>
      <c r="M5" s="54"/>
      <c r="N5" s="54"/>
      <c r="O5" s="54"/>
      <c r="P5" s="101"/>
    </row>
    <row r="6" spans="1:16">
      <c r="A6" s="471"/>
      <c r="B6" s="78" t="s">
        <v>377</v>
      </c>
      <c r="C6" s="73" t="s">
        <v>386</v>
      </c>
      <c r="D6" s="54" t="s">
        <v>386</v>
      </c>
      <c r="E6" s="54" t="s">
        <v>386</v>
      </c>
      <c r="F6" s="54" t="s">
        <v>386</v>
      </c>
      <c r="G6" s="54" t="s">
        <v>386</v>
      </c>
      <c r="H6" s="54"/>
      <c r="I6" s="54"/>
      <c r="J6" s="54"/>
      <c r="K6" s="54"/>
      <c r="L6" s="54"/>
      <c r="M6" s="54"/>
      <c r="N6" s="54"/>
      <c r="O6" s="54"/>
      <c r="P6" s="101"/>
    </row>
    <row r="7" spans="1:16" ht="15" customHeight="1">
      <c r="A7" s="496">
        <v>3</v>
      </c>
      <c r="B7" s="584" t="s">
        <v>1219</v>
      </c>
      <c r="C7" s="585">
        <v>630</v>
      </c>
      <c r="D7" s="585">
        <v>630</v>
      </c>
      <c r="E7" s="585">
        <v>630</v>
      </c>
      <c r="F7" s="585">
        <v>630</v>
      </c>
      <c r="G7" s="585"/>
      <c r="H7" s="586"/>
      <c r="I7" s="585"/>
      <c r="J7" s="580">
        <v>600</v>
      </c>
      <c r="K7" s="580">
        <v>600</v>
      </c>
      <c r="L7" s="580">
        <v>600</v>
      </c>
      <c r="M7" s="580">
        <v>630</v>
      </c>
      <c r="N7" s="502"/>
      <c r="O7" s="505"/>
      <c r="P7" s="476">
        <f>SUM(C7:O8)</f>
        <v>4950</v>
      </c>
    </row>
    <row r="8" spans="1:16">
      <c r="A8" s="496"/>
      <c r="B8" s="507"/>
      <c r="C8" s="509"/>
      <c r="D8" s="509"/>
      <c r="E8" s="509"/>
      <c r="F8" s="509"/>
      <c r="G8" s="509"/>
      <c r="H8" s="503"/>
      <c r="I8" s="509"/>
      <c r="J8" s="581"/>
      <c r="K8" s="581"/>
      <c r="L8" s="581"/>
      <c r="M8" s="581"/>
      <c r="N8" s="503"/>
      <c r="O8" s="502"/>
      <c r="P8" s="445"/>
    </row>
    <row r="9" spans="1:16">
      <c r="A9" s="496"/>
      <c r="B9" s="81" t="s">
        <v>363</v>
      </c>
      <c r="C9" s="72">
        <v>45730</v>
      </c>
      <c r="D9" s="65">
        <v>45764</v>
      </c>
      <c r="E9" s="72">
        <v>45791</v>
      </c>
      <c r="F9" s="72">
        <v>45791</v>
      </c>
      <c r="G9" s="72"/>
      <c r="H9" s="65"/>
      <c r="I9" s="72"/>
      <c r="J9" s="65">
        <v>45939</v>
      </c>
      <c r="K9" s="65">
        <v>45972</v>
      </c>
      <c r="L9" s="65">
        <v>45972</v>
      </c>
      <c r="M9" s="65">
        <v>46001</v>
      </c>
      <c r="N9" s="65"/>
      <c r="O9" s="54"/>
      <c r="P9" s="101"/>
    </row>
    <row r="10" spans="1:16">
      <c r="A10" s="471"/>
      <c r="B10" s="78" t="s">
        <v>377</v>
      </c>
      <c r="C10" s="73" t="s">
        <v>384</v>
      </c>
      <c r="D10" s="54" t="s">
        <v>384</v>
      </c>
      <c r="E10" s="73" t="s">
        <v>384</v>
      </c>
      <c r="F10" s="73" t="s">
        <v>384</v>
      </c>
      <c r="G10" s="73"/>
      <c r="H10" s="54"/>
      <c r="I10" s="73"/>
      <c r="J10" s="54" t="s">
        <v>384</v>
      </c>
      <c r="K10" s="54" t="s">
        <v>384</v>
      </c>
      <c r="L10" s="54" t="s">
        <v>384</v>
      </c>
      <c r="M10" s="54" t="s">
        <v>384</v>
      </c>
      <c r="N10" s="54"/>
      <c r="O10" s="54"/>
      <c r="P10" s="101"/>
    </row>
    <row r="11" spans="1:16" ht="15" customHeight="1">
      <c r="A11" s="485">
        <v>4</v>
      </c>
      <c r="B11" s="489" t="s">
        <v>2</v>
      </c>
      <c r="C11" s="582">
        <v>760</v>
      </c>
      <c r="D11" s="582">
        <v>815</v>
      </c>
      <c r="E11" s="582">
        <v>815</v>
      </c>
      <c r="F11" s="590">
        <v>815</v>
      </c>
      <c r="G11" s="582">
        <v>815</v>
      </c>
      <c r="H11" s="582">
        <v>815</v>
      </c>
      <c r="I11" s="582">
        <v>815</v>
      </c>
      <c r="J11" s="582">
        <v>815</v>
      </c>
      <c r="K11" s="582">
        <v>815</v>
      </c>
      <c r="L11" s="582">
        <v>815</v>
      </c>
      <c r="M11" s="582">
        <v>815</v>
      </c>
      <c r="N11" s="582">
        <v>815</v>
      </c>
      <c r="O11" s="504"/>
      <c r="P11" s="476">
        <f>SUM(C11:O12)</f>
        <v>9725</v>
      </c>
    </row>
    <row r="12" spans="1:16" ht="21" customHeight="1">
      <c r="A12" s="468"/>
      <c r="B12" s="490"/>
      <c r="C12" s="503"/>
      <c r="D12" s="503"/>
      <c r="E12" s="503"/>
      <c r="F12" s="503"/>
      <c r="G12" s="503"/>
      <c r="H12" s="503"/>
      <c r="I12" s="503"/>
      <c r="J12" s="503"/>
      <c r="K12" s="503"/>
      <c r="L12" s="503"/>
      <c r="M12" s="503"/>
      <c r="N12" s="503"/>
      <c r="O12" s="502"/>
      <c r="P12" s="445"/>
    </row>
    <row r="13" spans="1:16">
      <c r="A13" s="468"/>
      <c r="B13" s="81" t="s">
        <v>363</v>
      </c>
      <c r="C13" s="97">
        <v>45694</v>
      </c>
      <c r="D13" s="65">
        <v>45723</v>
      </c>
      <c r="E13" s="65">
        <v>45754</v>
      </c>
      <c r="F13" s="65">
        <v>45775</v>
      </c>
      <c r="G13" s="65">
        <v>45812</v>
      </c>
      <c r="H13" s="65">
        <v>45838</v>
      </c>
      <c r="I13" s="65">
        <v>45869</v>
      </c>
      <c r="J13" s="65">
        <v>45912</v>
      </c>
      <c r="K13" s="65">
        <v>45937</v>
      </c>
      <c r="L13" s="65">
        <v>45958</v>
      </c>
      <c r="M13" s="65">
        <v>45996</v>
      </c>
      <c r="N13" s="65">
        <v>45996</v>
      </c>
      <c r="O13" s="54"/>
      <c r="P13" s="101"/>
    </row>
    <row r="14" spans="1:16">
      <c r="A14" s="478"/>
      <c r="B14" s="76" t="s">
        <v>377</v>
      </c>
      <c r="C14" s="73" t="s">
        <v>386</v>
      </c>
      <c r="D14" s="54" t="s">
        <v>384</v>
      </c>
      <c r="E14" s="54" t="s">
        <v>386</v>
      </c>
      <c r="F14" s="54" t="s">
        <v>386</v>
      </c>
      <c r="G14" s="54" t="s">
        <v>386</v>
      </c>
      <c r="H14" s="54" t="s">
        <v>386</v>
      </c>
      <c r="I14" s="54" t="s">
        <v>384</v>
      </c>
      <c r="J14" s="54" t="s">
        <v>386</v>
      </c>
      <c r="K14" s="54" t="s">
        <v>386</v>
      </c>
      <c r="L14" s="54" t="s">
        <v>386</v>
      </c>
      <c r="M14" s="54" t="s">
        <v>386</v>
      </c>
      <c r="N14" s="54" t="s">
        <v>386</v>
      </c>
      <c r="O14" s="54"/>
      <c r="P14" s="101"/>
    </row>
    <row r="15" spans="1:16" ht="15" customHeight="1">
      <c r="A15" s="485">
        <v>6</v>
      </c>
      <c r="B15" s="489" t="s">
        <v>311</v>
      </c>
      <c r="C15" s="472">
        <v>670</v>
      </c>
      <c r="D15" s="473" t="s">
        <v>1828</v>
      </c>
      <c r="E15" s="473">
        <v>670</v>
      </c>
      <c r="F15" s="473">
        <v>670</v>
      </c>
      <c r="G15" s="473">
        <v>670</v>
      </c>
      <c r="H15" s="473">
        <v>670</v>
      </c>
      <c r="I15" s="473">
        <v>670</v>
      </c>
      <c r="J15" s="473">
        <v>670</v>
      </c>
      <c r="K15" s="473">
        <v>670</v>
      </c>
      <c r="L15" s="473">
        <v>670</v>
      </c>
      <c r="M15" s="481"/>
      <c r="N15" s="481"/>
      <c r="O15" s="491"/>
      <c r="P15" s="476">
        <f>SUM(C15:O16)</f>
        <v>6030</v>
      </c>
    </row>
    <row r="16" spans="1:16">
      <c r="A16" s="468"/>
      <c r="B16" s="490"/>
      <c r="C16" s="472"/>
      <c r="D16" s="473"/>
      <c r="E16" s="473"/>
      <c r="F16" s="473"/>
      <c r="G16" s="473"/>
      <c r="H16" s="473"/>
      <c r="I16" s="473"/>
      <c r="J16" s="473"/>
      <c r="K16" s="473"/>
      <c r="L16" s="473"/>
      <c r="M16" s="482"/>
      <c r="N16" s="482"/>
      <c r="O16" s="492"/>
      <c r="P16" s="445"/>
    </row>
    <row r="17" spans="1:16">
      <c r="A17" s="468"/>
      <c r="B17" s="81" t="s">
        <v>363</v>
      </c>
      <c r="C17" s="97">
        <v>45757</v>
      </c>
      <c r="D17" s="65">
        <v>45757</v>
      </c>
      <c r="E17" s="65">
        <v>45866</v>
      </c>
      <c r="F17" s="65">
        <v>45866</v>
      </c>
      <c r="G17" s="65">
        <v>45866</v>
      </c>
      <c r="H17" s="65">
        <v>45866</v>
      </c>
      <c r="I17" s="65">
        <v>45866</v>
      </c>
      <c r="J17" s="65">
        <v>45926</v>
      </c>
      <c r="K17" s="65">
        <v>45960</v>
      </c>
      <c r="L17" s="65">
        <v>45988</v>
      </c>
      <c r="M17" s="65"/>
      <c r="N17" s="65"/>
      <c r="O17" s="54"/>
      <c r="P17" s="101"/>
    </row>
    <row r="18" spans="1:16">
      <c r="A18" s="478"/>
      <c r="B18" s="76" t="s">
        <v>377</v>
      </c>
      <c r="C18" s="73" t="s">
        <v>371</v>
      </c>
      <c r="D18" s="54" t="s">
        <v>371</v>
      </c>
      <c r="E18" s="54" t="s">
        <v>384</v>
      </c>
      <c r="F18" s="54" t="s">
        <v>384</v>
      </c>
      <c r="G18" s="54" t="s">
        <v>384</v>
      </c>
      <c r="H18" s="54" t="s">
        <v>384</v>
      </c>
      <c r="I18" s="54" t="s">
        <v>384</v>
      </c>
      <c r="J18" s="54" t="s">
        <v>384</v>
      </c>
      <c r="K18" s="54" t="s">
        <v>385</v>
      </c>
      <c r="L18" s="54" t="s">
        <v>385</v>
      </c>
      <c r="M18" s="54"/>
      <c r="N18" s="54"/>
      <c r="O18" s="54"/>
      <c r="P18" s="101"/>
    </row>
    <row r="19" spans="1:16" ht="25.5" customHeight="1">
      <c r="A19" s="485">
        <v>7</v>
      </c>
      <c r="B19" s="489" t="s">
        <v>7</v>
      </c>
      <c r="C19" s="582">
        <v>800</v>
      </c>
      <c r="D19" s="582">
        <v>800</v>
      </c>
      <c r="E19" s="582">
        <v>800</v>
      </c>
      <c r="F19" s="582">
        <v>800</v>
      </c>
      <c r="G19" s="481">
        <v>800</v>
      </c>
      <c r="H19" s="481">
        <v>800</v>
      </c>
      <c r="I19" s="481">
        <v>800</v>
      </c>
      <c r="J19" s="481"/>
      <c r="K19" s="481"/>
      <c r="L19" s="481"/>
      <c r="M19" s="482"/>
      <c r="N19" s="482"/>
      <c r="O19" s="491"/>
      <c r="P19" s="476">
        <f>SUM(C19:O20)</f>
        <v>5600</v>
      </c>
    </row>
    <row r="20" spans="1:16">
      <c r="A20" s="468"/>
      <c r="B20" s="490"/>
      <c r="C20" s="503"/>
      <c r="D20" s="503"/>
      <c r="E20" s="503"/>
      <c r="F20" s="503"/>
      <c r="G20" s="482"/>
      <c r="H20" s="482"/>
      <c r="I20" s="482"/>
      <c r="J20" s="482"/>
      <c r="K20" s="482"/>
      <c r="L20" s="482"/>
      <c r="M20" s="482"/>
      <c r="N20" s="482"/>
      <c r="O20" s="492"/>
      <c r="P20" s="445"/>
    </row>
    <row r="21" spans="1:16">
      <c r="A21" s="468"/>
      <c r="B21" s="76" t="s">
        <v>363</v>
      </c>
      <c r="C21" s="97">
        <v>45713</v>
      </c>
      <c r="D21" s="65">
        <v>45841</v>
      </c>
      <c r="E21" s="65">
        <v>45786</v>
      </c>
      <c r="F21" s="65">
        <v>45786</v>
      </c>
      <c r="G21" s="65">
        <v>45841</v>
      </c>
      <c r="H21" s="65">
        <v>45870</v>
      </c>
      <c r="I21" s="65">
        <v>45902</v>
      </c>
      <c r="J21" s="65"/>
      <c r="K21" s="65"/>
      <c r="L21" s="65"/>
      <c r="M21" s="65"/>
      <c r="N21" s="65"/>
      <c r="O21" s="64"/>
      <c r="P21" s="101"/>
    </row>
    <row r="22" spans="1:16">
      <c r="A22" s="501"/>
      <c r="B22" s="79" t="s">
        <v>377</v>
      </c>
      <c r="C22" s="73" t="s">
        <v>386</v>
      </c>
      <c r="D22" s="54" t="s">
        <v>386</v>
      </c>
      <c r="E22" s="54" t="s">
        <v>386</v>
      </c>
      <c r="F22" s="54" t="s">
        <v>386</v>
      </c>
      <c r="G22" s="54" t="s">
        <v>386</v>
      </c>
      <c r="H22" s="54" t="s">
        <v>386</v>
      </c>
      <c r="I22" s="54" t="s">
        <v>386</v>
      </c>
      <c r="J22" s="54"/>
      <c r="K22" s="54"/>
      <c r="L22" s="54"/>
      <c r="M22" s="54"/>
      <c r="N22" s="54"/>
      <c r="O22" s="54"/>
      <c r="P22" s="101"/>
    </row>
    <row r="23" spans="1:16" ht="15" customHeight="1">
      <c r="A23" s="467">
        <v>8</v>
      </c>
      <c r="B23" s="489" t="s">
        <v>312</v>
      </c>
      <c r="C23" s="479">
        <v>625</v>
      </c>
      <c r="D23" s="481">
        <v>625</v>
      </c>
      <c r="E23" s="481">
        <v>625</v>
      </c>
      <c r="F23" s="481">
        <v>625</v>
      </c>
      <c r="G23" s="481"/>
      <c r="H23" s="481"/>
      <c r="I23" s="481"/>
      <c r="J23" s="481"/>
      <c r="K23" s="481"/>
      <c r="L23" s="481"/>
      <c r="M23" s="482"/>
      <c r="N23" s="482"/>
      <c r="O23" s="491"/>
      <c r="P23" s="476">
        <f>SUM(C23:O24)</f>
        <v>2500</v>
      </c>
    </row>
    <row r="24" spans="1:16">
      <c r="A24" s="468"/>
      <c r="B24" s="490"/>
      <c r="C24" s="480"/>
      <c r="D24" s="482"/>
      <c r="E24" s="482"/>
      <c r="F24" s="482"/>
      <c r="G24" s="482"/>
      <c r="H24" s="482"/>
      <c r="I24" s="482"/>
      <c r="J24" s="482"/>
      <c r="K24" s="482"/>
      <c r="L24" s="482"/>
      <c r="M24" s="482"/>
      <c r="N24" s="482"/>
      <c r="O24" s="492"/>
      <c r="P24" s="445"/>
    </row>
    <row r="25" spans="1:16">
      <c r="A25" s="468"/>
      <c r="B25" s="81" t="s">
        <v>363</v>
      </c>
      <c r="C25" s="97">
        <v>45716</v>
      </c>
      <c r="D25" s="65">
        <v>45748</v>
      </c>
      <c r="E25" s="65">
        <v>45782</v>
      </c>
      <c r="F25" s="65">
        <v>45813</v>
      </c>
      <c r="G25" s="65"/>
      <c r="H25" s="65"/>
      <c r="I25" s="65"/>
      <c r="J25" s="65"/>
      <c r="K25" s="65"/>
      <c r="L25" s="65"/>
      <c r="M25" s="65"/>
      <c r="N25" s="54"/>
      <c r="O25" s="64"/>
      <c r="P25" s="101"/>
    </row>
    <row r="26" spans="1:16">
      <c r="A26" s="501"/>
      <c r="B26" s="76" t="s">
        <v>377</v>
      </c>
      <c r="C26" s="73" t="s">
        <v>386</v>
      </c>
      <c r="D26" s="54" t="s">
        <v>386</v>
      </c>
      <c r="E26" s="54" t="s">
        <v>386</v>
      </c>
      <c r="F26" s="54" t="s">
        <v>386</v>
      </c>
      <c r="G26" s="54"/>
      <c r="H26" s="54"/>
      <c r="I26" s="54"/>
      <c r="J26" s="54"/>
      <c r="K26" s="54"/>
      <c r="L26" s="54"/>
      <c r="M26" s="54"/>
      <c r="N26" s="54"/>
      <c r="O26" s="54"/>
      <c r="P26" s="101"/>
    </row>
    <row r="27" spans="1:16" ht="25.5" customHeight="1">
      <c r="A27" s="467">
        <v>9</v>
      </c>
      <c r="B27" s="489" t="s">
        <v>164</v>
      </c>
      <c r="C27" s="582">
        <v>990</v>
      </c>
      <c r="D27" s="481">
        <v>990</v>
      </c>
      <c r="E27" s="481">
        <v>990</v>
      </c>
      <c r="F27" s="481">
        <v>990</v>
      </c>
      <c r="G27" s="481">
        <v>990</v>
      </c>
      <c r="H27" s="481">
        <v>990</v>
      </c>
      <c r="I27" s="481">
        <v>990</v>
      </c>
      <c r="J27" s="481">
        <v>990</v>
      </c>
      <c r="K27" s="486">
        <v>990</v>
      </c>
      <c r="L27" s="486">
        <v>990</v>
      </c>
      <c r="M27" s="486">
        <v>990</v>
      </c>
      <c r="N27" s="486"/>
      <c r="O27" s="487"/>
      <c r="P27" s="476">
        <f>SUM(C27:O28)</f>
        <v>10890</v>
      </c>
    </row>
    <row r="28" spans="1:16">
      <c r="A28" s="468"/>
      <c r="B28" s="490"/>
      <c r="C28" s="503"/>
      <c r="D28" s="482"/>
      <c r="E28" s="482"/>
      <c r="F28" s="482"/>
      <c r="G28" s="482"/>
      <c r="H28" s="482"/>
      <c r="I28" s="482"/>
      <c r="J28" s="482"/>
      <c r="K28" s="486"/>
      <c r="L28" s="486"/>
      <c r="M28" s="486"/>
      <c r="N28" s="486"/>
      <c r="O28" s="488"/>
      <c r="P28" s="445"/>
    </row>
    <row r="29" spans="1:16">
      <c r="A29" s="468"/>
      <c r="B29" s="81" t="s">
        <v>363</v>
      </c>
      <c r="C29" s="97">
        <v>45709</v>
      </c>
      <c r="D29" s="65">
        <v>45735</v>
      </c>
      <c r="E29" s="65">
        <v>45770</v>
      </c>
      <c r="F29" s="65">
        <v>45803</v>
      </c>
      <c r="G29" s="65">
        <v>45835</v>
      </c>
      <c r="H29" s="65">
        <v>45868</v>
      </c>
      <c r="I29" s="65">
        <v>45897</v>
      </c>
      <c r="J29" s="65">
        <v>45933</v>
      </c>
      <c r="K29" s="65">
        <v>45961</v>
      </c>
      <c r="L29" s="65">
        <v>45988</v>
      </c>
      <c r="M29" s="65">
        <v>46020</v>
      </c>
      <c r="N29" s="54"/>
      <c r="O29" s="64"/>
      <c r="P29" s="101"/>
    </row>
    <row r="30" spans="1:16">
      <c r="A30" s="501"/>
      <c r="B30" s="76" t="s">
        <v>377</v>
      </c>
      <c r="C30" s="73" t="s">
        <v>386</v>
      </c>
      <c r="D30" s="54" t="s">
        <v>386</v>
      </c>
      <c r="E30" s="54" t="s">
        <v>386</v>
      </c>
      <c r="F30" s="54" t="s">
        <v>386</v>
      </c>
      <c r="G30" s="54" t="s">
        <v>386</v>
      </c>
      <c r="H30" s="54" t="s">
        <v>386</v>
      </c>
      <c r="I30" s="54" t="s">
        <v>386</v>
      </c>
      <c r="J30" s="54" t="s">
        <v>386</v>
      </c>
      <c r="K30" s="54" t="s">
        <v>386</v>
      </c>
      <c r="L30" s="54" t="s">
        <v>386</v>
      </c>
      <c r="M30" s="54" t="s">
        <v>386</v>
      </c>
      <c r="N30" s="54"/>
      <c r="O30" s="54"/>
      <c r="P30" s="101"/>
    </row>
    <row r="31" spans="1:16" ht="25.5" customHeight="1">
      <c r="A31" s="467">
        <v>10</v>
      </c>
      <c r="B31" s="489" t="s">
        <v>9</v>
      </c>
      <c r="C31" s="480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91"/>
      <c r="P31" s="476">
        <f>SUM(C31:O32)</f>
        <v>0</v>
      </c>
    </row>
    <row r="32" spans="1:16">
      <c r="A32" s="468"/>
      <c r="B32" s="490"/>
      <c r="C32" s="480"/>
      <c r="D32" s="482"/>
      <c r="E32" s="482"/>
      <c r="F32" s="482"/>
      <c r="G32" s="482"/>
      <c r="H32" s="482"/>
      <c r="I32" s="482"/>
      <c r="J32" s="482"/>
      <c r="K32" s="482"/>
      <c r="L32" s="482"/>
      <c r="M32" s="482"/>
      <c r="N32" s="482"/>
      <c r="O32" s="492"/>
      <c r="P32" s="445"/>
    </row>
    <row r="33" spans="1:16">
      <c r="A33" s="468"/>
      <c r="B33" s="81" t="s">
        <v>363</v>
      </c>
      <c r="C33" s="73"/>
      <c r="D33" s="54"/>
      <c r="E33" s="54"/>
      <c r="F33" s="54"/>
      <c r="G33" s="54"/>
      <c r="H33" s="65"/>
      <c r="I33" s="54"/>
      <c r="J33" s="54"/>
      <c r="K33" s="54"/>
      <c r="L33" s="54"/>
      <c r="M33" s="54"/>
      <c r="N33" s="54"/>
      <c r="O33" s="54"/>
      <c r="P33" s="101"/>
    </row>
    <row r="34" spans="1:16" ht="15.75" thickBot="1">
      <c r="A34" s="501"/>
      <c r="B34" s="76" t="s">
        <v>377</v>
      </c>
      <c r="C34" s="73"/>
      <c r="D34" s="54"/>
      <c r="E34" s="54"/>
      <c r="F34" s="54"/>
      <c r="G34" s="54"/>
      <c r="H34" s="54"/>
      <c r="I34" s="54"/>
      <c r="J34" s="54"/>
      <c r="K34" s="54"/>
      <c r="L34" s="118"/>
      <c r="M34" s="54"/>
      <c r="N34" s="54"/>
      <c r="O34" s="54"/>
      <c r="P34" s="101"/>
    </row>
    <row r="35" spans="1:16" ht="25.5" customHeight="1" thickTop="1">
      <c r="A35" s="467">
        <v>12</v>
      </c>
      <c r="B35" s="489" t="s">
        <v>1225</v>
      </c>
      <c r="C35" s="480"/>
      <c r="D35" s="482"/>
      <c r="E35" s="482"/>
      <c r="F35" s="482"/>
      <c r="G35" s="482"/>
      <c r="H35" s="482"/>
      <c r="I35" s="482"/>
      <c r="J35" s="482"/>
      <c r="K35" s="538"/>
      <c r="L35" s="575"/>
      <c r="M35" s="480"/>
      <c r="N35" s="482"/>
      <c r="O35" s="491"/>
      <c r="P35" s="476">
        <f>SUM(C35:O36)</f>
        <v>0</v>
      </c>
    </row>
    <row r="36" spans="1:16" ht="15.75" thickBot="1">
      <c r="A36" s="468"/>
      <c r="B36" s="490"/>
      <c r="C36" s="480"/>
      <c r="D36" s="482"/>
      <c r="E36" s="482"/>
      <c r="F36" s="482"/>
      <c r="G36" s="482"/>
      <c r="H36" s="482"/>
      <c r="I36" s="482"/>
      <c r="J36" s="482"/>
      <c r="K36" s="538"/>
      <c r="L36" s="576"/>
      <c r="M36" s="480"/>
      <c r="N36" s="482"/>
      <c r="O36" s="492"/>
      <c r="P36" s="445"/>
    </row>
    <row r="37" spans="1:16" ht="15.75" thickTop="1">
      <c r="A37" s="468"/>
      <c r="B37" s="81" t="s">
        <v>363</v>
      </c>
      <c r="C37" s="97"/>
      <c r="D37" s="54"/>
      <c r="E37" s="65"/>
      <c r="F37" s="54"/>
      <c r="G37" s="65"/>
      <c r="H37" s="65"/>
      <c r="I37" s="65"/>
      <c r="J37" s="65"/>
      <c r="K37" s="54"/>
      <c r="L37" s="105"/>
      <c r="M37" s="54"/>
      <c r="N37" s="54"/>
      <c r="O37" s="54"/>
      <c r="P37" s="101"/>
    </row>
    <row r="38" spans="1:16" ht="15.75" thickBot="1">
      <c r="A38" s="501"/>
      <c r="B38" s="76" t="s">
        <v>377</v>
      </c>
      <c r="C38" s="73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101"/>
    </row>
    <row r="39" spans="1:16" ht="25.5" customHeight="1" thickTop="1">
      <c r="A39" s="467">
        <v>14</v>
      </c>
      <c r="B39" s="489" t="s">
        <v>1343</v>
      </c>
      <c r="C39" s="499">
        <v>790</v>
      </c>
      <c r="D39" s="486">
        <v>790</v>
      </c>
      <c r="E39" s="486">
        <v>790</v>
      </c>
      <c r="F39" s="486">
        <v>790</v>
      </c>
      <c r="G39" s="486">
        <v>790</v>
      </c>
      <c r="H39" s="486">
        <v>790</v>
      </c>
      <c r="I39" s="486">
        <v>790</v>
      </c>
      <c r="J39" s="486">
        <v>790</v>
      </c>
      <c r="K39" s="577">
        <v>790</v>
      </c>
      <c r="L39" s="578">
        <v>790</v>
      </c>
      <c r="M39" s="499"/>
      <c r="N39" s="486"/>
      <c r="O39" s="487"/>
      <c r="P39" s="476">
        <f>SUM(C39:O40)</f>
        <v>7900</v>
      </c>
    </row>
    <row r="40" spans="1:16" ht="15.75" thickBot="1">
      <c r="A40" s="468"/>
      <c r="B40" s="490"/>
      <c r="C40" s="499"/>
      <c r="D40" s="486"/>
      <c r="E40" s="486"/>
      <c r="F40" s="486"/>
      <c r="G40" s="486"/>
      <c r="H40" s="486"/>
      <c r="I40" s="486"/>
      <c r="J40" s="486"/>
      <c r="K40" s="577"/>
      <c r="L40" s="579"/>
      <c r="M40" s="499"/>
      <c r="N40" s="486"/>
      <c r="O40" s="488"/>
      <c r="P40" s="445"/>
    </row>
    <row r="41" spans="1:16" ht="15.75" thickTop="1">
      <c r="A41" s="468"/>
      <c r="B41" s="81" t="s">
        <v>363</v>
      </c>
      <c r="C41" s="97">
        <v>45700</v>
      </c>
      <c r="D41" s="65">
        <v>45730</v>
      </c>
      <c r="E41" s="65">
        <v>45758</v>
      </c>
      <c r="F41" s="65">
        <v>45793</v>
      </c>
      <c r="G41" s="65">
        <v>45818</v>
      </c>
      <c r="H41" s="65">
        <v>45849</v>
      </c>
      <c r="I41" s="65">
        <v>45884</v>
      </c>
      <c r="J41" s="65">
        <v>45918</v>
      </c>
      <c r="K41" s="65">
        <v>45943</v>
      </c>
      <c r="L41" s="105">
        <v>45974</v>
      </c>
      <c r="M41" s="65"/>
      <c r="N41" s="65"/>
      <c r="O41" s="54"/>
      <c r="P41" s="101"/>
    </row>
    <row r="42" spans="1:16">
      <c r="A42" s="501"/>
      <c r="B42" s="76" t="s">
        <v>377</v>
      </c>
      <c r="C42" s="73" t="s">
        <v>384</v>
      </c>
      <c r="D42" s="54" t="s">
        <v>384</v>
      </c>
      <c r="E42" s="54" t="s">
        <v>384</v>
      </c>
      <c r="F42" s="54" t="s">
        <v>384</v>
      </c>
      <c r="G42" s="54" t="s">
        <v>384</v>
      </c>
      <c r="H42" s="54" t="s">
        <v>384</v>
      </c>
      <c r="I42" s="54" t="s">
        <v>384</v>
      </c>
      <c r="J42" s="54" t="s">
        <v>384</v>
      </c>
      <c r="K42" s="54" t="s">
        <v>384</v>
      </c>
      <c r="L42" s="54" t="s">
        <v>384</v>
      </c>
      <c r="M42" s="54"/>
      <c r="N42" s="54"/>
      <c r="O42" s="54"/>
      <c r="P42" s="101"/>
    </row>
    <row r="43" spans="1:16" ht="25.5" customHeight="1">
      <c r="A43" s="467">
        <v>16</v>
      </c>
      <c r="B43" s="489" t="s">
        <v>11</v>
      </c>
      <c r="C43" s="480" t="s">
        <v>1752</v>
      </c>
      <c r="D43" s="473" t="s">
        <v>1752</v>
      </c>
      <c r="E43" s="473">
        <v>405</v>
      </c>
      <c r="F43" s="473">
        <v>400</v>
      </c>
      <c r="G43" s="473">
        <v>400</v>
      </c>
      <c r="H43" s="482">
        <v>400</v>
      </c>
      <c r="I43" s="482"/>
      <c r="J43" s="481"/>
      <c r="K43" s="481"/>
      <c r="L43" s="482"/>
      <c r="M43" s="482"/>
      <c r="N43" s="482"/>
      <c r="O43" s="491"/>
      <c r="P43" s="476">
        <f>SUM(C43:O44)</f>
        <v>1605</v>
      </c>
    </row>
    <row r="44" spans="1:16">
      <c r="A44" s="468"/>
      <c r="B44" s="490"/>
      <c r="C44" s="480"/>
      <c r="D44" s="473"/>
      <c r="E44" s="473"/>
      <c r="F44" s="473"/>
      <c r="G44" s="473"/>
      <c r="H44" s="482"/>
      <c r="I44" s="482"/>
      <c r="J44" s="482"/>
      <c r="K44" s="482"/>
      <c r="L44" s="482"/>
      <c r="M44" s="482"/>
      <c r="N44" s="482"/>
      <c r="O44" s="492"/>
      <c r="P44" s="445"/>
    </row>
    <row r="45" spans="1:16">
      <c r="A45" s="468"/>
      <c r="B45" s="76" t="s">
        <v>363</v>
      </c>
      <c r="C45" s="97">
        <v>45758</v>
      </c>
      <c r="D45" s="65">
        <v>45796</v>
      </c>
      <c r="E45" s="65">
        <v>45845</v>
      </c>
      <c r="F45" s="65">
        <v>45866</v>
      </c>
      <c r="G45" s="65">
        <v>45894</v>
      </c>
      <c r="H45" s="65">
        <v>45951</v>
      </c>
      <c r="I45" s="54"/>
      <c r="J45" s="65"/>
      <c r="K45" s="65"/>
      <c r="L45" s="54"/>
      <c r="M45" s="54"/>
      <c r="N45" s="54"/>
      <c r="O45" s="54"/>
      <c r="P45" s="101"/>
    </row>
    <row r="46" spans="1:16">
      <c r="A46" s="501"/>
      <c r="B46" s="79" t="s">
        <v>377</v>
      </c>
      <c r="C46" s="73" t="s">
        <v>386</v>
      </c>
      <c r="D46" s="54" t="s">
        <v>386</v>
      </c>
      <c r="E46" s="54" t="s">
        <v>384</v>
      </c>
      <c r="F46" s="54" t="s">
        <v>386</v>
      </c>
      <c r="G46" s="54" t="s">
        <v>384</v>
      </c>
      <c r="H46" s="54" t="s">
        <v>384</v>
      </c>
      <c r="I46" s="54"/>
      <c r="J46" s="54"/>
      <c r="K46" s="54"/>
      <c r="L46" s="54"/>
      <c r="M46" s="54"/>
      <c r="N46" s="54"/>
      <c r="O46" s="54"/>
      <c r="P46" s="101"/>
    </row>
    <row r="47" spans="1:16" ht="15" customHeight="1">
      <c r="A47" s="467">
        <v>17</v>
      </c>
      <c r="B47" s="489" t="s">
        <v>1339</v>
      </c>
      <c r="C47" s="479">
        <v>620</v>
      </c>
      <c r="D47" s="479">
        <v>620</v>
      </c>
      <c r="E47" s="481">
        <v>620</v>
      </c>
      <c r="F47" s="481">
        <v>620</v>
      </c>
      <c r="G47" s="481">
        <v>620</v>
      </c>
      <c r="H47" s="481">
        <v>620</v>
      </c>
      <c r="I47" s="481">
        <v>620</v>
      </c>
      <c r="J47" s="481">
        <v>620</v>
      </c>
      <c r="K47" s="481">
        <v>620</v>
      </c>
      <c r="L47" s="481">
        <v>620</v>
      </c>
      <c r="M47" s="481">
        <v>620</v>
      </c>
      <c r="N47" s="481">
        <v>620</v>
      </c>
      <c r="O47" s="491"/>
      <c r="P47" s="476">
        <f>SUM(C47:O48)</f>
        <v>7440</v>
      </c>
    </row>
    <row r="48" spans="1:16">
      <c r="A48" s="468"/>
      <c r="B48" s="490"/>
      <c r="C48" s="480"/>
      <c r="D48" s="480"/>
      <c r="E48" s="482"/>
      <c r="F48" s="482"/>
      <c r="G48" s="482"/>
      <c r="H48" s="482"/>
      <c r="I48" s="482"/>
      <c r="J48" s="482"/>
      <c r="K48" s="482"/>
      <c r="L48" s="482"/>
      <c r="M48" s="482"/>
      <c r="N48" s="482"/>
      <c r="O48" s="492"/>
      <c r="P48" s="445"/>
    </row>
    <row r="49" spans="1:16">
      <c r="A49" s="468"/>
      <c r="B49" s="81" t="s">
        <v>363</v>
      </c>
      <c r="C49" s="97">
        <v>45695</v>
      </c>
      <c r="D49" s="65">
        <v>45727</v>
      </c>
      <c r="E49" s="65">
        <v>45751</v>
      </c>
      <c r="F49" s="65">
        <v>45786</v>
      </c>
      <c r="G49" s="65">
        <v>45813</v>
      </c>
      <c r="H49" s="65">
        <v>45847</v>
      </c>
      <c r="I49" s="65">
        <v>45877</v>
      </c>
      <c r="J49" s="65">
        <v>45905</v>
      </c>
      <c r="K49" s="65">
        <v>45944</v>
      </c>
      <c r="L49" s="65">
        <v>45968</v>
      </c>
      <c r="M49" s="65">
        <v>45999</v>
      </c>
      <c r="N49" s="65">
        <v>45999</v>
      </c>
      <c r="O49" s="64"/>
      <c r="P49" s="101"/>
    </row>
    <row r="50" spans="1:16">
      <c r="A50" s="501"/>
      <c r="B50" s="76" t="s">
        <v>377</v>
      </c>
      <c r="C50" s="73" t="s">
        <v>386</v>
      </c>
      <c r="D50" s="73" t="s">
        <v>386</v>
      </c>
      <c r="E50" s="54" t="s">
        <v>386</v>
      </c>
      <c r="F50" s="54" t="s">
        <v>386</v>
      </c>
      <c r="G50" s="54" t="s">
        <v>386</v>
      </c>
      <c r="H50" s="54" t="s">
        <v>386</v>
      </c>
      <c r="I50" s="54" t="s">
        <v>386</v>
      </c>
      <c r="J50" s="54" t="s">
        <v>386</v>
      </c>
      <c r="K50" s="54" t="s">
        <v>386</v>
      </c>
      <c r="L50" s="54" t="s">
        <v>386</v>
      </c>
      <c r="M50" s="54" t="s">
        <v>386</v>
      </c>
      <c r="N50" s="54" t="s">
        <v>386</v>
      </c>
      <c r="O50" s="54"/>
      <c r="P50" s="101"/>
    </row>
    <row r="51" spans="1:16" ht="15" customHeight="1">
      <c r="A51" s="467">
        <v>18</v>
      </c>
      <c r="B51" s="489" t="s">
        <v>314</v>
      </c>
      <c r="C51" s="479">
        <v>790</v>
      </c>
      <c r="D51" s="479">
        <v>790</v>
      </c>
      <c r="E51" s="472">
        <v>790</v>
      </c>
      <c r="F51" s="473">
        <v>790</v>
      </c>
      <c r="G51" s="473">
        <v>790</v>
      </c>
      <c r="H51" s="473">
        <v>790</v>
      </c>
      <c r="I51" s="481">
        <v>790</v>
      </c>
      <c r="J51" s="481">
        <v>790</v>
      </c>
      <c r="K51" s="481"/>
      <c r="L51" s="482">
        <v>790</v>
      </c>
      <c r="M51" s="482">
        <v>790</v>
      </c>
      <c r="N51" s="482"/>
      <c r="O51" s="491"/>
      <c r="P51" s="476">
        <f>SUM(C51:O52)</f>
        <v>7900</v>
      </c>
    </row>
    <row r="52" spans="1:16">
      <c r="A52" s="468"/>
      <c r="B52" s="490"/>
      <c r="C52" s="480"/>
      <c r="D52" s="480"/>
      <c r="E52" s="472"/>
      <c r="F52" s="473"/>
      <c r="G52" s="473"/>
      <c r="H52" s="473"/>
      <c r="I52" s="482"/>
      <c r="J52" s="482"/>
      <c r="K52" s="482"/>
      <c r="L52" s="482"/>
      <c r="M52" s="482"/>
      <c r="N52" s="482"/>
      <c r="O52" s="492"/>
      <c r="P52" s="445"/>
    </row>
    <row r="53" spans="1:16">
      <c r="A53" s="468"/>
      <c r="B53" s="76" t="s">
        <v>363</v>
      </c>
      <c r="C53" s="97">
        <v>45717</v>
      </c>
      <c r="D53" s="65">
        <v>45748</v>
      </c>
      <c r="E53" s="65">
        <v>45761</v>
      </c>
      <c r="F53" s="65">
        <v>45783</v>
      </c>
      <c r="G53" s="65">
        <v>45813</v>
      </c>
      <c r="H53" s="65">
        <v>45838</v>
      </c>
      <c r="I53" s="65">
        <v>45887</v>
      </c>
      <c r="J53" s="65">
        <v>45908</v>
      </c>
      <c r="K53" s="65"/>
      <c r="L53" s="65">
        <v>45971</v>
      </c>
      <c r="M53" s="65">
        <v>45999</v>
      </c>
      <c r="N53" s="54"/>
      <c r="O53" s="64"/>
      <c r="P53" s="101"/>
    </row>
    <row r="54" spans="1:16">
      <c r="A54" s="478"/>
      <c r="B54" s="79" t="s">
        <v>377</v>
      </c>
      <c r="C54" s="73" t="s">
        <v>385</v>
      </c>
      <c r="D54" s="54" t="s">
        <v>385</v>
      </c>
      <c r="E54" s="54" t="s">
        <v>385</v>
      </c>
      <c r="F54" s="54" t="s">
        <v>385</v>
      </c>
      <c r="G54" s="54" t="s">
        <v>385</v>
      </c>
      <c r="H54" s="54" t="s">
        <v>385</v>
      </c>
      <c r="I54" s="54" t="s">
        <v>385</v>
      </c>
      <c r="J54" s="54" t="s">
        <v>385</v>
      </c>
      <c r="K54" s="54"/>
      <c r="L54" s="54" t="s">
        <v>385</v>
      </c>
      <c r="M54" s="54" t="s">
        <v>385</v>
      </c>
      <c r="N54" s="54"/>
      <c r="O54" s="54"/>
      <c r="P54" s="101"/>
    </row>
    <row r="55" spans="1:16" ht="15" customHeight="1">
      <c r="A55" s="485">
        <v>19</v>
      </c>
      <c r="B55" s="489" t="s">
        <v>13</v>
      </c>
      <c r="C55" s="547">
        <v>290</v>
      </c>
      <c r="D55" s="483">
        <v>290</v>
      </c>
      <c r="E55" s="483"/>
      <c r="F55" s="483"/>
      <c r="G55" s="483"/>
      <c r="H55" s="483"/>
      <c r="I55" s="483"/>
      <c r="J55" s="483"/>
      <c r="K55" s="491"/>
      <c r="L55" s="491"/>
      <c r="M55" s="491"/>
      <c r="N55" s="491"/>
      <c r="O55" s="491"/>
      <c r="P55" s="493">
        <f>SUM(C55:O56)</f>
        <v>580</v>
      </c>
    </row>
    <row r="56" spans="1:16">
      <c r="A56" s="468"/>
      <c r="B56" s="490"/>
      <c r="C56" s="548"/>
      <c r="D56" s="484"/>
      <c r="E56" s="484"/>
      <c r="F56" s="484"/>
      <c r="G56" s="484"/>
      <c r="H56" s="484"/>
      <c r="I56" s="484"/>
      <c r="J56" s="484"/>
      <c r="K56" s="492"/>
      <c r="L56" s="492"/>
      <c r="M56" s="492"/>
      <c r="N56" s="492"/>
      <c r="O56" s="492"/>
      <c r="P56" s="494"/>
    </row>
    <row r="57" spans="1:16">
      <c r="A57" s="468"/>
      <c r="B57" s="81" t="s">
        <v>363</v>
      </c>
      <c r="C57" s="97">
        <v>45723</v>
      </c>
      <c r="D57" s="97">
        <v>45791</v>
      </c>
      <c r="E57" s="97"/>
      <c r="F57" s="97"/>
      <c r="G57" s="97"/>
      <c r="H57" s="65"/>
      <c r="I57" s="65"/>
      <c r="J57" s="65"/>
      <c r="K57" s="54"/>
      <c r="L57" s="54"/>
      <c r="M57" s="54"/>
      <c r="N57" s="54"/>
      <c r="O57" s="54"/>
      <c r="P57" s="101"/>
    </row>
    <row r="58" spans="1:16">
      <c r="A58" s="501"/>
      <c r="B58" s="76" t="s">
        <v>377</v>
      </c>
      <c r="C58" s="73" t="s">
        <v>384</v>
      </c>
      <c r="D58" s="54" t="s">
        <v>384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101"/>
    </row>
    <row r="59" spans="1:16" ht="15" customHeight="1">
      <c r="A59" s="467">
        <v>21</v>
      </c>
      <c r="B59" s="545" t="s">
        <v>317</v>
      </c>
      <c r="C59" s="528"/>
      <c r="D59" s="528"/>
      <c r="E59" s="483"/>
      <c r="F59" s="483"/>
      <c r="G59" s="483"/>
      <c r="H59" s="483">
        <v>990</v>
      </c>
      <c r="I59" s="483">
        <v>990</v>
      </c>
      <c r="J59" s="483">
        <v>990</v>
      </c>
      <c r="K59" s="483">
        <v>990</v>
      </c>
      <c r="L59" s="483">
        <v>990</v>
      </c>
      <c r="M59" s="482"/>
      <c r="N59" s="482"/>
      <c r="O59" s="491"/>
      <c r="P59" s="476">
        <f>SUM(C59:O60)</f>
        <v>4950</v>
      </c>
    </row>
    <row r="60" spans="1:16">
      <c r="A60" s="468"/>
      <c r="B60" s="490"/>
      <c r="C60" s="529"/>
      <c r="D60" s="529"/>
      <c r="E60" s="484"/>
      <c r="F60" s="484"/>
      <c r="G60" s="484"/>
      <c r="H60" s="484"/>
      <c r="I60" s="484"/>
      <c r="J60" s="484"/>
      <c r="K60" s="484"/>
      <c r="L60" s="484"/>
      <c r="M60" s="482"/>
      <c r="N60" s="482"/>
      <c r="O60" s="492"/>
      <c r="P60" s="445"/>
    </row>
    <row r="61" spans="1:16">
      <c r="A61" s="468"/>
      <c r="B61" s="76" t="s">
        <v>363</v>
      </c>
      <c r="C61" s="97"/>
      <c r="D61" s="65"/>
      <c r="E61" s="65"/>
      <c r="F61" s="66"/>
      <c r="G61" s="65"/>
      <c r="H61" s="65">
        <v>45848</v>
      </c>
      <c r="I61" s="65">
        <v>45877</v>
      </c>
      <c r="J61" s="65">
        <v>45910</v>
      </c>
      <c r="K61" s="65">
        <v>45940</v>
      </c>
      <c r="L61" s="65">
        <v>45971</v>
      </c>
      <c r="M61" s="54"/>
      <c r="N61" s="54"/>
      <c r="O61" s="54"/>
      <c r="P61" s="101"/>
    </row>
    <row r="62" spans="1:16" ht="15" customHeight="1">
      <c r="A62" s="501"/>
      <c r="B62" s="79" t="s">
        <v>377</v>
      </c>
      <c r="C62" s="73"/>
      <c r="D62" s="54"/>
      <c r="E62" s="54"/>
      <c r="F62" s="54"/>
      <c r="G62" s="54"/>
      <c r="H62" s="54" t="s">
        <v>375</v>
      </c>
      <c r="I62" s="54" t="s">
        <v>384</v>
      </c>
      <c r="J62" s="54" t="s">
        <v>384</v>
      </c>
      <c r="K62" s="54" t="s">
        <v>384</v>
      </c>
      <c r="L62" s="54" t="s">
        <v>384</v>
      </c>
      <c r="M62" s="54"/>
      <c r="N62" s="54"/>
      <c r="O62" s="54"/>
      <c r="P62" s="101"/>
    </row>
    <row r="63" spans="1:16" ht="15" customHeight="1">
      <c r="A63" s="467">
        <v>25</v>
      </c>
      <c r="B63" s="489" t="s">
        <v>172</v>
      </c>
      <c r="C63" s="528"/>
      <c r="D63" s="528"/>
      <c r="E63" s="528"/>
      <c r="F63" s="482"/>
      <c r="G63" s="482"/>
      <c r="H63" s="482"/>
      <c r="I63" s="482"/>
      <c r="J63" s="482"/>
      <c r="K63" s="482"/>
      <c r="L63" s="482"/>
      <c r="M63" s="482"/>
      <c r="N63" s="482"/>
      <c r="O63" s="491"/>
      <c r="P63" s="476">
        <f>SUM(C63:O64)</f>
        <v>0</v>
      </c>
    </row>
    <row r="64" spans="1:16">
      <c r="A64" s="468"/>
      <c r="B64" s="490"/>
      <c r="C64" s="529"/>
      <c r="D64" s="529"/>
      <c r="E64" s="529"/>
      <c r="F64" s="482"/>
      <c r="G64" s="482"/>
      <c r="H64" s="482"/>
      <c r="I64" s="482"/>
      <c r="J64" s="482"/>
      <c r="K64" s="482"/>
      <c r="L64" s="482"/>
      <c r="M64" s="482"/>
      <c r="N64" s="482"/>
      <c r="O64" s="492"/>
      <c r="P64" s="445"/>
    </row>
    <row r="65" spans="1:16">
      <c r="A65" s="468"/>
      <c r="B65" s="76" t="s">
        <v>363</v>
      </c>
      <c r="C65" s="97"/>
      <c r="D65" s="65"/>
      <c r="E65" s="65"/>
      <c r="F65" s="65"/>
      <c r="G65" s="65"/>
      <c r="H65" s="65"/>
      <c r="I65" s="65"/>
      <c r="J65" s="54"/>
      <c r="K65" s="54"/>
      <c r="L65" s="54"/>
      <c r="M65" s="54"/>
      <c r="N65" s="54"/>
      <c r="O65" s="54"/>
      <c r="P65" s="101"/>
    </row>
    <row r="66" spans="1:16">
      <c r="A66" s="478"/>
      <c r="B66" s="79" t="s">
        <v>377</v>
      </c>
      <c r="C66" s="73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101"/>
    </row>
    <row r="67" spans="1:16" ht="25.5" customHeight="1">
      <c r="A67" s="467">
        <v>27</v>
      </c>
      <c r="B67" s="571" t="s">
        <v>18</v>
      </c>
      <c r="C67" s="472">
        <v>965</v>
      </c>
      <c r="D67" s="473">
        <v>965</v>
      </c>
      <c r="E67" s="473">
        <v>965</v>
      </c>
      <c r="F67" s="473">
        <v>965</v>
      </c>
      <c r="G67" s="473">
        <v>965</v>
      </c>
      <c r="H67" s="473"/>
      <c r="I67" s="473"/>
      <c r="J67" s="473"/>
      <c r="K67" s="473"/>
      <c r="L67" s="482"/>
      <c r="M67" s="482"/>
      <c r="N67" s="482"/>
      <c r="O67" s="491"/>
      <c r="P67" s="476">
        <f>SUM(C67:O68)</f>
        <v>4825</v>
      </c>
    </row>
    <row r="68" spans="1:16">
      <c r="A68" s="468"/>
      <c r="B68" s="572"/>
      <c r="C68" s="472"/>
      <c r="D68" s="473"/>
      <c r="E68" s="473"/>
      <c r="F68" s="473"/>
      <c r="G68" s="473"/>
      <c r="H68" s="473"/>
      <c r="I68" s="473"/>
      <c r="J68" s="473"/>
      <c r="K68" s="473"/>
      <c r="L68" s="482"/>
      <c r="M68" s="482"/>
      <c r="N68" s="482"/>
      <c r="O68" s="492"/>
      <c r="P68" s="445"/>
    </row>
    <row r="69" spans="1:16">
      <c r="A69" s="468"/>
      <c r="B69" s="81" t="s">
        <v>363</v>
      </c>
      <c r="C69" s="97">
        <v>45693</v>
      </c>
      <c r="D69" s="65">
        <v>45726</v>
      </c>
      <c r="E69" s="65">
        <v>45748</v>
      </c>
      <c r="F69" s="65">
        <v>45783</v>
      </c>
      <c r="G69" s="65">
        <v>45811</v>
      </c>
      <c r="H69" s="54"/>
      <c r="I69" s="54"/>
      <c r="J69" s="54"/>
      <c r="K69" s="54"/>
      <c r="L69" s="54"/>
      <c r="M69" s="54"/>
      <c r="N69" s="54"/>
      <c r="O69" s="54"/>
      <c r="P69" s="101"/>
    </row>
    <row r="70" spans="1:16">
      <c r="A70" s="478"/>
      <c r="B70" s="76" t="s">
        <v>377</v>
      </c>
      <c r="C70" s="73" t="s">
        <v>384</v>
      </c>
      <c r="D70" s="54" t="s">
        <v>384</v>
      </c>
      <c r="E70" s="54" t="s">
        <v>384</v>
      </c>
      <c r="F70" s="54" t="s">
        <v>384</v>
      </c>
      <c r="G70" s="54" t="s">
        <v>384</v>
      </c>
      <c r="H70" s="54"/>
      <c r="I70" s="54"/>
      <c r="J70" s="54"/>
      <c r="K70" s="54"/>
      <c r="L70" s="54"/>
      <c r="M70" s="54"/>
      <c r="N70" s="54"/>
      <c r="O70" s="54"/>
      <c r="P70" s="101"/>
    </row>
    <row r="71" spans="1:16" ht="15" customHeight="1">
      <c r="A71" s="485">
        <v>30</v>
      </c>
      <c r="B71" s="489" t="s">
        <v>318</v>
      </c>
      <c r="C71" s="479">
        <v>520</v>
      </c>
      <c r="D71" s="479">
        <v>520</v>
      </c>
      <c r="E71" s="479">
        <v>520</v>
      </c>
      <c r="F71" s="479">
        <v>520</v>
      </c>
      <c r="G71" s="481"/>
      <c r="H71" s="481"/>
      <c r="I71" s="481"/>
      <c r="J71" s="481">
        <v>600</v>
      </c>
      <c r="K71" s="481"/>
      <c r="L71" s="481"/>
      <c r="M71" s="482"/>
      <c r="N71" s="482"/>
      <c r="O71" s="491"/>
      <c r="P71" s="476">
        <f>SUM(C71:O72)</f>
        <v>2680</v>
      </c>
    </row>
    <row r="72" spans="1:16">
      <c r="A72" s="468"/>
      <c r="B72" s="490"/>
      <c r="C72" s="480"/>
      <c r="D72" s="480"/>
      <c r="E72" s="480"/>
      <c r="F72" s="480"/>
      <c r="G72" s="482"/>
      <c r="H72" s="482"/>
      <c r="I72" s="482"/>
      <c r="J72" s="482"/>
      <c r="K72" s="482"/>
      <c r="L72" s="482"/>
      <c r="M72" s="482"/>
      <c r="N72" s="482"/>
      <c r="O72" s="492"/>
      <c r="P72" s="445"/>
    </row>
    <row r="73" spans="1:16">
      <c r="A73" s="468"/>
      <c r="B73" s="78" t="s">
        <v>363</v>
      </c>
      <c r="C73" s="97">
        <v>45762</v>
      </c>
      <c r="D73" s="97">
        <v>45762</v>
      </c>
      <c r="E73" s="97">
        <v>45762</v>
      </c>
      <c r="F73" s="97">
        <v>45762</v>
      </c>
      <c r="G73" s="65"/>
      <c r="H73" s="65"/>
      <c r="I73" s="65"/>
      <c r="J73" s="65">
        <v>45939</v>
      </c>
      <c r="K73" s="65"/>
      <c r="L73" s="65"/>
      <c r="M73" s="54"/>
      <c r="N73" s="54"/>
      <c r="O73" s="54"/>
      <c r="P73" s="101"/>
    </row>
    <row r="74" spans="1:16">
      <c r="A74" s="501"/>
      <c r="B74" s="79" t="s">
        <v>377</v>
      </c>
      <c r="C74" s="73" t="s">
        <v>384</v>
      </c>
      <c r="D74" s="73" t="s">
        <v>384</v>
      </c>
      <c r="E74" s="73" t="s">
        <v>384</v>
      </c>
      <c r="F74" s="73" t="s">
        <v>384</v>
      </c>
      <c r="G74" s="54"/>
      <c r="H74" s="54"/>
      <c r="I74" s="54"/>
      <c r="J74" s="54" t="s">
        <v>384</v>
      </c>
      <c r="K74" s="54"/>
      <c r="L74" s="54"/>
      <c r="M74" s="54"/>
      <c r="N74" s="54"/>
      <c r="O74" s="54"/>
      <c r="P74" s="101"/>
    </row>
    <row r="75" spans="1:16" ht="25.5" customHeight="1">
      <c r="A75" s="467">
        <v>31</v>
      </c>
      <c r="B75" s="489" t="s">
        <v>175</v>
      </c>
      <c r="C75" s="573">
        <v>1300</v>
      </c>
      <c r="D75" s="481">
        <v>1300</v>
      </c>
      <c r="E75" s="481">
        <v>1300</v>
      </c>
      <c r="F75" s="481">
        <v>1300</v>
      </c>
      <c r="G75" s="481">
        <v>1300</v>
      </c>
      <c r="H75" s="481">
        <v>1300</v>
      </c>
      <c r="I75" s="481">
        <v>1300</v>
      </c>
      <c r="J75" s="481">
        <v>1300</v>
      </c>
      <c r="K75" s="481">
        <v>1300</v>
      </c>
      <c r="L75" s="482">
        <v>1300</v>
      </c>
      <c r="M75" s="482"/>
      <c r="N75" s="482"/>
      <c r="O75" s="491"/>
      <c r="P75" s="476">
        <f>SUM(C75:O76)</f>
        <v>13000</v>
      </c>
    </row>
    <row r="76" spans="1:16">
      <c r="A76" s="468"/>
      <c r="B76" s="490"/>
      <c r="C76" s="574"/>
      <c r="D76" s="482"/>
      <c r="E76" s="482"/>
      <c r="F76" s="482"/>
      <c r="G76" s="482"/>
      <c r="H76" s="482"/>
      <c r="I76" s="482"/>
      <c r="J76" s="482"/>
      <c r="K76" s="482"/>
      <c r="L76" s="482"/>
      <c r="M76" s="482"/>
      <c r="N76" s="482"/>
      <c r="O76" s="492"/>
      <c r="P76" s="445"/>
    </row>
    <row r="77" spans="1:16">
      <c r="A77" s="468"/>
      <c r="B77" s="81" t="s">
        <v>363</v>
      </c>
      <c r="C77" s="97">
        <v>45730</v>
      </c>
      <c r="D77" s="65">
        <v>45747</v>
      </c>
      <c r="E77" s="65">
        <v>45796</v>
      </c>
      <c r="F77" s="65">
        <v>45796</v>
      </c>
      <c r="G77" s="65">
        <v>45853</v>
      </c>
      <c r="H77" s="65">
        <v>45853</v>
      </c>
      <c r="I77" s="65">
        <v>45901</v>
      </c>
      <c r="J77" s="65">
        <v>45943</v>
      </c>
      <c r="K77" s="65">
        <v>45943</v>
      </c>
      <c r="L77" s="64">
        <v>45967</v>
      </c>
      <c r="M77" s="64"/>
      <c r="N77" s="64"/>
      <c r="O77" s="64"/>
      <c r="P77" s="101"/>
    </row>
    <row r="78" spans="1:16">
      <c r="A78" s="478"/>
      <c r="B78" s="76" t="s">
        <v>377</v>
      </c>
      <c r="C78" s="73" t="s">
        <v>386</v>
      </c>
      <c r="D78" s="54" t="s">
        <v>386</v>
      </c>
      <c r="E78" s="54" t="s">
        <v>386</v>
      </c>
      <c r="F78" s="54" t="s">
        <v>386</v>
      </c>
      <c r="G78" s="54" t="s">
        <v>386</v>
      </c>
      <c r="H78" s="54" t="s">
        <v>386</v>
      </c>
      <c r="I78" s="54" t="s">
        <v>386</v>
      </c>
      <c r="J78" s="54" t="s">
        <v>386</v>
      </c>
      <c r="K78" s="54" t="s">
        <v>386</v>
      </c>
      <c r="L78" s="54" t="s">
        <v>386</v>
      </c>
      <c r="M78" s="54"/>
      <c r="N78" s="54"/>
      <c r="O78" s="54"/>
      <c r="P78" s="101"/>
    </row>
    <row r="79" spans="1:16" ht="25.5" customHeight="1">
      <c r="A79" s="467">
        <v>32</v>
      </c>
      <c r="B79" s="470" t="s">
        <v>176</v>
      </c>
      <c r="C79" s="479">
        <v>915</v>
      </c>
      <c r="D79" s="481">
        <v>915</v>
      </c>
      <c r="E79" s="481">
        <v>915</v>
      </c>
      <c r="F79" s="481">
        <v>915</v>
      </c>
      <c r="G79" s="481">
        <v>915</v>
      </c>
      <c r="H79" s="481">
        <v>915</v>
      </c>
      <c r="I79" s="481">
        <v>915</v>
      </c>
      <c r="J79" s="481">
        <v>915</v>
      </c>
      <c r="K79" s="481">
        <v>915</v>
      </c>
      <c r="L79" s="481"/>
      <c r="M79" s="481"/>
      <c r="N79" s="481"/>
      <c r="O79" s="491"/>
      <c r="P79" s="476">
        <f>SUM(C79:O80)</f>
        <v>8235</v>
      </c>
    </row>
    <row r="80" spans="1:16">
      <c r="A80" s="468"/>
      <c r="B80" s="471"/>
      <c r="C80" s="480"/>
      <c r="D80" s="482"/>
      <c r="E80" s="482"/>
      <c r="F80" s="482"/>
      <c r="G80" s="482"/>
      <c r="H80" s="482"/>
      <c r="I80" s="482"/>
      <c r="J80" s="482"/>
      <c r="K80" s="482"/>
      <c r="L80" s="482"/>
      <c r="M80" s="482"/>
      <c r="N80" s="482"/>
      <c r="O80" s="492"/>
      <c r="P80" s="445"/>
    </row>
    <row r="81" spans="1:16">
      <c r="A81" s="468"/>
      <c r="B81" s="79" t="s">
        <v>363</v>
      </c>
      <c r="C81" s="97">
        <v>45700</v>
      </c>
      <c r="D81" s="65">
        <v>45758</v>
      </c>
      <c r="E81" s="65">
        <v>45793</v>
      </c>
      <c r="F81" s="64">
        <v>45818</v>
      </c>
      <c r="G81" s="65">
        <v>45849</v>
      </c>
      <c r="H81" s="65">
        <v>45884</v>
      </c>
      <c r="I81" s="65">
        <v>45918</v>
      </c>
      <c r="J81" s="65">
        <v>45943</v>
      </c>
      <c r="K81" s="65">
        <v>45974</v>
      </c>
      <c r="L81" s="65"/>
      <c r="M81" s="65"/>
      <c r="N81" s="65"/>
      <c r="O81" s="54"/>
      <c r="P81" s="101"/>
    </row>
    <row r="82" spans="1:16">
      <c r="A82" s="501"/>
      <c r="B82" s="80" t="s">
        <v>377</v>
      </c>
      <c r="C82" s="73" t="s">
        <v>384</v>
      </c>
      <c r="D82" s="54" t="s">
        <v>384</v>
      </c>
      <c r="E82" s="54" t="s">
        <v>384</v>
      </c>
      <c r="F82" s="54" t="s">
        <v>384</v>
      </c>
      <c r="G82" s="54" t="s">
        <v>384</v>
      </c>
      <c r="H82" s="54" t="s">
        <v>2043</v>
      </c>
      <c r="I82" s="54" t="s">
        <v>384</v>
      </c>
      <c r="J82" s="54" t="s">
        <v>384</v>
      </c>
      <c r="K82" s="54" t="s">
        <v>384</v>
      </c>
      <c r="L82" s="54"/>
      <c r="M82" s="54"/>
      <c r="N82" s="54"/>
      <c r="O82" s="54"/>
      <c r="P82" s="101"/>
    </row>
    <row r="83" spans="1:16">
      <c r="A83" s="536">
        <v>34</v>
      </c>
      <c r="B83" s="536" t="s">
        <v>382</v>
      </c>
      <c r="C83" s="569"/>
      <c r="D83" s="483"/>
      <c r="E83" s="483"/>
      <c r="F83" s="483"/>
      <c r="G83" s="483"/>
      <c r="H83" s="483"/>
      <c r="I83" s="483"/>
      <c r="J83" s="483"/>
      <c r="K83" s="483"/>
      <c r="L83" s="491"/>
      <c r="M83" s="491"/>
      <c r="N83" s="491"/>
      <c r="O83" s="491"/>
      <c r="P83" s="476">
        <f>SUM(C83:O84)</f>
        <v>0</v>
      </c>
    </row>
    <row r="84" spans="1:16">
      <c r="A84" s="536"/>
      <c r="B84" s="536"/>
      <c r="C84" s="570"/>
      <c r="D84" s="492"/>
      <c r="E84" s="492"/>
      <c r="F84" s="492"/>
      <c r="G84" s="492"/>
      <c r="H84" s="492"/>
      <c r="I84" s="492"/>
      <c r="J84" s="492"/>
      <c r="K84" s="492"/>
      <c r="L84" s="492"/>
      <c r="M84" s="492"/>
      <c r="N84" s="492"/>
      <c r="O84" s="492"/>
      <c r="P84" s="445"/>
    </row>
    <row r="85" spans="1:16">
      <c r="A85" s="536"/>
      <c r="B85" s="76" t="s">
        <v>363</v>
      </c>
      <c r="C85" s="73"/>
      <c r="D85" s="65"/>
      <c r="E85" s="65"/>
      <c r="F85" s="65"/>
      <c r="G85" s="65"/>
      <c r="H85" s="65"/>
      <c r="I85" s="65"/>
      <c r="J85" s="65"/>
      <c r="K85" s="65"/>
      <c r="L85" s="54"/>
      <c r="M85" s="54"/>
      <c r="N85" s="54"/>
      <c r="O85" s="54"/>
      <c r="P85" s="101"/>
    </row>
    <row r="86" spans="1:16">
      <c r="A86" s="536"/>
      <c r="B86" s="76" t="s">
        <v>377</v>
      </c>
      <c r="C86" s="73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101"/>
    </row>
    <row r="87" spans="1:16" ht="20.25" customHeight="1">
      <c r="A87" s="467">
        <v>33</v>
      </c>
      <c r="B87" s="470" t="s">
        <v>2169</v>
      </c>
      <c r="C87" s="479"/>
      <c r="D87" s="479">
        <v>645</v>
      </c>
      <c r="E87" s="479">
        <v>645</v>
      </c>
      <c r="F87" s="481">
        <v>645</v>
      </c>
      <c r="G87" s="481">
        <v>645</v>
      </c>
      <c r="H87" s="481">
        <v>645</v>
      </c>
      <c r="I87" s="481">
        <v>645</v>
      </c>
      <c r="J87" s="481">
        <v>645</v>
      </c>
      <c r="K87" s="481">
        <v>645</v>
      </c>
      <c r="L87" s="481"/>
      <c r="M87" s="481"/>
      <c r="N87" s="481"/>
      <c r="O87" s="491"/>
      <c r="P87" s="476">
        <f>SUM(C87:O88)</f>
        <v>5160</v>
      </c>
    </row>
    <row r="88" spans="1:16">
      <c r="A88" s="468"/>
      <c r="B88" s="496"/>
      <c r="C88" s="480"/>
      <c r="D88" s="480"/>
      <c r="E88" s="480"/>
      <c r="F88" s="482"/>
      <c r="G88" s="482"/>
      <c r="H88" s="482"/>
      <c r="I88" s="482"/>
      <c r="J88" s="482"/>
      <c r="K88" s="482"/>
      <c r="L88" s="482"/>
      <c r="M88" s="482"/>
      <c r="N88" s="482"/>
      <c r="O88" s="492"/>
      <c r="P88" s="445"/>
    </row>
    <row r="89" spans="1:16">
      <c r="A89" s="468"/>
      <c r="B89" s="76" t="s">
        <v>363</v>
      </c>
      <c r="C89" s="97"/>
      <c r="D89" s="65">
        <v>45730</v>
      </c>
      <c r="E89" s="65">
        <v>45761</v>
      </c>
      <c r="F89" s="65">
        <v>45792</v>
      </c>
      <c r="G89" s="65">
        <v>45824</v>
      </c>
      <c r="H89" s="65">
        <v>45852</v>
      </c>
      <c r="I89" s="65">
        <v>45882</v>
      </c>
      <c r="J89" s="65">
        <v>45916</v>
      </c>
      <c r="K89" s="65">
        <v>45944</v>
      </c>
      <c r="L89" s="65"/>
      <c r="M89" s="65"/>
      <c r="N89" s="65"/>
      <c r="O89" s="64"/>
      <c r="P89" s="101"/>
    </row>
    <row r="90" spans="1:16">
      <c r="A90" s="501"/>
      <c r="B90" s="80" t="s">
        <v>377</v>
      </c>
      <c r="C90" s="73"/>
      <c r="D90" s="54" t="s">
        <v>386</v>
      </c>
      <c r="E90" s="54" t="s">
        <v>386</v>
      </c>
      <c r="F90" s="54" t="s">
        <v>384</v>
      </c>
      <c r="G90" s="54" t="s">
        <v>386</v>
      </c>
      <c r="H90" s="54" t="s">
        <v>386</v>
      </c>
      <c r="I90" s="54" t="s">
        <v>386</v>
      </c>
      <c r="J90" s="54" t="s">
        <v>386</v>
      </c>
      <c r="K90" s="54" t="s">
        <v>386</v>
      </c>
      <c r="L90" s="54"/>
      <c r="M90" s="54"/>
      <c r="N90" s="54"/>
      <c r="O90" s="54"/>
      <c r="P90" s="101"/>
    </row>
    <row r="91" spans="1:16">
      <c r="A91" s="467">
        <v>38</v>
      </c>
      <c r="B91" s="489" t="s">
        <v>177</v>
      </c>
      <c r="C91" s="479">
        <v>695</v>
      </c>
      <c r="D91" s="479">
        <v>695</v>
      </c>
      <c r="E91" s="481">
        <v>695</v>
      </c>
      <c r="F91" s="481">
        <v>695</v>
      </c>
      <c r="G91" s="481">
        <v>695</v>
      </c>
      <c r="H91" s="481"/>
      <c r="I91" s="481">
        <v>695</v>
      </c>
      <c r="J91" s="481">
        <v>695</v>
      </c>
      <c r="K91" s="481"/>
      <c r="L91" s="481">
        <v>695</v>
      </c>
      <c r="M91" s="482"/>
      <c r="N91" s="482"/>
      <c r="O91" s="491"/>
      <c r="P91" s="476">
        <f>SUM(C91:O92)</f>
        <v>5560</v>
      </c>
    </row>
    <row r="92" spans="1:16">
      <c r="A92" s="468"/>
      <c r="B92" s="490"/>
      <c r="C92" s="480"/>
      <c r="D92" s="480"/>
      <c r="E92" s="482"/>
      <c r="F92" s="482"/>
      <c r="G92" s="482"/>
      <c r="H92" s="482"/>
      <c r="I92" s="482"/>
      <c r="J92" s="482"/>
      <c r="K92" s="482"/>
      <c r="L92" s="482"/>
      <c r="M92" s="482"/>
      <c r="N92" s="482"/>
      <c r="O92" s="492"/>
      <c r="P92" s="445"/>
    </row>
    <row r="93" spans="1:16">
      <c r="A93" s="468"/>
      <c r="B93" s="80" t="s">
        <v>363</v>
      </c>
      <c r="C93" s="97">
        <v>45694</v>
      </c>
      <c r="D93" s="97">
        <v>45726</v>
      </c>
      <c r="E93" s="65">
        <v>45754</v>
      </c>
      <c r="F93" s="65">
        <v>45784</v>
      </c>
      <c r="G93" s="65">
        <v>45813</v>
      </c>
      <c r="H93" s="65"/>
      <c r="I93" s="65">
        <v>45880</v>
      </c>
      <c r="J93" s="65">
        <v>45908</v>
      </c>
      <c r="K93" s="65"/>
      <c r="L93" s="65">
        <v>45966</v>
      </c>
      <c r="M93" s="65"/>
      <c r="N93" s="54"/>
      <c r="O93" s="64"/>
      <c r="P93" s="101"/>
    </row>
    <row r="94" spans="1:16">
      <c r="A94" s="478"/>
      <c r="B94" s="76" t="s">
        <v>377</v>
      </c>
      <c r="C94" s="73" t="s">
        <v>386</v>
      </c>
      <c r="D94" s="73" t="s">
        <v>386</v>
      </c>
      <c r="E94" s="54" t="s">
        <v>386</v>
      </c>
      <c r="F94" s="54" t="s">
        <v>386</v>
      </c>
      <c r="G94" s="54" t="s">
        <v>386</v>
      </c>
      <c r="H94" s="54"/>
      <c r="I94" s="54" t="s">
        <v>386</v>
      </c>
      <c r="J94" s="54" t="s">
        <v>386</v>
      </c>
      <c r="K94" s="54"/>
      <c r="L94" s="54" t="s">
        <v>386</v>
      </c>
      <c r="M94" s="54"/>
      <c r="N94" s="54"/>
      <c r="O94" s="54"/>
      <c r="P94" s="101"/>
    </row>
    <row r="95" spans="1:16" ht="15" customHeight="1">
      <c r="A95" s="467">
        <v>39</v>
      </c>
      <c r="B95" s="497" t="s">
        <v>178</v>
      </c>
      <c r="C95" s="481">
        <v>770</v>
      </c>
      <c r="D95" s="481">
        <v>770</v>
      </c>
      <c r="E95" s="481">
        <v>770</v>
      </c>
      <c r="F95" s="481">
        <v>770</v>
      </c>
      <c r="G95" s="481">
        <v>770</v>
      </c>
      <c r="H95" s="481">
        <v>770</v>
      </c>
      <c r="I95" s="481">
        <v>770</v>
      </c>
      <c r="J95" s="481">
        <v>770</v>
      </c>
      <c r="K95" s="481">
        <v>770</v>
      </c>
      <c r="L95" s="486">
        <v>770</v>
      </c>
      <c r="M95" s="486">
        <v>770</v>
      </c>
      <c r="N95" s="486">
        <v>770</v>
      </c>
      <c r="O95" s="487"/>
      <c r="P95" s="476">
        <f>SUM(C95:O96)</f>
        <v>9240</v>
      </c>
    </row>
    <row r="96" spans="1:16">
      <c r="A96" s="468"/>
      <c r="B96" s="542"/>
      <c r="C96" s="482"/>
      <c r="D96" s="482"/>
      <c r="E96" s="482"/>
      <c r="F96" s="482"/>
      <c r="G96" s="482"/>
      <c r="H96" s="482"/>
      <c r="I96" s="482"/>
      <c r="J96" s="482"/>
      <c r="K96" s="482"/>
      <c r="L96" s="486"/>
      <c r="M96" s="486"/>
      <c r="N96" s="486"/>
      <c r="O96" s="488"/>
      <c r="P96" s="445"/>
    </row>
    <row r="97" spans="1:16">
      <c r="A97" s="468"/>
      <c r="B97" s="82" t="s">
        <v>363</v>
      </c>
      <c r="C97" s="65">
        <v>45700</v>
      </c>
      <c r="D97" s="65">
        <v>45726</v>
      </c>
      <c r="E97" s="65">
        <v>45754</v>
      </c>
      <c r="F97" s="65">
        <v>45786</v>
      </c>
      <c r="G97" s="65">
        <v>45817</v>
      </c>
      <c r="H97" s="65">
        <v>45849</v>
      </c>
      <c r="I97" s="65">
        <v>45876</v>
      </c>
      <c r="J97" s="65">
        <v>45908</v>
      </c>
      <c r="K97" s="65">
        <v>45938</v>
      </c>
      <c r="L97" s="65">
        <v>45968</v>
      </c>
      <c r="M97" s="65">
        <v>45996</v>
      </c>
      <c r="N97" s="65">
        <v>45996</v>
      </c>
      <c r="O97" s="64"/>
      <c r="P97" s="101"/>
    </row>
    <row r="98" spans="1:16">
      <c r="A98" s="478"/>
      <c r="B98" s="84" t="s">
        <v>377</v>
      </c>
      <c r="C98" s="54" t="s">
        <v>386</v>
      </c>
      <c r="D98" s="54" t="s">
        <v>386</v>
      </c>
      <c r="E98" s="54" t="s">
        <v>386</v>
      </c>
      <c r="F98" s="54" t="s">
        <v>386</v>
      </c>
      <c r="G98" s="54" t="s">
        <v>386</v>
      </c>
      <c r="H98" s="54" t="s">
        <v>386</v>
      </c>
      <c r="I98" s="54" t="s">
        <v>386</v>
      </c>
      <c r="J98" s="54" t="s">
        <v>386</v>
      </c>
      <c r="K98" s="54" t="s">
        <v>386</v>
      </c>
      <c r="L98" s="54" t="s">
        <v>386</v>
      </c>
      <c r="M98" s="54" t="s">
        <v>386</v>
      </c>
      <c r="N98" s="54" t="s">
        <v>386</v>
      </c>
      <c r="O98" s="54"/>
      <c r="P98" s="101"/>
    </row>
    <row r="99" spans="1:16" ht="25.5" customHeight="1">
      <c r="A99" s="485">
        <v>41</v>
      </c>
      <c r="B99" s="470" t="s">
        <v>27</v>
      </c>
      <c r="C99" s="479">
        <v>400</v>
      </c>
      <c r="D99" s="479">
        <v>400</v>
      </c>
      <c r="E99" s="481">
        <v>400</v>
      </c>
      <c r="F99" s="481">
        <v>400</v>
      </c>
      <c r="G99" s="481">
        <v>400</v>
      </c>
      <c r="H99" s="481">
        <v>400</v>
      </c>
      <c r="I99" s="481">
        <v>400</v>
      </c>
      <c r="J99" s="481">
        <v>400</v>
      </c>
      <c r="K99" s="481">
        <v>400</v>
      </c>
      <c r="L99" s="481">
        <v>400</v>
      </c>
      <c r="M99" s="481"/>
      <c r="N99" s="482"/>
      <c r="O99" s="491"/>
      <c r="P99" s="476">
        <f>SUM(C99:O100)</f>
        <v>4000</v>
      </c>
    </row>
    <row r="100" spans="1:16">
      <c r="A100" s="468"/>
      <c r="B100" s="471"/>
      <c r="C100" s="480"/>
      <c r="D100" s="480"/>
      <c r="E100" s="482"/>
      <c r="F100" s="482"/>
      <c r="G100" s="482"/>
      <c r="H100" s="482"/>
      <c r="I100" s="482"/>
      <c r="J100" s="482"/>
      <c r="K100" s="482"/>
      <c r="L100" s="482"/>
      <c r="M100" s="482"/>
      <c r="N100" s="482"/>
      <c r="O100" s="492"/>
      <c r="P100" s="445"/>
    </row>
    <row r="101" spans="1:16">
      <c r="A101" s="468"/>
      <c r="B101" s="86" t="s">
        <v>363</v>
      </c>
      <c r="C101" s="97">
        <v>45694</v>
      </c>
      <c r="D101" s="97">
        <v>45726</v>
      </c>
      <c r="E101" s="65">
        <v>45750</v>
      </c>
      <c r="F101" s="65">
        <v>45789</v>
      </c>
      <c r="G101" s="65">
        <v>45817</v>
      </c>
      <c r="H101" s="65">
        <v>45848</v>
      </c>
      <c r="I101" s="65">
        <v>45877</v>
      </c>
      <c r="J101" s="65">
        <v>45904</v>
      </c>
      <c r="K101" s="65">
        <v>45938</v>
      </c>
      <c r="L101" s="65">
        <v>45966</v>
      </c>
      <c r="M101" s="65"/>
      <c r="N101" s="54"/>
      <c r="O101" s="54"/>
      <c r="P101" s="101"/>
    </row>
    <row r="102" spans="1:16">
      <c r="A102" s="501"/>
      <c r="B102" s="76" t="s">
        <v>377</v>
      </c>
      <c r="C102" s="73" t="s">
        <v>384</v>
      </c>
      <c r="D102" s="73" t="s">
        <v>384</v>
      </c>
      <c r="E102" s="54" t="s">
        <v>384</v>
      </c>
      <c r="F102" s="54" t="s">
        <v>384</v>
      </c>
      <c r="G102" s="54" t="s">
        <v>384</v>
      </c>
      <c r="H102" s="54" t="s">
        <v>384</v>
      </c>
      <c r="I102" s="54" t="s">
        <v>386</v>
      </c>
      <c r="J102" s="54" t="s">
        <v>386</v>
      </c>
      <c r="K102" s="54" t="s">
        <v>384</v>
      </c>
      <c r="L102" s="54" t="s">
        <v>384</v>
      </c>
      <c r="M102" s="54"/>
      <c r="N102" s="54"/>
      <c r="O102" s="54"/>
      <c r="P102" s="101"/>
    </row>
    <row r="103" spans="1:16" ht="25.5" customHeight="1">
      <c r="A103" s="467">
        <v>43</v>
      </c>
      <c r="B103" s="470" t="s">
        <v>179</v>
      </c>
      <c r="C103" s="481" t="s">
        <v>1831</v>
      </c>
      <c r="D103" s="481">
        <v>600</v>
      </c>
      <c r="E103" s="486" t="s">
        <v>1834</v>
      </c>
      <c r="F103" s="486">
        <v>600</v>
      </c>
      <c r="G103" s="486">
        <v>600</v>
      </c>
      <c r="H103" s="486">
        <v>600</v>
      </c>
      <c r="I103" s="486">
        <v>600</v>
      </c>
      <c r="J103" s="486">
        <v>600</v>
      </c>
      <c r="K103" s="486">
        <v>600</v>
      </c>
      <c r="L103" s="486">
        <v>600</v>
      </c>
      <c r="M103" s="486">
        <v>600</v>
      </c>
      <c r="N103" s="482"/>
      <c r="O103" s="491"/>
      <c r="P103" s="476">
        <f>SUM(C103:O104)</f>
        <v>5400</v>
      </c>
    </row>
    <row r="104" spans="1:16">
      <c r="A104" s="468"/>
      <c r="B104" s="471"/>
      <c r="C104" s="482"/>
      <c r="D104" s="482"/>
      <c r="E104" s="486"/>
      <c r="F104" s="486"/>
      <c r="G104" s="486"/>
      <c r="H104" s="486"/>
      <c r="I104" s="486"/>
      <c r="J104" s="486"/>
      <c r="K104" s="486"/>
      <c r="L104" s="486"/>
      <c r="M104" s="486"/>
      <c r="N104" s="482"/>
      <c r="O104" s="492"/>
      <c r="P104" s="445"/>
    </row>
    <row r="105" spans="1:16">
      <c r="A105" s="468"/>
      <c r="B105" s="86" t="s">
        <v>363</v>
      </c>
      <c r="C105" s="97" t="s">
        <v>1832</v>
      </c>
      <c r="D105" s="65">
        <v>45798</v>
      </c>
      <c r="E105" s="65">
        <v>45798</v>
      </c>
      <c r="F105" s="65">
        <v>2</v>
      </c>
      <c r="G105" s="65">
        <v>45993</v>
      </c>
      <c r="H105" s="65">
        <v>45993</v>
      </c>
      <c r="I105" s="65">
        <v>45993</v>
      </c>
      <c r="J105" s="65">
        <v>45993</v>
      </c>
      <c r="K105" s="65">
        <v>45993</v>
      </c>
      <c r="L105" s="65">
        <v>45993</v>
      </c>
      <c r="M105" s="65">
        <v>45993</v>
      </c>
      <c r="N105" s="54"/>
      <c r="O105" s="54"/>
      <c r="P105" s="101"/>
    </row>
    <row r="106" spans="1:16">
      <c r="A106" s="501"/>
      <c r="B106" s="76" t="s">
        <v>377</v>
      </c>
      <c r="C106" s="73" t="s">
        <v>1833</v>
      </c>
      <c r="D106" s="54" t="s">
        <v>384</v>
      </c>
      <c r="E106" s="54" t="s">
        <v>384</v>
      </c>
      <c r="F106" s="54" t="s">
        <v>386</v>
      </c>
      <c r="G106" s="54" t="s">
        <v>386</v>
      </c>
      <c r="H106" s="54" t="s">
        <v>386</v>
      </c>
      <c r="I106" s="54" t="s">
        <v>386</v>
      </c>
      <c r="J106" s="54" t="s">
        <v>386</v>
      </c>
      <c r="K106" s="54" t="s">
        <v>386</v>
      </c>
      <c r="L106" s="54" t="s">
        <v>386</v>
      </c>
      <c r="M106" s="54" t="s">
        <v>386</v>
      </c>
      <c r="N106" s="54"/>
      <c r="O106" s="54"/>
      <c r="P106" s="101"/>
    </row>
    <row r="107" spans="1:16" ht="15" customHeight="1">
      <c r="A107" s="467">
        <v>44</v>
      </c>
      <c r="B107" s="470" t="s">
        <v>319</v>
      </c>
      <c r="C107" s="479">
        <v>1350</v>
      </c>
      <c r="D107" s="481">
        <v>1350</v>
      </c>
      <c r="E107" s="481">
        <v>1350</v>
      </c>
      <c r="F107" s="481">
        <v>1350</v>
      </c>
      <c r="G107" s="481">
        <v>1350</v>
      </c>
      <c r="H107" s="481"/>
      <c r="I107" s="481"/>
      <c r="J107" s="483">
        <v>1350</v>
      </c>
      <c r="K107" s="483">
        <v>1300</v>
      </c>
      <c r="L107" s="483"/>
      <c r="M107" s="482"/>
      <c r="N107" s="482"/>
      <c r="O107" s="491"/>
      <c r="P107" s="476">
        <f>SUM(C107:O108)</f>
        <v>9400</v>
      </c>
    </row>
    <row r="108" spans="1:16">
      <c r="A108" s="468"/>
      <c r="B108" s="471"/>
      <c r="C108" s="480"/>
      <c r="D108" s="482"/>
      <c r="E108" s="482"/>
      <c r="F108" s="482"/>
      <c r="G108" s="482"/>
      <c r="H108" s="482"/>
      <c r="I108" s="482"/>
      <c r="J108" s="484"/>
      <c r="K108" s="484"/>
      <c r="L108" s="484"/>
      <c r="M108" s="482"/>
      <c r="N108" s="482"/>
      <c r="O108" s="492"/>
      <c r="P108" s="445"/>
    </row>
    <row r="109" spans="1:16">
      <c r="A109" s="468"/>
      <c r="B109" s="76" t="s">
        <v>363</v>
      </c>
      <c r="C109" s="97">
        <v>45716</v>
      </c>
      <c r="D109" s="65">
        <v>45747</v>
      </c>
      <c r="E109" s="65">
        <v>45777</v>
      </c>
      <c r="F109" s="65">
        <v>45810</v>
      </c>
      <c r="G109" s="65">
        <v>45838</v>
      </c>
      <c r="H109" s="65"/>
      <c r="I109" s="65"/>
      <c r="J109" s="65">
        <v>45919</v>
      </c>
      <c r="K109" s="65">
        <v>45961</v>
      </c>
      <c r="L109" s="65"/>
      <c r="M109" s="54"/>
      <c r="N109" s="54"/>
      <c r="O109" s="54"/>
      <c r="P109" s="101"/>
    </row>
    <row r="110" spans="1:16" ht="15.75" thickBot="1">
      <c r="A110" s="501"/>
      <c r="B110" s="92" t="s">
        <v>377</v>
      </c>
      <c r="C110" s="73" t="s">
        <v>384</v>
      </c>
      <c r="D110" s="54" t="s">
        <v>384</v>
      </c>
      <c r="E110" s="54" t="s">
        <v>384</v>
      </c>
      <c r="F110" s="54" t="s">
        <v>384</v>
      </c>
      <c r="G110" s="54" t="s">
        <v>384</v>
      </c>
      <c r="H110" s="54"/>
      <c r="I110" s="118"/>
      <c r="J110" s="54" t="s">
        <v>384</v>
      </c>
      <c r="K110" s="54" t="s">
        <v>384</v>
      </c>
      <c r="L110" s="54"/>
      <c r="M110" s="54"/>
      <c r="N110" s="54"/>
      <c r="O110" s="54"/>
      <c r="P110" s="101"/>
    </row>
    <row r="111" spans="1:16" ht="25.5" customHeight="1">
      <c r="A111" s="534">
        <v>45</v>
      </c>
      <c r="B111" s="567" t="s">
        <v>181</v>
      </c>
      <c r="C111" s="479">
        <v>640</v>
      </c>
      <c r="D111" s="481">
        <v>640</v>
      </c>
      <c r="E111" s="481">
        <v>640</v>
      </c>
      <c r="F111" s="481">
        <v>640</v>
      </c>
      <c r="G111" s="481"/>
      <c r="H111" s="537"/>
      <c r="I111" s="565"/>
      <c r="J111" s="479"/>
      <c r="K111" s="482"/>
      <c r="L111" s="482"/>
      <c r="M111" s="482"/>
      <c r="N111" s="482"/>
      <c r="O111" s="491"/>
      <c r="P111" s="476">
        <f>SUM(C111:O112)</f>
        <v>2560</v>
      </c>
    </row>
    <row r="112" spans="1:16" ht="15.75" thickBot="1">
      <c r="A112" s="535"/>
      <c r="B112" s="568"/>
      <c r="C112" s="480"/>
      <c r="D112" s="482"/>
      <c r="E112" s="482"/>
      <c r="F112" s="482"/>
      <c r="G112" s="482"/>
      <c r="H112" s="538"/>
      <c r="I112" s="566"/>
      <c r="J112" s="480"/>
      <c r="K112" s="482"/>
      <c r="L112" s="482"/>
      <c r="M112" s="482"/>
      <c r="N112" s="482"/>
      <c r="O112" s="492"/>
      <c r="P112" s="445"/>
    </row>
    <row r="113" spans="1:16">
      <c r="A113" s="468"/>
      <c r="B113" s="92" t="s">
        <v>363</v>
      </c>
      <c r="C113" s="97">
        <v>45992</v>
      </c>
      <c r="D113" s="65">
        <v>45992</v>
      </c>
      <c r="E113" s="65">
        <v>45992</v>
      </c>
      <c r="F113" s="65">
        <v>45992</v>
      </c>
      <c r="G113" s="65"/>
      <c r="H113" s="65"/>
      <c r="I113" s="105"/>
      <c r="J113" s="65"/>
      <c r="K113" s="54"/>
      <c r="L113" s="54"/>
      <c r="M113" s="54"/>
      <c r="N113" s="54"/>
      <c r="O113" s="54"/>
      <c r="P113" s="101"/>
    </row>
    <row r="114" spans="1:16">
      <c r="A114" s="501"/>
      <c r="B114" s="76" t="s">
        <v>377</v>
      </c>
      <c r="C114" s="73" t="s">
        <v>386</v>
      </c>
      <c r="D114" s="54" t="s">
        <v>386</v>
      </c>
      <c r="E114" s="54" t="s">
        <v>386</v>
      </c>
      <c r="F114" s="54" t="s">
        <v>386</v>
      </c>
      <c r="G114" s="54"/>
      <c r="H114" s="54"/>
      <c r="I114" s="54"/>
      <c r="J114" s="54"/>
      <c r="K114" s="54"/>
      <c r="L114" s="54"/>
      <c r="M114" s="54"/>
      <c r="N114" s="54"/>
      <c r="O114" s="54"/>
      <c r="P114" s="101"/>
    </row>
    <row r="115" spans="1:16" ht="25.5" customHeight="1">
      <c r="A115" s="467">
        <v>46</v>
      </c>
      <c r="B115" s="470" t="s">
        <v>31</v>
      </c>
      <c r="C115" s="479">
        <v>380</v>
      </c>
      <c r="D115" s="481">
        <v>380</v>
      </c>
      <c r="E115" s="481">
        <v>380</v>
      </c>
      <c r="F115" s="481">
        <v>380</v>
      </c>
      <c r="G115" s="481">
        <v>380</v>
      </c>
      <c r="H115" s="481">
        <v>380</v>
      </c>
      <c r="I115" s="500" t="s">
        <v>2044</v>
      </c>
      <c r="J115" s="500">
        <v>380</v>
      </c>
      <c r="K115" s="500">
        <v>380</v>
      </c>
      <c r="L115" s="500"/>
      <c r="M115" s="500"/>
      <c r="N115" s="500"/>
      <c r="O115" s="491"/>
      <c r="P115" s="476">
        <f>SUM(C115:O116)</f>
        <v>3040</v>
      </c>
    </row>
    <row r="116" spans="1:16">
      <c r="A116" s="468"/>
      <c r="B116" s="471"/>
      <c r="C116" s="480"/>
      <c r="D116" s="482"/>
      <c r="E116" s="482"/>
      <c r="F116" s="482"/>
      <c r="G116" s="482"/>
      <c r="H116" s="482"/>
      <c r="I116" s="482"/>
      <c r="J116" s="482"/>
      <c r="K116" s="482"/>
      <c r="L116" s="482"/>
      <c r="M116" s="482"/>
      <c r="N116" s="482"/>
      <c r="O116" s="492"/>
      <c r="P116" s="445"/>
    </row>
    <row r="117" spans="1:16">
      <c r="A117" s="468"/>
      <c r="B117" s="86" t="s">
        <v>363</v>
      </c>
      <c r="C117" s="97">
        <v>45706</v>
      </c>
      <c r="D117" s="97">
        <v>45736</v>
      </c>
      <c r="E117" s="65">
        <v>45770</v>
      </c>
      <c r="F117" s="65">
        <v>45798</v>
      </c>
      <c r="G117" s="65">
        <v>45831</v>
      </c>
      <c r="H117" s="65">
        <v>45866</v>
      </c>
      <c r="I117" s="65">
        <v>45898</v>
      </c>
      <c r="J117" s="65">
        <v>45929</v>
      </c>
      <c r="K117" s="65">
        <v>45953</v>
      </c>
      <c r="L117" s="65"/>
      <c r="M117" s="65"/>
      <c r="N117" s="65"/>
      <c r="O117" s="54"/>
      <c r="P117" s="101"/>
    </row>
    <row r="118" spans="1:16">
      <c r="A118" s="478"/>
      <c r="B118" s="76" t="s">
        <v>377</v>
      </c>
      <c r="C118" s="73" t="s">
        <v>384</v>
      </c>
      <c r="D118" s="73" t="s">
        <v>384</v>
      </c>
      <c r="E118" s="54" t="s">
        <v>384</v>
      </c>
      <c r="F118" s="54" t="s">
        <v>384</v>
      </c>
      <c r="G118" s="54" t="s">
        <v>384</v>
      </c>
      <c r="H118" s="54" t="s">
        <v>384</v>
      </c>
      <c r="I118" s="54" t="s">
        <v>384</v>
      </c>
      <c r="J118" s="54" t="s">
        <v>384</v>
      </c>
      <c r="K118" s="54" t="s">
        <v>384</v>
      </c>
      <c r="L118" s="54"/>
      <c r="M118" s="54"/>
      <c r="N118" s="54"/>
      <c r="O118" s="54"/>
      <c r="P118" s="101"/>
    </row>
    <row r="119" spans="1:16" ht="15" customHeight="1">
      <c r="A119" s="485">
        <v>47</v>
      </c>
      <c r="B119" s="470" t="s">
        <v>320</v>
      </c>
      <c r="C119" s="479" t="s">
        <v>1826</v>
      </c>
      <c r="D119" s="481">
        <v>700</v>
      </c>
      <c r="E119" s="481">
        <v>700</v>
      </c>
      <c r="F119" s="483">
        <v>700</v>
      </c>
      <c r="G119" s="481">
        <v>700</v>
      </c>
      <c r="H119" s="481">
        <v>700</v>
      </c>
      <c r="I119" s="481">
        <v>700</v>
      </c>
      <c r="J119" s="481">
        <v>700</v>
      </c>
      <c r="K119" s="481">
        <v>700</v>
      </c>
      <c r="L119" s="481"/>
      <c r="M119" s="482"/>
      <c r="N119" s="482"/>
      <c r="O119" s="491"/>
      <c r="P119" s="476">
        <f>SUM(C119:O120)</f>
        <v>5600</v>
      </c>
    </row>
    <row r="120" spans="1:16">
      <c r="A120" s="468"/>
      <c r="B120" s="471"/>
      <c r="C120" s="480"/>
      <c r="D120" s="482"/>
      <c r="E120" s="482"/>
      <c r="F120" s="484"/>
      <c r="G120" s="482"/>
      <c r="H120" s="482"/>
      <c r="I120" s="482"/>
      <c r="J120" s="482"/>
      <c r="K120" s="482"/>
      <c r="L120" s="482"/>
      <c r="M120" s="482"/>
      <c r="N120" s="482"/>
      <c r="O120" s="492"/>
      <c r="P120" s="445"/>
    </row>
    <row r="121" spans="1:16">
      <c r="A121" s="468"/>
      <c r="B121" s="86" t="s">
        <v>363</v>
      </c>
      <c r="C121" s="97">
        <v>45715</v>
      </c>
      <c r="D121" s="65">
        <v>45715</v>
      </c>
      <c r="E121" s="65">
        <v>45757</v>
      </c>
      <c r="F121" s="65">
        <v>45757</v>
      </c>
      <c r="G121" s="65">
        <v>45800</v>
      </c>
      <c r="H121" s="65">
        <v>45839</v>
      </c>
      <c r="I121" s="65">
        <v>45859</v>
      </c>
      <c r="J121" s="65">
        <v>45897</v>
      </c>
      <c r="K121" s="65">
        <v>45926</v>
      </c>
      <c r="L121" s="65"/>
      <c r="M121" s="65"/>
      <c r="N121" s="54"/>
      <c r="O121" s="54"/>
      <c r="P121" s="101"/>
    </row>
    <row r="122" spans="1:16">
      <c r="A122" s="501"/>
      <c r="B122" s="76" t="s">
        <v>377</v>
      </c>
      <c r="C122" s="73" t="s">
        <v>384</v>
      </c>
      <c r="D122" s="54" t="s">
        <v>384</v>
      </c>
      <c r="E122" s="54" t="s">
        <v>386</v>
      </c>
      <c r="F122" s="54" t="s">
        <v>384</v>
      </c>
      <c r="G122" s="54" t="s">
        <v>384</v>
      </c>
      <c r="H122" s="54" t="s">
        <v>384</v>
      </c>
      <c r="I122" s="54" t="s">
        <v>384</v>
      </c>
      <c r="J122" s="54" t="s">
        <v>384</v>
      </c>
      <c r="K122" s="54" t="s">
        <v>384</v>
      </c>
      <c r="L122" s="54"/>
      <c r="M122" s="54"/>
      <c r="N122" s="54"/>
      <c r="O122" s="54"/>
      <c r="P122" s="101"/>
    </row>
    <row r="123" spans="1:16" ht="15" customHeight="1">
      <c r="A123" s="467">
        <v>48</v>
      </c>
      <c r="B123" s="470" t="s">
        <v>1753</v>
      </c>
      <c r="C123" s="479"/>
      <c r="D123" s="481"/>
      <c r="E123" s="481"/>
      <c r="F123" s="483"/>
      <c r="G123" s="481"/>
      <c r="H123" s="481"/>
      <c r="I123" s="481"/>
      <c r="J123" s="481"/>
      <c r="K123" s="481"/>
      <c r="L123" s="481"/>
      <c r="M123" s="482"/>
      <c r="N123" s="482"/>
      <c r="O123" s="491"/>
      <c r="P123" s="476">
        <f>SUM(C123:O124)</f>
        <v>0</v>
      </c>
    </row>
    <row r="124" spans="1:16">
      <c r="A124" s="468"/>
      <c r="B124" s="471"/>
      <c r="C124" s="480"/>
      <c r="D124" s="482"/>
      <c r="E124" s="482"/>
      <c r="F124" s="484"/>
      <c r="G124" s="482"/>
      <c r="H124" s="482"/>
      <c r="I124" s="482"/>
      <c r="J124" s="482"/>
      <c r="K124" s="482"/>
      <c r="L124" s="482"/>
      <c r="M124" s="482"/>
      <c r="N124" s="482"/>
      <c r="O124" s="492"/>
      <c r="P124" s="445"/>
    </row>
    <row r="125" spans="1:16">
      <c r="A125" s="468"/>
      <c r="B125" s="86" t="s">
        <v>363</v>
      </c>
      <c r="C125" s="97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54"/>
      <c r="O125" s="54"/>
      <c r="P125" s="101"/>
    </row>
    <row r="126" spans="1:16">
      <c r="A126" s="478"/>
      <c r="B126" s="76" t="s">
        <v>377</v>
      </c>
      <c r="C126" s="73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101"/>
    </row>
    <row r="127" spans="1:16" ht="15" customHeight="1">
      <c r="A127" s="467">
        <v>49</v>
      </c>
      <c r="B127" s="470" t="s">
        <v>183</v>
      </c>
      <c r="C127" s="479"/>
      <c r="D127" s="479"/>
      <c r="E127" s="479"/>
      <c r="F127" s="479"/>
      <c r="G127" s="481"/>
      <c r="H127" s="482"/>
      <c r="I127" s="482"/>
      <c r="J127" s="482"/>
      <c r="K127" s="482"/>
      <c r="L127" s="482"/>
      <c r="M127" s="482"/>
      <c r="N127" s="482"/>
      <c r="O127" s="491"/>
      <c r="P127" s="476">
        <f>SUM(C127:O128)</f>
        <v>0</v>
      </c>
    </row>
    <row r="128" spans="1:16">
      <c r="A128" s="468"/>
      <c r="B128" s="471"/>
      <c r="C128" s="480"/>
      <c r="D128" s="480"/>
      <c r="E128" s="480"/>
      <c r="F128" s="480"/>
      <c r="G128" s="482"/>
      <c r="H128" s="482"/>
      <c r="I128" s="482"/>
      <c r="J128" s="482"/>
      <c r="K128" s="482"/>
      <c r="L128" s="482"/>
      <c r="M128" s="482"/>
      <c r="N128" s="482"/>
      <c r="O128" s="492"/>
      <c r="P128" s="445"/>
    </row>
    <row r="129" spans="1:16">
      <c r="A129" s="468"/>
      <c r="B129" s="76" t="s">
        <v>363</v>
      </c>
      <c r="C129" s="97"/>
      <c r="D129" s="97"/>
      <c r="E129" s="97"/>
      <c r="F129" s="97"/>
      <c r="G129" s="65"/>
      <c r="H129" s="54"/>
      <c r="I129" s="54"/>
      <c r="J129" s="54"/>
      <c r="K129" s="54"/>
      <c r="L129" s="54"/>
      <c r="M129" s="54"/>
      <c r="N129" s="54"/>
      <c r="O129" s="54"/>
      <c r="P129" s="101"/>
    </row>
    <row r="130" spans="1:16">
      <c r="A130" s="478"/>
      <c r="B130" s="77" t="s">
        <v>377</v>
      </c>
      <c r="C130" s="73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101"/>
    </row>
    <row r="131" spans="1:16">
      <c r="A131" s="467">
        <v>50</v>
      </c>
      <c r="B131" s="470" t="s">
        <v>184</v>
      </c>
      <c r="C131" s="479"/>
      <c r="D131" s="481"/>
      <c r="E131" s="482"/>
      <c r="F131" s="482"/>
      <c r="G131" s="482"/>
      <c r="H131" s="482"/>
      <c r="I131" s="482"/>
      <c r="J131" s="482"/>
      <c r="K131" s="482"/>
      <c r="L131" s="482"/>
      <c r="M131" s="482"/>
      <c r="N131" s="482"/>
      <c r="O131" s="491"/>
      <c r="P131" s="476">
        <f>SUM(C131:O132)</f>
        <v>0</v>
      </c>
    </row>
    <row r="132" spans="1:16">
      <c r="A132" s="468"/>
      <c r="B132" s="471"/>
      <c r="C132" s="480"/>
      <c r="D132" s="482"/>
      <c r="E132" s="482"/>
      <c r="F132" s="482"/>
      <c r="G132" s="482"/>
      <c r="H132" s="482"/>
      <c r="I132" s="482"/>
      <c r="J132" s="482"/>
      <c r="K132" s="482"/>
      <c r="L132" s="482"/>
      <c r="M132" s="482"/>
      <c r="N132" s="482"/>
      <c r="O132" s="492"/>
      <c r="P132" s="445"/>
    </row>
    <row r="133" spans="1:16">
      <c r="A133" s="468"/>
      <c r="B133" s="76" t="s">
        <v>363</v>
      </c>
      <c r="C133" s="97"/>
      <c r="D133" s="65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101"/>
    </row>
    <row r="134" spans="1:16">
      <c r="A134" s="478"/>
      <c r="B134" s="77" t="s">
        <v>377</v>
      </c>
      <c r="C134" s="73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101"/>
    </row>
    <row r="135" spans="1:16" ht="15" customHeight="1">
      <c r="A135" s="467">
        <v>51</v>
      </c>
      <c r="B135" s="470" t="s">
        <v>33</v>
      </c>
      <c r="C135" s="481">
        <v>830</v>
      </c>
      <c r="D135" s="481">
        <v>830</v>
      </c>
      <c r="E135" s="481">
        <v>830</v>
      </c>
      <c r="F135" s="481"/>
      <c r="G135" s="481"/>
      <c r="H135" s="481"/>
      <c r="I135" s="481"/>
      <c r="J135" s="481"/>
      <c r="K135" s="481"/>
      <c r="L135" s="481"/>
      <c r="M135" s="482"/>
      <c r="N135" s="482"/>
      <c r="O135" s="491"/>
      <c r="P135" s="476">
        <f>SUM(C135:O136)</f>
        <v>2490</v>
      </c>
    </row>
    <row r="136" spans="1:16">
      <c r="A136" s="468"/>
      <c r="B136" s="471"/>
      <c r="C136" s="482"/>
      <c r="D136" s="482"/>
      <c r="E136" s="482"/>
      <c r="F136" s="482"/>
      <c r="G136" s="482"/>
      <c r="H136" s="482"/>
      <c r="I136" s="482"/>
      <c r="J136" s="482"/>
      <c r="K136" s="482"/>
      <c r="L136" s="482"/>
      <c r="M136" s="482"/>
      <c r="N136" s="482"/>
      <c r="O136" s="492"/>
      <c r="P136" s="445"/>
    </row>
    <row r="137" spans="1:16">
      <c r="A137" s="468"/>
      <c r="B137" s="86" t="s">
        <v>363</v>
      </c>
      <c r="C137" s="97">
        <v>45748</v>
      </c>
      <c r="D137" s="65">
        <v>45782</v>
      </c>
      <c r="E137" s="65">
        <v>45812</v>
      </c>
      <c r="F137" s="65"/>
      <c r="G137" s="65"/>
      <c r="H137" s="65"/>
      <c r="I137" s="65"/>
      <c r="J137" s="65"/>
      <c r="K137" s="65"/>
      <c r="L137" s="65"/>
      <c r="M137" s="64"/>
      <c r="N137" s="54"/>
      <c r="O137" s="54"/>
      <c r="P137" s="101"/>
    </row>
    <row r="138" spans="1:16">
      <c r="A138" s="478"/>
      <c r="B138" s="76" t="s">
        <v>377</v>
      </c>
      <c r="C138" s="73" t="s">
        <v>386</v>
      </c>
      <c r="D138" s="54" t="s">
        <v>386</v>
      </c>
      <c r="E138" s="54" t="s">
        <v>386</v>
      </c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101"/>
    </row>
    <row r="139" spans="1:16">
      <c r="A139" s="467">
        <v>52</v>
      </c>
      <c r="B139" s="470" t="s">
        <v>321</v>
      </c>
      <c r="C139" s="479"/>
      <c r="D139" s="481"/>
      <c r="E139" s="481"/>
      <c r="F139" s="481"/>
      <c r="G139" s="482"/>
      <c r="H139" s="482"/>
      <c r="I139" s="482"/>
      <c r="J139" s="482"/>
      <c r="K139" s="482"/>
      <c r="L139" s="482"/>
      <c r="M139" s="482"/>
      <c r="N139" s="482"/>
      <c r="O139" s="491"/>
      <c r="P139" s="476">
        <f>SUM(C139:O140)</f>
        <v>0</v>
      </c>
    </row>
    <row r="140" spans="1:16">
      <c r="A140" s="468"/>
      <c r="B140" s="471"/>
      <c r="C140" s="480"/>
      <c r="D140" s="482"/>
      <c r="E140" s="482"/>
      <c r="F140" s="482"/>
      <c r="G140" s="482"/>
      <c r="H140" s="482"/>
      <c r="I140" s="482"/>
      <c r="J140" s="482"/>
      <c r="K140" s="482"/>
      <c r="L140" s="482"/>
      <c r="M140" s="482"/>
      <c r="N140" s="482"/>
      <c r="O140" s="492"/>
      <c r="P140" s="445"/>
    </row>
    <row r="141" spans="1:16">
      <c r="A141" s="468"/>
      <c r="B141" s="86" t="s">
        <v>363</v>
      </c>
      <c r="C141" s="97"/>
      <c r="D141" s="65"/>
      <c r="E141" s="65"/>
      <c r="F141" s="65"/>
      <c r="G141" s="54"/>
      <c r="H141" s="54"/>
      <c r="I141" s="54"/>
      <c r="J141" s="54"/>
      <c r="K141" s="54"/>
      <c r="L141" s="54"/>
      <c r="M141" s="65"/>
      <c r="N141" s="65"/>
      <c r="O141" s="54"/>
      <c r="P141" s="101"/>
    </row>
    <row r="142" spans="1:16">
      <c r="A142" s="501"/>
      <c r="B142" s="76" t="s">
        <v>377</v>
      </c>
      <c r="C142" s="73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101"/>
    </row>
    <row r="143" spans="1:16" ht="15" customHeight="1">
      <c r="A143" s="467">
        <v>53</v>
      </c>
      <c r="B143" s="533" t="s">
        <v>187</v>
      </c>
      <c r="C143" s="481"/>
      <c r="D143" s="482"/>
      <c r="E143" s="482"/>
      <c r="F143" s="482"/>
      <c r="G143" s="482"/>
      <c r="H143" s="482"/>
      <c r="I143" s="482"/>
      <c r="J143" s="482"/>
      <c r="K143" s="482"/>
      <c r="L143" s="482"/>
      <c r="M143" s="482"/>
      <c r="N143" s="482"/>
      <c r="O143" s="491"/>
      <c r="P143" s="476">
        <f>SUM(C143:O144)</f>
        <v>0</v>
      </c>
    </row>
    <row r="144" spans="1:16">
      <c r="A144" s="468"/>
      <c r="B144" s="533"/>
      <c r="C144" s="482"/>
      <c r="D144" s="482"/>
      <c r="E144" s="482"/>
      <c r="F144" s="482"/>
      <c r="G144" s="482"/>
      <c r="H144" s="482"/>
      <c r="I144" s="482"/>
      <c r="J144" s="482"/>
      <c r="K144" s="482"/>
      <c r="L144" s="482"/>
      <c r="M144" s="482"/>
      <c r="N144" s="482"/>
      <c r="O144" s="492"/>
      <c r="P144" s="445"/>
    </row>
    <row r="145" spans="1:16">
      <c r="A145" s="468"/>
      <c r="B145" s="82" t="s">
        <v>363</v>
      </c>
      <c r="C145" s="65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101"/>
    </row>
    <row r="146" spans="1:16">
      <c r="A146" s="478"/>
      <c r="B146" s="82" t="s">
        <v>377</v>
      </c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101"/>
    </row>
    <row r="147" spans="1:16" ht="30" customHeight="1">
      <c r="A147" s="470">
        <v>54</v>
      </c>
      <c r="B147" s="84" t="s">
        <v>1754</v>
      </c>
      <c r="C147" s="421">
        <v>420</v>
      </c>
      <c r="D147" s="421">
        <v>420</v>
      </c>
      <c r="E147" s="421">
        <v>420</v>
      </c>
      <c r="F147" s="421"/>
      <c r="G147" s="424"/>
      <c r="H147" s="424"/>
      <c r="I147" s="424"/>
      <c r="J147" s="424"/>
      <c r="K147" s="424"/>
      <c r="L147" s="424"/>
      <c r="M147" s="421"/>
      <c r="N147" s="421"/>
      <c r="O147" s="424"/>
      <c r="P147" s="101"/>
    </row>
    <row r="148" spans="1:16">
      <c r="A148" s="496"/>
      <c r="B148" s="84" t="s">
        <v>363</v>
      </c>
      <c r="C148" s="65">
        <v>45677</v>
      </c>
      <c r="D148" s="370">
        <v>45701</v>
      </c>
      <c r="E148" s="65">
        <v>45701</v>
      </c>
      <c r="F148" s="54"/>
      <c r="G148" s="118"/>
      <c r="H148" s="118"/>
      <c r="I148" s="118"/>
      <c r="J148" s="118"/>
      <c r="K148" s="118"/>
      <c r="L148" s="118"/>
      <c r="M148" s="54"/>
      <c r="N148" s="54"/>
      <c r="O148" s="118"/>
      <c r="P148" s="101"/>
    </row>
    <row r="149" spans="1:16">
      <c r="A149" s="471"/>
      <c r="B149" s="84" t="s">
        <v>377</v>
      </c>
      <c r="C149" s="54" t="s">
        <v>384</v>
      </c>
      <c r="D149" s="54" t="s">
        <v>384</v>
      </c>
      <c r="E149" s="54" t="s">
        <v>384</v>
      </c>
      <c r="F149" s="54"/>
      <c r="G149" s="118"/>
      <c r="H149" s="118"/>
      <c r="I149" s="118"/>
      <c r="J149" s="118"/>
      <c r="K149" s="118"/>
      <c r="L149" s="118"/>
      <c r="M149" s="54"/>
      <c r="N149" s="54"/>
      <c r="O149" s="118"/>
      <c r="P149" s="101"/>
    </row>
    <row r="150" spans="1:16" ht="15" customHeight="1">
      <c r="A150" s="467">
        <v>57</v>
      </c>
      <c r="B150" s="497" t="s">
        <v>39</v>
      </c>
      <c r="C150" s="481">
        <v>485</v>
      </c>
      <c r="D150" s="481">
        <v>485</v>
      </c>
      <c r="E150" s="481">
        <v>485</v>
      </c>
      <c r="F150" s="481">
        <v>485</v>
      </c>
      <c r="G150" s="483">
        <v>465</v>
      </c>
      <c r="H150" s="483">
        <v>465</v>
      </c>
      <c r="I150" s="483">
        <v>465</v>
      </c>
      <c r="J150" s="483">
        <v>465</v>
      </c>
      <c r="K150" s="483">
        <v>465</v>
      </c>
      <c r="L150" s="487">
        <v>465</v>
      </c>
      <c r="M150" s="486">
        <v>465</v>
      </c>
      <c r="N150" s="486">
        <v>465</v>
      </c>
      <c r="O150" s="487"/>
      <c r="P150" s="476">
        <f>SUM(C150:O151)</f>
        <v>5660</v>
      </c>
    </row>
    <row r="151" spans="1:16">
      <c r="A151" s="468"/>
      <c r="B151" s="542"/>
      <c r="C151" s="482"/>
      <c r="D151" s="482"/>
      <c r="E151" s="482"/>
      <c r="F151" s="482"/>
      <c r="G151" s="484"/>
      <c r="H151" s="484"/>
      <c r="I151" s="484"/>
      <c r="J151" s="484"/>
      <c r="K151" s="484"/>
      <c r="L151" s="488"/>
      <c r="M151" s="486"/>
      <c r="N151" s="486"/>
      <c r="O151" s="488"/>
      <c r="P151" s="445"/>
    </row>
    <row r="152" spans="1:16">
      <c r="A152" s="468"/>
      <c r="B152" s="87" t="s">
        <v>363</v>
      </c>
      <c r="C152" s="65">
        <v>45708</v>
      </c>
      <c r="D152" s="65">
        <v>45734</v>
      </c>
      <c r="E152" s="65">
        <v>45769</v>
      </c>
      <c r="F152" s="65">
        <v>45797</v>
      </c>
      <c r="G152" s="65">
        <v>45831</v>
      </c>
      <c r="H152" s="65">
        <v>45859</v>
      </c>
      <c r="I152" s="65">
        <v>45887</v>
      </c>
      <c r="J152" s="65">
        <v>45922</v>
      </c>
      <c r="K152" s="65">
        <v>45951</v>
      </c>
      <c r="L152" s="65">
        <v>45978</v>
      </c>
      <c r="M152" s="65">
        <v>46008</v>
      </c>
      <c r="N152" s="65">
        <v>46008</v>
      </c>
      <c r="O152" s="64"/>
      <c r="P152" s="101"/>
    </row>
    <row r="153" spans="1:16">
      <c r="A153" s="501"/>
      <c r="B153" s="84" t="s">
        <v>377</v>
      </c>
      <c r="C153" s="54" t="s">
        <v>386</v>
      </c>
      <c r="D153" s="54" t="s">
        <v>385</v>
      </c>
      <c r="E153" s="54" t="s">
        <v>386</v>
      </c>
      <c r="F153" s="54" t="s">
        <v>385</v>
      </c>
      <c r="G153" s="54" t="s">
        <v>386</v>
      </c>
      <c r="H153" s="54" t="s">
        <v>386</v>
      </c>
      <c r="I153" s="54" t="s">
        <v>385</v>
      </c>
      <c r="J153" s="54" t="s">
        <v>385</v>
      </c>
      <c r="K153" s="54" t="s">
        <v>385</v>
      </c>
      <c r="L153" s="54" t="s">
        <v>385</v>
      </c>
      <c r="M153" s="54" t="s">
        <v>385</v>
      </c>
      <c r="N153" s="54" t="s">
        <v>385</v>
      </c>
      <c r="O153" s="54"/>
      <c r="P153" s="101"/>
    </row>
    <row r="154" spans="1:16" ht="15" customHeight="1">
      <c r="A154" s="467">
        <v>60</v>
      </c>
      <c r="B154" s="497" t="s">
        <v>322</v>
      </c>
      <c r="C154" s="481">
        <v>375</v>
      </c>
      <c r="D154" s="481">
        <v>375</v>
      </c>
      <c r="E154" s="481">
        <v>375</v>
      </c>
      <c r="F154" s="481">
        <v>375</v>
      </c>
      <c r="G154" s="481">
        <v>375</v>
      </c>
      <c r="H154" s="481">
        <v>375</v>
      </c>
      <c r="I154" s="481">
        <v>375</v>
      </c>
      <c r="J154" s="481">
        <v>200</v>
      </c>
      <c r="K154" s="481">
        <v>200</v>
      </c>
      <c r="L154" s="481">
        <v>200</v>
      </c>
      <c r="M154" s="482"/>
      <c r="N154" s="482"/>
      <c r="O154" s="491"/>
      <c r="P154" s="476">
        <f>SUM(C154:O155)</f>
        <v>3225</v>
      </c>
    </row>
    <row r="155" spans="1:16">
      <c r="A155" s="468"/>
      <c r="B155" s="558"/>
      <c r="C155" s="482"/>
      <c r="D155" s="482"/>
      <c r="E155" s="482"/>
      <c r="F155" s="482"/>
      <c r="G155" s="482"/>
      <c r="H155" s="482"/>
      <c r="I155" s="482"/>
      <c r="J155" s="482"/>
      <c r="K155" s="482"/>
      <c r="L155" s="482"/>
      <c r="M155" s="482"/>
      <c r="N155" s="482"/>
      <c r="O155" s="492"/>
      <c r="P155" s="445"/>
    </row>
    <row r="156" spans="1:16">
      <c r="A156" s="468"/>
      <c r="B156" s="84" t="s">
        <v>363</v>
      </c>
      <c r="C156" s="65">
        <v>45715</v>
      </c>
      <c r="D156" s="65">
        <v>45757</v>
      </c>
      <c r="E156" s="65">
        <v>45757</v>
      </c>
      <c r="F156" s="65">
        <v>45800</v>
      </c>
      <c r="G156" s="65">
        <v>45839</v>
      </c>
      <c r="H156" s="65">
        <v>45859</v>
      </c>
      <c r="I156" s="65">
        <v>45897</v>
      </c>
      <c r="J156" s="65">
        <v>45926</v>
      </c>
      <c r="K156" s="65">
        <v>45960</v>
      </c>
      <c r="L156" s="65">
        <v>45988</v>
      </c>
      <c r="M156" s="64"/>
      <c r="N156" s="64"/>
      <c r="O156" s="54"/>
      <c r="P156" s="101"/>
    </row>
    <row r="157" spans="1:16">
      <c r="A157" s="501"/>
      <c r="B157" s="84" t="s">
        <v>377</v>
      </c>
      <c r="C157" s="54" t="s">
        <v>386</v>
      </c>
      <c r="D157" s="54" t="s">
        <v>384</v>
      </c>
      <c r="E157" s="54" t="s">
        <v>384</v>
      </c>
      <c r="F157" s="54" t="s">
        <v>385</v>
      </c>
      <c r="G157" s="54" t="s">
        <v>384</v>
      </c>
      <c r="H157" s="54" t="s">
        <v>384</v>
      </c>
      <c r="I157" s="54" t="s">
        <v>385</v>
      </c>
      <c r="J157" s="54" t="s">
        <v>384</v>
      </c>
      <c r="K157" s="54" t="s">
        <v>385</v>
      </c>
      <c r="L157" s="54" t="s">
        <v>385</v>
      </c>
      <c r="M157" s="54"/>
      <c r="N157" s="54"/>
      <c r="O157" s="54"/>
      <c r="P157" s="101"/>
    </row>
    <row r="158" spans="1:16" ht="15" customHeight="1">
      <c r="A158" s="467">
        <v>61</v>
      </c>
      <c r="B158" s="563" t="s">
        <v>2254</v>
      </c>
      <c r="C158" s="473">
        <v>775</v>
      </c>
      <c r="D158" s="473">
        <v>775</v>
      </c>
      <c r="E158" s="473">
        <v>775</v>
      </c>
      <c r="F158" s="473">
        <v>775</v>
      </c>
      <c r="G158" s="473">
        <v>775</v>
      </c>
      <c r="H158" s="473">
        <v>775</v>
      </c>
      <c r="I158" s="473">
        <v>775</v>
      </c>
      <c r="J158" s="473">
        <v>775</v>
      </c>
      <c r="K158" s="473">
        <v>775</v>
      </c>
      <c r="L158" s="473">
        <v>775</v>
      </c>
      <c r="M158" s="473">
        <v>775</v>
      </c>
      <c r="N158" s="473">
        <v>775</v>
      </c>
      <c r="O158" s="474"/>
      <c r="P158" s="476">
        <f>SUM(C158:O159)</f>
        <v>9300</v>
      </c>
    </row>
    <row r="159" spans="1:16">
      <c r="A159" s="468"/>
      <c r="B159" s="564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5"/>
      <c r="P159" s="445"/>
    </row>
    <row r="160" spans="1:16">
      <c r="A160" s="468"/>
      <c r="B160" s="84" t="s">
        <v>363</v>
      </c>
      <c r="C160" s="65">
        <v>45708</v>
      </c>
      <c r="D160" s="65">
        <v>45736</v>
      </c>
      <c r="E160" s="65">
        <v>45769</v>
      </c>
      <c r="F160" s="65">
        <v>45797</v>
      </c>
      <c r="G160" s="65">
        <v>45828</v>
      </c>
      <c r="H160" s="65">
        <v>45859</v>
      </c>
      <c r="I160" s="65">
        <v>45889</v>
      </c>
      <c r="J160" s="65">
        <v>45922</v>
      </c>
      <c r="K160" s="65">
        <v>45950</v>
      </c>
      <c r="L160" s="65">
        <v>45982</v>
      </c>
      <c r="M160" s="65">
        <v>46010</v>
      </c>
      <c r="N160" s="65">
        <v>46010</v>
      </c>
      <c r="O160" s="54"/>
      <c r="P160" s="101"/>
    </row>
    <row r="161" spans="1:16">
      <c r="A161" s="478"/>
      <c r="B161" s="82" t="s">
        <v>377</v>
      </c>
      <c r="C161" s="54" t="s">
        <v>1486</v>
      </c>
      <c r="D161" s="54" t="s">
        <v>1486</v>
      </c>
      <c r="E161" s="54" t="s">
        <v>1486</v>
      </c>
      <c r="F161" s="54" t="s">
        <v>1486</v>
      </c>
      <c r="G161" s="54" t="s">
        <v>1486</v>
      </c>
      <c r="H161" s="54" t="s">
        <v>1486</v>
      </c>
      <c r="I161" s="54" t="s">
        <v>1486</v>
      </c>
      <c r="J161" s="54" t="s">
        <v>1486</v>
      </c>
      <c r="K161" s="54" t="s">
        <v>1486</v>
      </c>
      <c r="L161" s="54" t="s">
        <v>1486</v>
      </c>
      <c r="M161" s="54" t="s">
        <v>1486</v>
      </c>
      <c r="N161" s="54" t="s">
        <v>1486</v>
      </c>
      <c r="O161" s="54"/>
      <c r="P161" s="101"/>
    </row>
    <row r="162" spans="1:16" ht="15" customHeight="1">
      <c r="A162" s="467">
        <v>63</v>
      </c>
      <c r="B162" s="497" t="s">
        <v>2159</v>
      </c>
      <c r="C162" s="481"/>
      <c r="D162" s="481"/>
      <c r="E162" s="481"/>
      <c r="F162" s="481">
        <v>455</v>
      </c>
      <c r="G162" s="481"/>
      <c r="H162" s="481">
        <v>455</v>
      </c>
      <c r="I162" s="481"/>
      <c r="J162" s="481"/>
      <c r="K162" s="482"/>
      <c r="L162" s="482"/>
      <c r="M162" s="482"/>
      <c r="N162" s="482"/>
      <c r="O162" s="491"/>
      <c r="P162" s="476">
        <f>SUM(C162:O163)</f>
        <v>910</v>
      </c>
    </row>
    <row r="163" spans="1:16">
      <c r="A163" s="468"/>
      <c r="B163" s="558"/>
      <c r="C163" s="482"/>
      <c r="D163" s="482"/>
      <c r="E163" s="482"/>
      <c r="F163" s="482"/>
      <c r="G163" s="482"/>
      <c r="H163" s="482"/>
      <c r="I163" s="482"/>
      <c r="J163" s="482"/>
      <c r="K163" s="482"/>
      <c r="L163" s="482"/>
      <c r="M163" s="482"/>
      <c r="N163" s="482"/>
      <c r="O163" s="492"/>
      <c r="P163" s="445"/>
    </row>
    <row r="164" spans="1:16">
      <c r="A164" s="468"/>
      <c r="B164" s="84" t="s">
        <v>363</v>
      </c>
      <c r="C164" s="65"/>
      <c r="D164" s="65"/>
      <c r="E164" s="65"/>
      <c r="F164" s="65">
        <v>45789</v>
      </c>
      <c r="G164" s="65"/>
      <c r="H164" s="65">
        <v>45867</v>
      </c>
      <c r="I164" s="65"/>
      <c r="J164" s="54"/>
      <c r="K164" s="54"/>
      <c r="L164" s="54"/>
      <c r="M164" s="54"/>
      <c r="N164" s="54"/>
      <c r="O164" s="54"/>
      <c r="P164" s="101"/>
    </row>
    <row r="165" spans="1:16">
      <c r="A165" s="478"/>
      <c r="B165" s="82" t="s">
        <v>377</v>
      </c>
      <c r="C165" s="54"/>
      <c r="D165" s="54"/>
      <c r="E165" s="54"/>
      <c r="F165" s="54" t="s">
        <v>384</v>
      </c>
      <c r="G165" s="54"/>
      <c r="H165" s="54" t="s">
        <v>384</v>
      </c>
      <c r="I165" s="54"/>
      <c r="J165" s="54"/>
      <c r="K165" s="54"/>
      <c r="L165" s="54"/>
      <c r="M165" s="54"/>
      <c r="N165" s="54"/>
      <c r="O165" s="54"/>
      <c r="P165" s="101"/>
    </row>
    <row r="166" spans="1:16" ht="25.5" customHeight="1">
      <c r="A166" s="485">
        <v>64</v>
      </c>
      <c r="B166" s="497" t="s">
        <v>192</v>
      </c>
      <c r="C166" s="481"/>
      <c r="D166" s="481"/>
      <c r="E166" s="481"/>
      <c r="F166" s="481"/>
      <c r="G166" s="481"/>
      <c r="H166" s="481"/>
      <c r="I166" s="481"/>
      <c r="J166" s="481"/>
      <c r="K166" s="481"/>
      <c r="L166" s="482"/>
      <c r="M166" s="482"/>
      <c r="N166" s="482"/>
      <c r="O166" s="491"/>
      <c r="P166" s="476">
        <f>SUM(C166:O167)</f>
        <v>0</v>
      </c>
    </row>
    <row r="167" spans="1:16">
      <c r="A167" s="468"/>
      <c r="B167" s="542"/>
      <c r="C167" s="482"/>
      <c r="D167" s="482"/>
      <c r="E167" s="482"/>
      <c r="F167" s="482"/>
      <c r="G167" s="482"/>
      <c r="H167" s="482"/>
      <c r="I167" s="482"/>
      <c r="J167" s="482"/>
      <c r="K167" s="482"/>
      <c r="L167" s="482"/>
      <c r="M167" s="482"/>
      <c r="N167" s="482"/>
      <c r="O167" s="492"/>
      <c r="P167" s="445"/>
    </row>
    <row r="168" spans="1:16">
      <c r="A168" s="468"/>
      <c r="B168" s="82" t="s">
        <v>363</v>
      </c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4"/>
      <c r="P168" s="101"/>
    </row>
    <row r="169" spans="1:16">
      <c r="A169" s="501"/>
      <c r="B169" s="87" t="s">
        <v>377</v>
      </c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101"/>
    </row>
    <row r="170" spans="1:16" ht="25.5" customHeight="1">
      <c r="A170" s="467">
        <v>65</v>
      </c>
      <c r="B170" s="497" t="s">
        <v>324</v>
      </c>
      <c r="C170" s="481"/>
      <c r="D170" s="481"/>
      <c r="E170" s="481"/>
      <c r="F170" s="481"/>
      <c r="G170" s="481"/>
      <c r="H170" s="481"/>
      <c r="I170" s="482"/>
      <c r="J170" s="481"/>
      <c r="K170" s="482"/>
      <c r="L170" s="482"/>
      <c r="M170" s="482"/>
      <c r="N170" s="482"/>
      <c r="O170" s="491"/>
      <c r="P170" s="476">
        <f>SUM(C170:O171)</f>
        <v>0</v>
      </c>
    </row>
    <row r="171" spans="1:16">
      <c r="A171" s="468"/>
      <c r="B171" s="542"/>
      <c r="C171" s="482"/>
      <c r="D171" s="482"/>
      <c r="E171" s="482"/>
      <c r="F171" s="482"/>
      <c r="G171" s="482"/>
      <c r="H171" s="482"/>
      <c r="I171" s="482"/>
      <c r="J171" s="482"/>
      <c r="K171" s="482"/>
      <c r="L171" s="482"/>
      <c r="M171" s="482"/>
      <c r="N171" s="482"/>
      <c r="O171" s="492"/>
      <c r="P171" s="445"/>
    </row>
    <row r="172" spans="1:16">
      <c r="A172" s="468"/>
      <c r="B172" s="82" t="s">
        <v>363</v>
      </c>
      <c r="C172" s="65"/>
      <c r="D172" s="65"/>
      <c r="E172" s="65"/>
      <c r="F172" s="65"/>
      <c r="G172" s="65"/>
      <c r="H172" s="65"/>
      <c r="I172" s="54"/>
      <c r="J172" s="65"/>
      <c r="K172" s="54"/>
      <c r="L172" s="54"/>
      <c r="M172" s="54"/>
      <c r="N172" s="54"/>
      <c r="O172" s="54"/>
      <c r="P172" s="101"/>
    </row>
    <row r="173" spans="1:16">
      <c r="A173" s="478"/>
      <c r="B173" s="87" t="s">
        <v>377</v>
      </c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101"/>
    </row>
    <row r="174" spans="1:16" ht="15" customHeight="1">
      <c r="A174" s="467">
        <v>69</v>
      </c>
      <c r="B174" s="470" t="s">
        <v>44</v>
      </c>
      <c r="C174" s="479">
        <v>1490</v>
      </c>
      <c r="D174" s="479">
        <v>1490</v>
      </c>
      <c r="E174" s="479">
        <v>1490</v>
      </c>
      <c r="F174" s="481">
        <v>1450</v>
      </c>
      <c r="G174" s="481">
        <v>1450</v>
      </c>
      <c r="H174" s="487">
        <v>1490</v>
      </c>
      <c r="I174" s="432">
        <v>1490</v>
      </c>
      <c r="J174" s="486">
        <v>1490</v>
      </c>
      <c r="K174" s="487">
        <v>1490</v>
      </c>
      <c r="L174" s="486">
        <v>1490</v>
      </c>
      <c r="M174" s="486">
        <v>1490</v>
      </c>
      <c r="N174" s="486">
        <v>1490</v>
      </c>
      <c r="O174" s="487"/>
      <c r="P174" s="476">
        <f>SUM(C174:O175)</f>
        <v>17800</v>
      </c>
    </row>
    <row r="175" spans="1:16">
      <c r="A175" s="468"/>
      <c r="B175" s="471"/>
      <c r="C175" s="480"/>
      <c r="D175" s="480"/>
      <c r="E175" s="480"/>
      <c r="F175" s="482"/>
      <c r="G175" s="482"/>
      <c r="H175" s="488"/>
      <c r="I175" s="432"/>
      <c r="J175" s="486"/>
      <c r="K175" s="488"/>
      <c r="L175" s="486"/>
      <c r="M175" s="486"/>
      <c r="N175" s="486"/>
      <c r="O175" s="488"/>
      <c r="P175" s="445"/>
    </row>
    <row r="176" spans="1:16">
      <c r="A176" s="468"/>
      <c r="B176" s="86" t="s">
        <v>363</v>
      </c>
      <c r="C176" s="97">
        <v>45721</v>
      </c>
      <c r="D176" s="65">
        <v>45757</v>
      </c>
      <c r="E176" s="65">
        <v>45757</v>
      </c>
      <c r="F176" s="65">
        <v>45817</v>
      </c>
      <c r="G176" s="65">
        <v>45817</v>
      </c>
      <c r="H176" s="65">
        <v>45873</v>
      </c>
      <c r="I176" s="295">
        <v>45929</v>
      </c>
      <c r="J176" s="65">
        <v>45929</v>
      </c>
      <c r="K176" s="65">
        <v>45960</v>
      </c>
      <c r="L176" s="65">
        <v>45986</v>
      </c>
      <c r="M176" s="65">
        <v>46006</v>
      </c>
      <c r="N176" s="65">
        <v>46006</v>
      </c>
      <c r="O176" s="54"/>
      <c r="P176" s="101"/>
    </row>
    <row r="177" spans="1:16">
      <c r="A177" s="478"/>
      <c r="B177" s="86" t="s">
        <v>377</v>
      </c>
      <c r="C177" s="73" t="s">
        <v>384</v>
      </c>
      <c r="D177" s="54" t="s">
        <v>384</v>
      </c>
      <c r="E177" s="54" t="s">
        <v>384</v>
      </c>
      <c r="F177" s="54" t="s">
        <v>2034</v>
      </c>
      <c r="G177" s="54" t="s">
        <v>2034</v>
      </c>
      <c r="H177" s="54" t="s">
        <v>386</v>
      </c>
      <c r="I177" s="427" t="s">
        <v>384</v>
      </c>
      <c r="J177" s="54" t="s">
        <v>384</v>
      </c>
      <c r="K177" s="54" t="s">
        <v>384</v>
      </c>
      <c r="L177" s="54" t="s">
        <v>386</v>
      </c>
      <c r="M177" s="54" t="s">
        <v>385</v>
      </c>
      <c r="N177" s="54" t="s">
        <v>385</v>
      </c>
      <c r="O177" s="54"/>
      <c r="P177" s="101"/>
    </row>
    <row r="178" spans="1:16" ht="15" customHeight="1">
      <c r="A178" s="467">
        <v>71</v>
      </c>
      <c r="B178" s="470" t="s">
        <v>1514</v>
      </c>
      <c r="C178" s="479">
        <v>365</v>
      </c>
      <c r="D178" s="482"/>
      <c r="E178" s="481">
        <v>365</v>
      </c>
      <c r="F178" s="481">
        <v>380</v>
      </c>
      <c r="G178" s="481">
        <v>380</v>
      </c>
      <c r="H178" s="486">
        <v>380</v>
      </c>
      <c r="I178" s="487">
        <v>380</v>
      </c>
      <c r="J178" s="486">
        <v>380</v>
      </c>
      <c r="K178" s="487">
        <v>380</v>
      </c>
      <c r="L178" s="486">
        <v>380</v>
      </c>
      <c r="M178" s="486">
        <v>380</v>
      </c>
      <c r="N178" s="482"/>
      <c r="O178" s="491"/>
      <c r="P178" s="476">
        <f>SUM(C178:O179)</f>
        <v>3770</v>
      </c>
    </row>
    <row r="179" spans="1:16">
      <c r="A179" s="468"/>
      <c r="B179" s="471"/>
      <c r="C179" s="480"/>
      <c r="D179" s="482"/>
      <c r="E179" s="482"/>
      <c r="F179" s="482"/>
      <c r="G179" s="482"/>
      <c r="H179" s="486"/>
      <c r="I179" s="488"/>
      <c r="J179" s="486"/>
      <c r="K179" s="488"/>
      <c r="L179" s="486"/>
      <c r="M179" s="486"/>
      <c r="N179" s="482"/>
      <c r="O179" s="492"/>
      <c r="P179" s="445"/>
    </row>
    <row r="180" spans="1:16">
      <c r="A180" s="468"/>
      <c r="B180" s="86" t="s">
        <v>363</v>
      </c>
      <c r="C180" s="97">
        <v>45734</v>
      </c>
      <c r="D180" s="65"/>
      <c r="E180" s="65">
        <v>45769</v>
      </c>
      <c r="F180" s="65">
        <v>45796</v>
      </c>
      <c r="G180" s="65">
        <v>45813</v>
      </c>
      <c r="H180" s="65">
        <v>45859</v>
      </c>
      <c r="I180" s="65">
        <v>45889</v>
      </c>
      <c r="J180" s="65">
        <v>45919</v>
      </c>
      <c r="K180" s="65">
        <v>45950</v>
      </c>
      <c r="L180" s="65">
        <v>45980</v>
      </c>
      <c r="M180" s="65">
        <v>46010</v>
      </c>
      <c r="N180" s="54"/>
      <c r="O180" s="54"/>
      <c r="P180" s="101"/>
    </row>
    <row r="181" spans="1:16">
      <c r="A181" s="478"/>
      <c r="B181" s="86" t="s">
        <v>377</v>
      </c>
      <c r="C181" s="73" t="s">
        <v>384</v>
      </c>
      <c r="D181" s="54"/>
      <c r="E181" s="54" t="s">
        <v>384</v>
      </c>
      <c r="F181" s="54" t="s">
        <v>384</v>
      </c>
      <c r="G181" s="54" t="s">
        <v>384</v>
      </c>
      <c r="H181" s="54" t="s">
        <v>384</v>
      </c>
      <c r="I181" s="54" t="s">
        <v>384</v>
      </c>
      <c r="J181" s="54" t="s">
        <v>384</v>
      </c>
      <c r="K181" s="54" t="s">
        <v>384</v>
      </c>
      <c r="L181" s="54" t="s">
        <v>384</v>
      </c>
      <c r="M181" s="54" t="s">
        <v>384</v>
      </c>
      <c r="N181" s="54"/>
      <c r="O181" s="54"/>
      <c r="P181" s="101"/>
    </row>
    <row r="182" spans="1:16" ht="25.5" customHeight="1">
      <c r="A182" s="467">
        <v>74</v>
      </c>
      <c r="B182" s="470" t="s">
        <v>197</v>
      </c>
      <c r="C182" s="479">
        <v>1060</v>
      </c>
      <c r="D182" s="479">
        <v>1060</v>
      </c>
      <c r="E182" s="481">
        <v>1060</v>
      </c>
      <c r="F182" s="481">
        <v>1060</v>
      </c>
      <c r="G182" s="481">
        <v>1060</v>
      </c>
      <c r="H182" s="481">
        <v>1060</v>
      </c>
      <c r="I182" s="481">
        <v>1060</v>
      </c>
      <c r="J182" s="481">
        <v>1060</v>
      </c>
      <c r="K182" s="481">
        <v>1060</v>
      </c>
      <c r="L182" s="481">
        <v>1060</v>
      </c>
      <c r="M182" s="481"/>
      <c r="N182" s="481"/>
      <c r="O182" s="491"/>
      <c r="P182" s="476">
        <f>SUM(C182:O183)</f>
        <v>10600</v>
      </c>
    </row>
    <row r="183" spans="1:16">
      <c r="A183" s="468"/>
      <c r="B183" s="471"/>
      <c r="C183" s="480"/>
      <c r="D183" s="480"/>
      <c r="E183" s="482"/>
      <c r="F183" s="482"/>
      <c r="G183" s="482"/>
      <c r="H183" s="482"/>
      <c r="I183" s="482"/>
      <c r="J183" s="482"/>
      <c r="K183" s="482"/>
      <c r="L183" s="482"/>
      <c r="M183" s="482"/>
      <c r="N183" s="482"/>
      <c r="O183" s="492"/>
      <c r="P183" s="445"/>
    </row>
    <row r="184" spans="1:16">
      <c r="A184" s="468"/>
      <c r="B184" s="87" t="s">
        <v>363</v>
      </c>
      <c r="C184" s="65">
        <v>45699</v>
      </c>
      <c r="D184" s="65">
        <v>45727</v>
      </c>
      <c r="E184" s="65">
        <v>45758</v>
      </c>
      <c r="F184" s="65">
        <v>45791</v>
      </c>
      <c r="G184" s="65">
        <v>45813</v>
      </c>
      <c r="H184" s="65">
        <v>45853</v>
      </c>
      <c r="I184" s="65">
        <v>45883</v>
      </c>
      <c r="J184" s="65">
        <v>45915</v>
      </c>
      <c r="K184" s="65">
        <v>45940</v>
      </c>
      <c r="L184" s="65">
        <v>45971</v>
      </c>
      <c r="M184" s="65"/>
      <c r="N184" s="65"/>
      <c r="O184" s="64"/>
      <c r="P184" s="101"/>
    </row>
    <row r="185" spans="1:16">
      <c r="A185" s="478"/>
      <c r="B185" s="76" t="s">
        <v>377</v>
      </c>
      <c r="C185" s="73" t="s">
        <v>384</v>
      </c>
      <c r="D185" s="54" t="s">
        <v>384</v>
      </c>
      <c r="E185" s="54" t="s">
        <v>384</v>
      </c>
      <c r="F185" s="54" t="s">
        <v>384</v>
      </c>
      <c r="G185" s="54" t="s">
        <v>384</v>
      </c>
      <c r="H185" s="54" t="s">
        <v>384</v>
      </c>
      <c r="I185" s="54" t="s">
        <v>384</v>
      </c>
      <c r="J185" s="54" t="s">
        <v>384</v>
      </c>
      <c r="K185" s="54" t="s">
        <v>384</v>
      </c>
      <c r="L185" s="54" t="s">
        <v>384</v>
      </c>
      <c r="M185" s="54"/>
      <c r="N185" s="54"/>
      <c r="O185" s="54"/>
      <c r="P185" s="101"/>
    </row>
    <row r="186" spans="1:16" ht="15" customHeight="1">
      <c r="A186" s="485">
        <v>75</v>
      </c>
      <c r="B186" s="470" t="s">
        <v>198</v>
      </c>
      <c r="C186" s="479">
        <v>280</v>
      </c>
      <c r="D186" s="479">
        <v>280</v>
      </c>
      <c r="E186" s="481">
        <v>280</v>
      </c>
      <c r="F186" s="481">
        <v>280</v>
      </c>
      <c r="G186" s="481">
        <v>280</v>
      </c>
      <c r="H186" s="481">
        <v>280</v>
      </c>
      <c r="I186" s="481">
        <v>280</v>
      </c>
      <c r="J186" s="481">
        <v>280</v>
      </c>
      <c r="K186" s="481">
        <v>280</v>
      </c>
      <c r="L186" s="481">
        <v>280</v>
      </c>
      <c r="M186" s="482"/>
      <c r="N186" s="482"/>
      <c r="O186" s="491"/>
      <c r="P186" s="476">
        <f>SUM(C186:O187)</f>
        <v>2800</v>
      </c>
    </row>
    <row r="187" spans="1:16">
      <c r="A187" s="468"/>
      <c r="B187" s="471"/>
      <c r="C187" s="480"/>
      <c r="D187" s="480"/>
      <c r="E187" s="482"/>
      <c r="F187" s="482"/>
      <c r="G187" s="482"/>
      <c r="H187" s="482"/>
      <c r="I187" s="482"/>
      <c r="J187" s="482"/>
      <c r="K187" s="482"/>
      <c r="L187" s="482"/>
      <c r="M187" s="482"/>
      <c r="N187" s="482"/>
      <c r="O187" s="492"/>
      <c r="P187" s="445"/>
    </row>
    <row r="188" spans="1:16">
      <c r="A188" s="468"/>
      <c r="B188" s="87" t="s">
        <v>363</v>
      </c>
      <c r="C188" s="65">
        <v>45698</v>
      </c>
      <c r="D188" s="65">
        <v>45726</v>
      </c>
      <c r="E188" s="65">
        <v>45757</v>
      </c>
      <c r="F188" s="65">
        <v>45786</v>
      </c>
      <c r="G188" s="65">
        <v>45817</v>
      </c>
      <c r="H188" s="65">
        <v>45848</v>
      </c>
      <c r="I188" s="65">
        <v>45877</v>
      </c>
      <c r="J188" s="65">
        <v>45910</v>
      </c>
      <c r="K188" s="65">
        <v>45939</v>
      </c>
      <c r="L188" s="65">
        <v>45971</v>
      </c>
      <c r="M188" s="65"/>
      <c r="N188" s="54"/>
      <c r="O188" s="64"/>
      <c r="P188" s="101"/>
    </row>
    <row r="189" spans="1:16">
      <c r="A189" s="501"/>
      <c r="B189" s="76" t="s">
        <v>377</v>
      </c>
      <c r="C189" s="73" t="s">
        <v>384</v>
      </c>
      <c r="D189" s="65" t="s">
        <v>384</v>
      </c>
      <c r="E189" s="54" t="s">
        <v>384</v>
      </c>
      <c r="F189" s="54" t="s">
        <v>384</v>
      </c>
      <c r="G189" s="54" t="s">
        <v>384</v>
      </c>
      <c r="H189" s="54" t="s">
        <v>384</v>
      </c>
      <c r="I189" s="54" t="s">
        <v>384</v>
      </c>
      <c r="J189" s="54" t="s">
        <v>384</v>
      </c>
      <c r="K189" s="54" t="s">
        <v>384</v>
      </c>
      <c r="L189" s="54" t="s">
        <v>384</v>
      </c>
      <c r="M189" s="54"/>
      <c r="N189" s="54"/>
      <c r="O189" s="54"/>
      <c r="P189" s="101"/>
    </row>
    <row r="190" spans="1:16" ht="15" customHeight="1">
      <c r="A190" s="467">
        <v>77</v>
      </c>
      <c r="B190" s="470" t="s">
        <v>327</v>
      </c>
      <c r="C190" s="479"/>
      <c r="D190" s="482"/>
      <c r="E190" s="482"/>
      <c r="F190" s="482"/>
      <c r="G190" s="482"/>
      <c r="H190" s="482"/>
      <c r="I190" s="482"/>
      <c r="J190" s="482"/>
      <c r="K190" s="482"/>
      <c r="L190" s="482"/>
      <c r="M190" s="482"/>
      <c r="N190" s="482"/>
      <c r="O190" s="491"/>
      <c r="P190" s="476">
        <f>SUM(C190:O191)</f>
        <v>0</v>
      </c>
    </row>
    <row r="191" spans="1:16">
      <c r="A191" s="468"/>
      <c r="B191" s="471"/>
      <c r="C191" s="480"/>
      <c r="D191" s="482"/>
      <c r="E191" s="482"/>
      <c r="F191" s="482"/>
      <c r="G191" s="482"/>
      <c r="H191" s="482"/>
      <c r="I191" s="482"/>
      <c r="J191" s="482"/>
      <c r="K191" s="482"/>
      <c r="L191" s="482"/>
      <c r="M191" s="482"/>
      <c r="N191" s="482"/>
      <c r="O191" s="492"/>
      <c r="P191" s="445"/>
    </row>
    <row r="192" spans="1:16">
      <c r="A192" s="468"/>
      <c r="B192" s="86" t="s">
        <v>363</v>
      </c>
      <c r="C192" s="97"/>
      <c r="D192" s="65"/>
      <c r="E192" s="65"/>
      <c r="F192" s="65"/>
      <c r="G192" s="65"/>
      <c r="H192" s="64"/>
      <c r="I192" s="54"/>
      <c r="J192" s="54"/>
      <c r="K192" s="54"/>
      <c r="L192" s="54"/>
      <c r="M192" s="54"/>
      <c r="N192" s="54"/>
      <c r="O192" s="54"/>
      <c r="P192" s="101"/>
    </row>
    <row r="193" spans="1:16">
      <c r="A193" s="478"/>
      <c r="B193" s="76" t="s">
        <v>377</v>
      </c>
      <c r="C193" s="73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101"/>
    </row>
    <row r="194" spans="1:16" ht="15" customHeight="1">
      <c r="A194" s="467">
        <v>79</v>
      </c>
      <c r="B194" s="556" t="s">
        <v>364</v>
      </c>
      <c r="C194" s="472">
        <v>2550</v>
      </c>
      <c r="D194" s="473">
        <v>2550</v>
      </c>
      <c r="E194" s="473">
        <v>2550</v>
      </c>
      <c r="F194" s="473">
        <v>2550</v>
      </c>
      <c r="G194" s="473">
        <v>2550</v>
      </c>
      <c r="H194" s="473">
        <v>2550</v>
      </c>
      <c r="I194" s="473">
        <v>2550</v>
      </c>
      <c r="J194" s="473">
        <v>2550</v>
      </c>
      <c r="K194" s="473">
        <v>2550</v>
      </c>
      <c r="L194" s="473">
        <v>2550</v>
      </c>
      <c r="M194" s="473">
        <v>2550</v>
      </c>
      <c r="N194" s="473">
        <v>2550</v>
      </c>
      <c r="O194" s="491"/>
      <c r="P194" s="476">
        <f>SUM(C194:O195)</f>
        <v>30600</v>
      </c>
    </row>
    <row r="195" spans="1:16">
      <c r="A195" s="468"/>
      <c r="B195" s="557"/>
      <c r="C195" s="472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92"/>
      <c r="P195" s="445"/>
    </row>
    <row r="196" spans="1:16">
      <c r="A196" s="468"/>
      <c r="B196" s="86" t="s">
        <v>363</v>
      </c>
      <c r="C196" s="97">
        <v>45699</v>
      </c>
      <c r="D196" s="65">
        <v>45727</v>
      </c>
      <c r="E196" s="65">
        <v>45758</v>
      </c>
      <c r="F196" s="65">
        <v>45786</v>
      </c>
      <c r="G196" s="65">
        <v>45818</v>
      </c>
      <c r="H196" s="65">
        <v>45847</v>
      </c>
      <c r="I196" s="65">
        <v>45880</v>
      </c>
      <c r="J196" s="65">
        <v>45909</v>
      </c>
      <c r="K196" s="65">
        <v>45940</v>
      </c>
      <c r="L196" s="65">
        <v>45971</v>
      </c>
      <c r="M196" s="65">
        <v>46002</v>
      </c>
      <c r="N196" s="65">
        <v>46002</v>
      </c>
      <c r="O196" s="54"/>
      <c r="P196" s="101"/>
    </row>
    <row r="197" spans="1:16">
      <c r="A197" s="478"/>
      <c r="B197" s="76" t="s">
        <v>377</v>
      </c>
      <c r="C197" s="73" t="s">
        <v>1486</v>
      </c>
      <c r="D197" s="54" t="s">
        <v>1486</v>
      </c>
      <c r="E197" s="54" t="s">
        <v>1486</v>
      </c>
      <c r="F197" s="54" t="s">
        <v>1486</v>
      </c>
      <c r="G197" s="54" t="s">
        <v>1486</v>
      </c>
      <c r="H197" s="54" t="s">
        <v>1486</v>
      </c>
      <c r="I197" s="54" t="s">
        <v>1486</v>
      </c>
      <c r="J197" s="54" t="s">
        <v>1486</v>
      </c>
      <c r="K197" s="54" t="s">
        <v>1486</v>
      </c>
      <c r="L197" s="54" t="s">
        <v>1486</v>
      </c>
      <c r="M197" s="54" t="s">
        <v>1486</v>
      </c>
      <c r="N197" s="54" t="s">
        <v>1486</v>
      </c>
      <c r="O197" s="54"/>
      <c r="P197" s="101"/>
    </row>
    <row r="198" spans="1:16" ht="15" customHeight="1">
      <c r="A198" s="485">
        <v>80</v>
      </c>
      <c r="B198" s="556" t="s">
        <v>328</v>
      </c>
      <c r="C198" s="472">
        <v>775</v>
      </c>
      <c r="D198" s="472">
        <v>775</v>
      </c>
      <c r="E198" s="472">
        <v>775</v>
      </c>
      <c r="F198" s="472">
        <v>775</v>
      </c>
      <c r="G198" s="472">
        <v>775</v>
      </c>
      <c r="H198" s="473">
        <v>775</v>
      </c>
      <c r="I198" s="473">
        <v>775</v>
      </c>
      <c r="J198" s="473">
        <v>775</v>
      </c>
      <c r="K198" s="486">
        <v>775</v>
      </c>
      <c r="L198" s="486">
        <v>775</v>
      </c>
      <c r="M198" s="486">
        <v>775</v>
      </c>
      <c r="N198" s="486">
        <v>775</v>
      </c>
      <c r="O198" s="487"/>
      <c r="P198" s="476">
        <f>SUM(C198:O199)</f>
        <v>9300</v>
      </c>
    </row>
    <row r="199" spans="1:16">
      <c r="A199" s="468"/>
      <c r="B199" s="557"/>
      <c r="C199" s="472"/>
      <c r="D199" s="472"/>
      <c r="E199" s="472"/>
      <c r="F199" s="472"/>
      <c r="G199" s="472"/>
      <c r="H199" s="473"/>
      <c r="I199" s="473"/>
      <c r="J199" s="473"/>
      <c r="K199" s="486"/>
      <c r="L199" s="486"/>
      <c r="M199" s="486"/>
      <c r="N199" s="486"/>
      <c r="O199" s="488"/>
      <c r="P199" s="445"/>
    </row>
    <row r="200" spans="1:16">
      <c r="A200" s="468"/>
      <c r="B200" s="86" t="s">
        <v>363</v>
      </c>
      <c r="C200" s="97">
        <v>45707</v>
      </c>
      <c r="D200" s="65">
        <v>45734</v>
      </c>
      <c r="E200" s="65">
        <v>45761</v>
      </c>
      <c r="F200" s="65">
        <v>45797</v>
      </c>
      <c r="G200" s="65">
        <v>45824</v>
      </c>
      <c r="H200" s="65">
        <v>45854</v>
      </c>
      <c r="I200" s="65">
        <v>45883</v>
      </c>
      <c r="J200" s="65">
        <v>45922</v>
      </c>
      <c r="K200" s="65">
        <v>45950</v>
      </c>
      <c r="L200" s="65">
        <v>45972</v>
      </c>
      <c r="M200" s="65">
        <v>46007</v>
      </c>
      <c r="N200" s="65">
        <v>46007</v>
      </c>
      <c r="O200" s="54"/>
      <c r="P200" s="101"/>
    </row>
    <row r="201" spans="1:16">
      <c r="A201" s="501"/>
      <c r="B201" s="76" t="s">
        <v>377</v>
      </c>
      <c r="C201" s="73" t="s">
        <v>1486</v>
      </c>
      <c r="D201" s="73" t="s">
        <v>1486</v>
      </c>
      <c r="E201" s="73" t="s">
        <v>1486</v>
      </c>
      <c r="F201" s="73" t="s">
        <v>1486</v>
      </c>
      <c r="G201" s="73" t="s">
        <v>1486</v>
      </c>
      <c r="H201" s="54" t="s">
        <v>1486</v>
      </c>
      <c r="I201" s="54" t="s">
        <v>1486</v>
      </c>
      <c r="J201" s="54" t="s">
        <v>1486</v>
      </c>
      <c r="K201" s="54" t="s">
        <v>1486</v>
      </c>
      <c r="L201" s="54" t="s">
        <v>1486</v>
      </c>
      <c r="M201" s="54" t="s">
        <v>1486</v>
      </c>
      <c r="N201" s="54" t="s">
        <v>1486</v>
      </c>
      <c r="O201" s="54"/>
      <c r="P201" s="101"/>
    </row>
    <row r="202" spans="1:16" ht="15" customHeight="1">
      <c r="A202" s="467">
        <v>82</v>
      </c>
      <c r="B202" s="470" t="s">
        <v>2167</v>
      </c>
      <c r="C202" s="479">
        <v>635</v>
      </c>
      <c r="D202" s="479">
        <v>635</v>
      </c>
      <c r="E202" s="481">
        <v>635</v>
      </c>
      <c r="F202" s="481">
        <v>635</v>
      </c>
      <c r="G202" s="481">
        <v>635</v>
      </c>
      <c r="H202" s="481">
        <v>635</v>
      </c>
      <c r="I202" s="481">
        <v>635</v>
      </c>
      <c r="J202" s="481">
        <v>635</v>
      </c>
      <c r="K202" s="481">
        <v>635</v>
      </c>
      <c r="L202" s="481">
        <v>635</v>
      </c>
      <c r="M202" s="481">
        <v>635</v>
      </c>
      <c r="N202" s="481">
        <v>435</v>
      </c>
      <c r="O202" s="491"/>
      <c r="P202" s="476">
        <f>SUM(C202:O203)</f>
        <v>7420</v>
      </c>
    </row>
    <row r="203" spans="1:16">
      <c r="A203" s="468"/>
      <c r="B203" s="471"/>
      <c r="C203" s="480"/>
      <c r="D203" s="480"/>
      <c r="E203" s="482"/>
      <c r="F203" s="482"/>
      <c r="G203" s="482"/>
      <c r="H203" s="482"/>
      <c r="I203" s="482"/>
      <c r="J203" s="482"/>
      <c r="K203" s="482"/>
      <c r="L203" s="482"/>
      <c r="M203" s="482"/>
      <c r="N203" s="482"/>
      <c r="O203" s="492"/>
      <c r="P203" s="445"/>
    </row>
    <row r="204" spans="1:16">
      <c r="A204" s="468"/>
      <c r="B204" s="86" t="s">
        <v>363</v>
      </c>
      <c r="C204" s="97">
        <v>45695</v>
      </c>
      <c r="D204" s="65">
        <v>45726</v>
      </c>
      <c r="E204" s="65">
        <v>45754</v>
      </c>
      <c r="F204" s="65">
        <v>45785</v>
      </c>
      <c r="G204" s="65">
        <v>45818</v>
      </c>
      <c r="H204" s="65">
        <v>45846</v>
      </c>
      <c r="I204" s="65">
        <v>45877</v>
      </c>
      <c r="J204" s="65">
        <v>45908</v>
      </c>
      <c r="K204" s="65">
        <v>45943</v>
      </c>
      <c r="L204" s="65">
        <v>45982</v>
      </c>
      <c r="M204" s="65">
        <v>46006</v>
      </c>
      <c r="N204" s="65">
        <v>46006</v>
      </c>
      <c r="O204" s="64"/>
      <c r="P204" s="101"/>
    </row>
    <row r="205" spans="1:16">
      <c r="A205" s="501"/>
      <c r="B205" s="76" t="s">
        <v>377</v>
      </c>
      <c r="C205" s="73" t="s">
        <v>386</v>
      </c>
      <c r="D205" s="54" t="s">
        <v>386</v>
      </c>
      <c r="E205" s="54" t="s">
        <v>386</v>
      </c>
      <c r="F205" s="54" t="s">
        <v>386</v>
      </c>
      <c r="G205" s="54" t="s">
        <v>386</v>
      </c>
      <c r="H205" s="54" t="s">
        <v>386</v>
      </c>
      <c r="I205" s="54" t="s">
        <v>386</v>
      </c>
      <c r="J205" s="54" t="s">
        <v>386</v>
      </c>
      <c r="K205" s="54" t="s">
        <v>386</v>
      </c>
      <c r="L205" s="54" t="s">
        <v>386</v>
      </c>
      <c r="M205" s="54" t="s">
        <v>386</v>
      </c>
      <c r="N205" s="54" t="s">
        <v>386</v>
      </c>
      <c r="O205" s="54"/>
      <c r="P205" s="101"/>
    </row>
    <row r="206" spans="1:16" ht="15" customHeight="1">
      <c r="A206" s="467">
        <v>85</v>
      </c>
      <c r="B206" s="559" t="s">
        <v>329</v>
      </c>
      <c r="C206" s="482"/>
      <c r="D206" s="482"/>
      <c r="E206" s="482"/>
      <c r="F206" s="473"/>
      <c r="G206" s="482"/>
      <c r="H206" s="482"/>
      <c r="I206" s="482"/>
      <c r="J206" s="482"/>
      <c r="K206" s="482"/>
      <c r="L206" s="482"/>
      <c r="M206" s="482"/>
      <c r="N206" s="482"/>
      <c r="O206" s="491"/>
      <c r="P206" s="476">
        <f>SUM(C206:O207)</f>
        <v>0</v>
      </c>
    </row>
    <row r="207" spans="1:16">
      <c r="A207" s="468"/>
      <c r="B207" s="560"/>
      <c r="C207" s="482"/>
      <c r="D207" s="482"/>
      <c r="E207" s="482"/>
      <c r="F207" s="473"/>
      <c r="G207" s="482"/>
      <c r="H207" s="482"/>
      <c r="I207" s="482"/>
      <c r="J207" s="482"/>
      <c r="K207" s="482"/>
      <c r="L207" s="482"/>
      <c r="M207" s="482"/>
      <c r="N207" s="482"/>
      <c r="O207" s="492"/>
      <c r="P207" s="445"/>
    </row>
    <row r="208" spans="1:16">
      <c r="A208" s="468"/>
      <c r="B208" s="93" t="s">
        <v>363</v>
      </c>
      <c r="C208" s="54"/>
      <c r="D208" s="54"/>
      <c r="E208" s="54"/>
      <c r="F208" s="65"/>
      <c r="G208" s="54"/>
      <c r="H208" s="54"/>
      <c r="I208" s="54"/>
      <c r="J208" s="54"/>
      <c r="K208" s="54"/>
      <c r="L208" s="54"/>
      <c r="M208" s="54"/>
      <c r="N208" s="54"/>
      <c r="O208" s="54"/>
      <c r="P208" s="101"/>
    </row>
    <row r="209" spans="1:16">
      <c r="A209" s="501"/>
      <c r="B209" s="94" t="s">
        <v>377</v>
      </c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101"/>
    </row>
    <row r="210" spans="1:16" ht="15" customHeight="1">
      <c r="A210" s="467">
        <v>87</v>
      </c>
      <c r="B210" s="559" t="s">
        <v>204</v>
      </c>
      <c r="C210" s="481">
        <v>520</v>
      </c>
      <c r="D210" s="481">
        <v>520</v>
      </c>
      <c r="E210" s="481">
        <v>520</v>
      </c>
      <c r="F210" s="481">
        <v>520</v>
      </c>
      <c r="G210" s="481">
        <v>520</v>
      </c>
      <c r="H210" s="481">
        <v>520</v>
      </c>
      <c r="I210" s="481">
        <v>520</v>
      </c>
      <c r="J210" s="481">
        <v>520</v>
      </c>
      <c r="K210" s="481">
        <v>520</v>
      </c>
      <c r="L210" s="481" t="s">
        <v>1750</v>
      </c>
      <c r="M210" s="482">
        <v>520</v>
      </c>
      <c r="N210" s="482"/>
      <c r="O210" s="491"/>
      <c r="P210" s="476">
        <f>SUM(C210:O211)</f>
        <v>5200</v>
      </c>
    </row>
    <row r="211" spans="1:16">
      <c r="A211" s="468"/>
      <c r="B211" s="561"/>
      <c r="C211" s="482"/>
      <c r="D211" s="482"/>
      <c r="E211" s="482"/>
      <c r="F211" s="482"/>
      <c r="G211" s="482"/>
      <c r="H211" s="482"/>
      <c r="I211" s="482"/>
      <c r="J211" s="482"/>
      <c r="K211" s="482"/>
      <c r="L211" s="482"/>
      <c r="M211" s="482"/>
      <c r="N211" s="482"/>
      <c r="O211" s="492"/>
      <c r="P211" s="445"/>
    </row>
    <row r="212" spans="1:16">
      <c r="A212" s="468"/>
      <c r="B212" s="93" t="s">
        <v>363</v>
      </c>
      <c r="C212" s="65">
        <v>45705</v>
      </c>
      <c r="D212" s="65">
        <v>45740</v>
      </c>
      <c r="E212" s="65">
        <v>45775</v>
      </c>
      <c r="F212" s="65">
        <v>45799</v>
      </c>
      <c r="G212" s="65">
        <v>45825</v>
      </c>
      <c r="H212" s="65">
        <v>45856</v>
      </c>
      <c r="I212" s="65">
        <v>45884</v>
      </c>
      <c r="J212" s="65">
        <v>45917</v>
      </c>
      <c r="K212" s="65">
        <v>45945</v>
      </c>
      <c r="L212" s="65">
        <v>45978</v>
      </c>
      <c r="M212" s="65">
        <v>46014</v>
      </c>
      <c r="N212" s="65"/>
      <c r="O212" s="64"/>
      <c r="P212" s="101"/>
    </row>
    <row r="213" spans="1:16">
      <c r="A213" s="501"/>
      <c r="B213" s="93" t="s">
        <v>377</v>
      </c>
      <c r="C213" s="54" t="s">
        <v>386</v>
      </c>
      <c r="D213" s="54" t="s">
        <v>386</v>
      </c>
      <c r="E213" s="54" t="s">
        <v>386</v>
      </c>
      <c r="F213" s="54" t="s">
        <v>386</v>
      </c>
      <c r="G213" s="54" t="s">
        <v>386</v>
      </c>
      <c r="H213" s="54" t="s">
        <v>386</v>
      </c>
      <c r="I213" s="54" t="s">
        <v>386</v>
      </c>
      <c r="J213" s="54" t="s">
        <v>386</v>
      </c>
      <c r="K213" s="54" t="s">
        <v>386</v>
      </c>
      <c r="L213" s="54" t="s">
        <v>386</v>
      </c>
      <c r="M213" s="54" t="s">
        <v>386</v>
      </c>
      <c r="N213" s="54"/>
      <c r="O213" s="54"/>
      <c r="P213" s="101"/>
    </row>
    <row r="214" spans="1:16">
      <c r="A214" s="467">
        <v>92</v>
      </c>
      <c r="B214" s="559" t="s">
        <v>55</v>
      </c>
      <c r="C214" s="482"/>
      <c r="D214" s="482"/>
      <c r="E214" s="481"/>
      <c r="F214" s="482"/>
      <c r="G214" s="482"/>
      <c r="H214" s="482"/>
      <c r="I214" s="482"/>
      <c r="J214" s="482"/>
      <c r="K214" s="482"/>
      <c r="L214" s="482"/>
      <c r="M214" s="482"/>
      <c r="N214" s="482"/>
      <c r="O214" s="491"/>
      <c r="P214" s="476">
        <f>SUM(C214:O215)</f>
        <v>0</v>
      </c>
    </row>
    <row r="215" spans="1:16">
      <c r="A215" s="468"/>
      <c r="B215" s="561"/>
      <c r="C215" s="482"/>
      <c r="D215" s="482"/>
      <c r="E215" s="482"/>
      <c r="F215" s="482"/>
      <c r="G215" s="482"/>
      <c r="H215" s="482"/>
      <c r="I215" s="482"/>
      <c r="J215" s="482"/>
      <c r="K215" s="482"/>
      <c r="L215" s="482"/>
      <c r="M215" s="482"/>
      <c r="N215" s="482"/>
      <c r="O215" s="492"/>
      <c r="P215" s="445"/>
    </row>
    <row r="216" spans="1:16">
      <c r="A216" s="468"/>
      <c r="B216" s="93" t="s">
        <v>363</v>
      </c>
      <c r="C216" s="54"/>
      <c r="D216" s="54"/>
      <c r="E216" s="65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101"/>
    </row>
    <row r="217" spans="1:16">
      <c r="A217" s="501"/>
      <c r="B217" s="94" t="s">
        <v>377</v>
      </c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101"/>
    </row>
    <row r="218" spans="1:16">
      <c r="A218" s="467">
        <v>93</v>
      </c>
      <c r="B218" s="562" t="s">
        <v>56</v>
      </c>
      <c r="C218" s="500"/>
      <c r="D218" s="500"/>
      <c r="E218" s="500"/>
      <c r="F218" s="500"/>
      <c r="G218" s="500"/>
      <c r="H218" s="482"/>
      <c r="I218" s="482"/>
      <c r="J218" s="482"/>
      <c r="K218" s="482"/>
      <c r="L218" s="482"/>
      <c r="M218" s="482"/>
      <c r="N218" s="482"/>
      <c r="O218" s="491"/>
      <c r="P218" s="476">
        <f>SUM(C218:O219)</f>
        <v>0</v>
      </c>
    </row>
    <row r="219" spans="1:16">
      <c r="A219" s="468"/>
      <c r="B219" s="562"/>
      <c r="C219" s="482"/>
      <c r="D219" s="482"/>
      <c r="E219" s="482"/>
      <c r="F219" s="482"/>
      <c r="G219" s="482"/>
      <c r="H219" s="482"/>
      <c r="I219" s="482"/>
      <c r="J219" s="482"/>
      <c r="K219" s="482"/>
      <c r="L219" s="482"/>
      <c r="M219" s="482"/>
      <c r="N219" s="482"/>
      <c r="O219" s="492"/>
      <c r="P219" s="445"/>
    </row>
    <row r="220" spans="1:16">
      <c r="A220" s="468"/>
      <c r="B220" s="93" t="s">
        <v>363</v>
      </c>
      <c r="C220" s="65"/>
      <c r="D220" s="65"/>
      <c r="E220" s="65"/>
      <c r="F220" s="65"/>
      <c r="G220" s="65"/>
      <c r="H220" s="54"/>
      <c r="I220" s="54"/>
      <c r="J220" s="54"/>
      <c r="K220" s="54"/>
      <c r="L220" s="54"/>
      <c r="M220" s="54"/>
      <c r="N220" s="54"/>
      <c r="O220" s="54"/>
      <c r="P220" s="101"/>
    </row>
    <row r="221" spans="1:16">
      <c r="A221" s="501"/>
      <c r="B221" s="93" t="s">
        <v>377</v>
      </c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101"/>
    </row>
    <row r="222" spans="1:16" ht="25.5" customHeight="1">
      <c r="A222" s="467">
        <v>94</v>
      </c>
      <c r="B222" s="559" t="s">
        <v>207</v>
      </c>
      <c r="C222" s="481">
        <v>1850</v>
      </c>
      <c r="D222" s="481">
        <v>1850</v>
      </c>
      <c r="E222" s="481">
        <v>1850</v>
      </c>
      <c r="F222" s="481">
        <v>1850</v>
      </c>
      <c r="G222" s="486">
        <v>1850</v>
      </c>
      <c r="H222" s="486">
        <v>1850</v>
      </c>
      <c r="I222" s="486">
        <v>1850</v>
      </c>
      <c r="J222" s="486">
        <v>1850</v>
      </c>
      <c r="K222" s="486">
        <v>1850</v>
      </c>
      <c r="L222" s="486"/>
      <c r="M222" s="486"/>
      <c r="N222" s="486"/>
      <c r="O222" s="491"/>
      <c r="P222" s="476">
        <f>SUM(C222:O223)</f>
        <v>16650</v>
      </c>
    </row>
    <row r="223" spans="1:16">
      <c r="A223" s="468"/>
      <c r="B223" s="561"/>
      <c r="C223" s="482"/>
      <c r="D223" s="482"/>
      <c r="E223" s="482"/>
      <c r="F223" s="482"/>
      <c r="G223" s="486"/>
      <c r="H223" s="486"/>
      <c r="I223" s="486"/>
      <c r="J223" s="486"/>
      <c r="K223" s="486"/>
      <c r="L223" s="486"/>
      <c r="M223" s="486"/>
      <c r="N223" s="486"/>
      <c r="O223" s="492"/>
      <c r="P223" s="445"/>
    </row>
    <row r="224" spans="1:16">
      <c r="A224" s="468"/>
      <c r="B224" s="93" t="s">
        <v>363</v>
      </c>
      <c r="C224" s="65">
        <v>45777</v>
      </c>
      <c r="D224" s="65">
        <v>45807</v>
      </c>
      <c r="E224" s="65">
        <v>45807</v>
      </c>
      <c r="F224" s="65">
        <v>45838</v>
      </c>
      <c r="G224" s="65">
        <v>45858</v>
      </c>
      <c r="H224" s="65">
        <v>45879</v>
      </c>
      <c r="I224" s="65">
        <v>45910</v>
      </c>
      <c r="J224" s="65">
        <v>45950</v>
      </c>
      <c r="K224" s="65">
        <v>45973</v>
      </c>
      <c r="L224" s="54"/>
      <c r="M224" s="54"/>
      <c r="N224" s="54"/>
      <c r="O224" s="54"/>
      <c r="P224" s="101"/>
    </row>
    <row r="225" spans="1:16">
      <c r="A225" s="478"/>
      <c r="B225" s="94" t="s">
        <v>377</v>
      </c>
      <c r="C225" s="54" t="s">
        <v>1486</v>
      </c>
      <c r="D225" s="54" t="s">
        <v>1486</v>
      </c>
      <c r="E225" s="54" t="s">
        <v>1486</v>
      </c>
      <c r="F225" s="54" t="s">
        <v>1486</v>
      </c>
      <c r="G225" s="54" t="s">
        <v>1486</v>
      </c>
      <c r="H225" s="54" t="s">
        <v>1486</v>
      </c>
      <c r="I225" s="54" t="s">
        <v>1486</v>
      </c>
      <c r="J225" s="54" t="s">
        <v>1486</v>
      </c>
      <c r="K225" s="54" t="s">
        <v>1486</v>
      </c>
      <c r="L225" s="54"/>
      <c r="M225" s="54"/>
      <c r="N225" s="54"/>
      <c r="O225" s="54"/>
      <c r="P225" s="101"/>
    </row>
    <row r="226" spans="1:16" ht="27.75" customHeight="1">
      <c r="A226" s="92"/>
      <c r="B226" s="559" t="s">
        <v>1732</v>
      </c>
      <c r="C226" s="481"/>
      <c r="D226" s="481"/>
      <c r="E226" s="481"/>
      <c r="F226" s="481"/>
      <c r="G226" s="481"/>
      <c r="H226" s="482"/>
      <c r="I226" s="482"/>
      <c r="J226" s="482"/>
      <c r="K226" s="482"/>
      <c r="L226" s="482"/>
      <c r="M226" s="482"/>
      <c r="N226" s="482"/>
      <c r="O226" s="491"/>
      <c r="P226" s="476">
        <f>SUM(C226:O227)</f>
        <v>0</v>
      </c>
    </row>
    <row r="227" spans="1:16">
      <c r="A227" s="371">
        <v>95</v>
      </c>
      <c r="B227" s="561"/>
      <c r="C227" s="482"/>
      <c r="D227" s="482"/>
      <c r="E227" s="482"/>
      <c r="F227" s="482"/>
      <c r="G227" s="482"/>
      <c r="H227" s="482"/>
      <c r="I227" s="482"/>
      <c r="J227" s="482"/>
      <c r="K227" s="482"/>
      <c r="L227" s="482"/>
      <c r="M227" s="482"/>
      <c r="N227" s="482"/>
      <c r="O227" s="492"/>
      <c r="P227" s="445"/>
    </row>
    <row r="228" spans="1:16">
      <c r="A228" s="92"/>
      <c r="B228" s="93" t="s">
        <v>363</v>
      </c>
      <c r="C228" s="54"/>
      <c r="D228" s="54"/>
      <c r="E228" s="65"/>
      <c r="F228" s="65"/>
      <c r="G228" s="65"/>
      <c r="H228" s="54"/>
      <c r="I228" s="54"/>
      <c r="J228" s="54"/>
      <c r="K228" s="54"/>
      <c r="L228" s="54"/>
      <c r="M228" s="54"/>
      <c r="N228" s="54"/>
      <c r="O228" s="54"/>
      <c r="P228" s="101"/>
    </row>
    <row r="229" spans="1:16">
      <c r="A229" s="92"/>
      <c r="B229" s="94" t="s">
        <v>377</v>
      </c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101"/>
    </row>
    <row r="230" spans="1:16" ht="25.5" customHeight="1">
      <c r="A230" s="467">
        <v>97</v>
      </c>
      <c r="B230" s="559" t="s">
        <v>1603</v>
      </c>
      <c r="C230" s="481"/>
      <c r="D230" s="481"/>
      <c r="E230" s="481"/>
      <c r="F230" s="481"/>
      <c r="G230" s="481"/>
      <c r="H230" s="482"/>
      <c r="I230" s="482"/>
      <c r="J230" s="482"/>
      <c r="K230" s="482"/>
      <c r="L230" s="482"/>
      <c r="M230" s="482"/>
      <c r="N230" s="482"/>
      <c r="O230" s="491"/>
      <c r="P230" s="476">
        <f>SUM(C230:O231)</f>
        <v>0</v>
      </c>
    </row>
    <row r="231" spans="1:16">
      <c r="A231" s="468"/>
      <c r="B231" s="561"/>
      <c r="C231" s="482"/>
      <c r="D231" s="482"/>
      <c r="E231" s="482"/>
      <c r="F231" s="482"/>
      <c r="G231" s="482"/>
      <c r="H231" s="482"/>
      <c r="I231" s="482"/>
      <c r="J231" s="482"/>
      <c r="K231" s="482"/>
      <c r="L231" s="482"/>
      <c r="M231" s="482"/>
      <c r="N231" s="482"/>
      <c r="O231" s="492"/>
      <c r="P231" s="445"/>
    </row>
    <row r="232" spans="1:16">
      <c r="A232" s="468"/>
      <c r="B232" s="93" t="s">
        <v>363</v>
      </c>
      <c r="C232" s="54"/>
      <c r="D232" s="54"/>
      <c r="E232" s="65"/>
      <c r="F232" s="65"/>
      <c r="G232" s="65"/>
      <c r="H232" s="54"/>
      <c r="I232" s="65"/>
      <c r="J232" s="65"/>
      <c r="K232" s="65"/>
      <c r="L232" s="54"/>
      <c r="M232" s="54"/>
      <c r="N232" s="54"/>
      <c r="O232" s="54"/>
      <c r="P232" s="101"/>
    </row>
    <row r="233" spans="1:16">
      <c r="A233" s="478"/>
      <c r="B233" s="94" t="s">
        <v>377</v>
      </c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101"/>
    </row>
    <row r="234" spans="1:16">
      <c r="A234" s="467">
        <v>99</v>
      </c>
      <c r="B234" s="559" t="s">
        <v>826</v>
      </c>
      <c r="C234" s="481">
        <v>380</v>
      </c>
      <c r="D234" s="481">
        <v>380</v>
      </c>
      <c r="E234" s="481">
        <v>380</v>
      </c>
      <c r="F234" s="481">
        <v>380</v>
      </c>
      <c r="G234" s="473">
        <v>380</v>
      </c>
      <c r="H234" s="473">
        <v>380</v>
      </c>
      <c r="I234" s="473">
        <v>380</v>
      </c>
      <c r="J234" s="473">
        <v>380</v>
      </c>
      <c r="K234" s="473">
        <v>380</v>
      </c>
      <c r="L234" s="482">
        <v>380</v>
      </c>
      <c r="M234" s="482"/>
      <c r="N234" s="482"/>
      <c r="O234" s="491"/>
      <c r="P234" s="476">
        <f>SUM(C234:O235)</f>
        <v>3800</v>
      </c>
    </row>
    <row r="235" spans="1:16">
      <c r="A235" s="468"/>
      <c r="B235" s="561"/>
      <c r="C235" s="482"/>
      <c r="D235" s="482"/>
      <c r="E235" s="482"/>
      <c r="F235" s="482"/>
      <c r="G235" s="473"/>
      <c r="H235" s="473"/>
      <c r="I235" s="473"/>
      <c r="J235" s="473"/>
      <c r="K235" s="473"/>
      <c r="L235" s="482"/>
      <c r="M235" s="482"/>
      <c r="N235" s="482"/>
      <c r="O235" s="492"/>
      <c r="P235" s="445"/>
    </row>
    <row r="236" spans="1:16">
      <c r="A236" s="468"/>
      <c r="B236" s="93" t="s">
        <v>363</v>
      </c>
      <c r="C236" s="65">
        <v>45698</v>
      </c>
      <c r="D236" s="65">
        <v>45726</v>
      </c>
      <c r="E236" s="65">
        <v>45757</v>
      </c>
      <c r="F236" s="65">
        <v>45789</v>
      </c>
      <c r="G236" s="65">
        <v>45818</v>
      </c>
      <c r="H236" s="65">
        <v>45847</v>
      </c>
      <c r="I236" s="65">
        <v>45880</v>
      </c>
      <c r="J236" s="65">
        <v>45910</v>
      </c>
      <c r="K236" s="65">
        <v>45940</v>
      </c>
      <c r="L236" s="65">
        <v>45971</v>
      </c>
      <c r="M236" s="54"/>
      <c r="N236" s="54"/>
      <c r="O236" s="54"/>
      <c r="P236" s="101"/>
    </row>
    <row r="237" spans="1:16">
      <c r="A237" s="478"/>
      <c r="B237" s="94" t="s">
        <v>377</v>
      </c>
      <c r="C237" s="54" t="s">
        <v>384</v>
      </c>
      <c r="D237" s="54" t="s">
        <v>384</v>
      </c>
      <c r="E237" s="54" t="s">
        <v>384</v>
      </c>
      <c r="F237" s="54" t="s">
        <v>384</v>
      </c>
      <c r="G237" s="54" t="s">
        <v>384</v>
      </c>
      <c r="H237" s="54" t="s">
        <v>384</v>
      </c>
      <c r="I237" s="54" t="s">
        <v>384</v>
      </c>
      <c r="J237" s="54" t="s">
        <v>384</v>
      </c>
      <c r="K237" s="54" t="s">
        <v>384</v>
      </c>
      <c r="L237" s="54" t="s">
        <v>384</v>
      </c>
      <c r="M237" s="54"/>
      <c r="N237" s="54"/>
      <c r="O237" s="54"/>
      <c r="P237" s="101"/>
    </row>
    <row r="238" spans="1:16" ht="15" customHeight="1">
      <c r="A238" s="470">
        <v>101</v>
      </c>
      <c r="B238" s="497" t="s">
        <v>1812</v>
      </c>
      <c r="C238" s="491"/>
      <c r="D238" s="491"/>
      <c r="E238" s="491"/>
      <c r="F238" s="491"/>
      <c r="G238" s="491"/>
      <c r="H238" s="491"/>
      <c r="I238" s="491"/>
      <c r="J238" s="491"/>
      <c r="K238" s="491"/>
      <c r="L238" s="491"/>
      <c r="M238" s="491"/>
      <c r="N238" s="491"/>
      <c r="O238" s="491"/>
      <c r="P238" s="493">
        <f>SUM(C238:O239)</f>
        <v>0</v>
      </c>
    </row>
    <row r="239" spans="1:16">
      <c r="A239" s="496"/>
      <c r="B239" s="542"/>
      <c r="C239" s="492"/>
      <c r="D239" s="492"/>
      <c r="E239" s="492"/>
      <c r="F239" s="492"/>
      <c r="G239" s="492"/>
      <c r="H239" s="492"/>
      <c r="I239" s="492"/>
      <c r="J239" s="492"/>
      <c r="K239" s="492"/>
      <c r="L239" s="492"/>
      <c r="M239" s="492"/>
      <c r="N239" s="492"/>
      <c r="O239" s="492"/>
      <c r="P239" s="494"/>
    </row>
    <row r="240" spans="1:16">
      <c r="A240" s="496"/>
      <c r="B240" s="93" t="s">
        <v>363</v>
      </c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101"/>
    </row>
    <row r="241" spans="1:16">
      <c r="A241" s="471"/>
      <c r="B241" s="94" t="s">
        <v>377</v>
      </c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101"/>
    </row>
    <row r="242" spans="1:16" ht="15" customHeight="1">
      <c r="A242" s="467">
        <v>103</v>
      </c>
      <c r="B242" s="559" t="s">
        <v>330</v>
      </c>
      <c r="C242" s="482"/>
      <c r="D242" s="482"/>
      <c r="E242" s="482"/>
      <c r="F242" s="482"/>
      <c r="G242" s="482"/>
      <c r="H242" s="482"/>
      <c r="I242" s="482"/>
      <c r="J242" s="482"/>
      <c r="K242" s="482"/>
      <c r="L242" s="482"/>
      <c r="M242" s="482"/>
      <c r="N242" s="482"/>
      <c r="O242" s="491"/>
      <c r="P242" s="476">
        <f>SUM(C242:O243)</f>
        <v>0</v>
      </c>
    </row>
    <row r="243" spans="1:16">
      <c r="A243" s="468"/>
      <c r="B243" s="560"/>
      <c r="C243" s="482"/>
      <c r="D243" s="482"/>
      <c r="E243" s="482"/>
      <c r="F243" s="482"/>
      <c r="G243" s="482"/>
      <c r="H243" s="482"/>
      <c r="I243" s="482"/>
      <c r="J243" s="482"/>
      <c r="K243" s="482"/>
      <c r="L243" s="482"/>
      <c r="M243" s="482"/>
      <c r="N243" s="482"/>
      <c r="O243" s="492"/>
      <c r="P243" s="445"/>
    </row>
    <row r="244" spans="1:16">
      <c r="A244" s="468"/>
      <c r="B244" s="82" t="s">
        <v>363</v>
      </c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101"/>
    </row>
    <row r="245" spans="1:16">
      <c r="A245" s="478"/>
      <c r="B245" s="87" t="s">
        <v>377</v>
      </c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101"/>
    </row>
    <row r="246" spans="1:16" ht="25.5" customHeight="1">
      <c r="A246" s="485">
        <v>104</v>
      </c>
      <c r="B246" s="497" t="s">
        <v>60</v>
      </c>
      <c r="C246" s="481">
        <v>870</v>
      </c>
      <c r="D246" s="481">
        <v>870</v>
      </c>
      <c r="E246" s="473">
        <v>870</v>
      </c>
      <c r="F246" s="473">
        <v>870</v>
      </c>
      <c r="G246" s="473">
        <v>870</v>
      </c>
      <c r="H246" s="473">
        <v>870</v>
      </c>
      <c r="I246" s="473">
        <v>870</v>
      </c>
      <c r="J246" s="473">
        <v>870</v>
      </c>
      <c r="K246" s="473">
        <v>870</v>
      </c>
      <c r="L246" s="481"/>
      <c r="M246" s="481"/>
      <c r="N246" s="481"/>
      <c r="O246" s="491"/>
      <c r="P246" s="476">
        <f>SUM(C246:O247)</f>
        <v>7830</v>
      </c>
    </row>
    <row r="247" spans="1:16">
      <c r="A247" s="468"/>
      <c r="B247" s="558"/>
      <c r="C247" s="482"/>
      <c r="D247" s="482"/>
      <c r="E247" s="473"/>
      <c r="F247" s="473"/>
      <c r="G247" s="473"/>
      <c r="H247" s="473"/>
      <c r="I247" s="473"/>
      <c r="J247" s="473"/>
      <c r="K247" s="473"/>
      <c r="L247" s="482"/>
      <c r="M247" s="482"/>
      <c r="N247" s="482"/>
      <c r="O247" s="492"/>
      <c r="P247" s="445"/>
    </row>
    <row r="248" spans="1:16">
      <c r="A248" s="468"/>
      <c r="B248" s="84" t="s">
        <v>363</v>
      </c>
      <c r="C248" s="65">
        <v>45694</v>
      </c>
      <c r="D248" s="65">
        <v>45726</v>
      </c>
      <c r="E248" s="65">
        <v>45756</v>
      </c>
      <c r="F248" s="65">
        <v>45786</v>
      </c>
      <c r="G248" s="65">
        <v>45817</v>
      </c>
      <c r="H248" s="65">
        <v>45847</v>
      </c>
      <c r="I248" s="65">
        <v>45880</v>
      </c>
      <c r="J248" s="65">
        <v>45909</v>
      </c>
      <c r="K248" s="65">
        <v>45936</v>
      </c>
      <c r="L248" s="65"/>
      <c r="M248" s="65"/>
      <c r="N248" s="65"/>
      <c r="O248" s="54"/>
      <c r="P248" s="101"/>
    </row>
    <row r="249" spans="1:16">
      <c r="A249" s="501"/>
      <c r="B249" s="84" t="s">
        <v>377</v>
      </c>
      <c r="C249" s="54" t="s">
        <v>384</v>
      </c>
      <c r="D249" s="54" t="s">
        <v>384</v>
      </c>
      <c r="E249" s="54" t="s">
        <v>384</v>
      </c>
      <c r="F249" s="54" t="s">
        <v>384</v>
      </c>
      <c r="G249" s="54" t="s">
        <v>384</v>
      </c>
      <c r="H249" s="54" t="s">
        <v>384</v>
      </c>
      <c r="I249" s="54" t="s">
        <v>386</v>
      </c>
      <c r="J249" s="54" t="s">
        <v>384</v>
      </c>
      <c r="K249" s="54" t="s">
        <v>384</v>
      </c>
      <c r="L249" s="54"/>
      <c r="M249" s="54"/>
      <c r="N249" s="54"/>
      <c r="O249" s="54"/>
      <c r="P249" s="101"/>
    </row>
    <row r="250" spans="1:16" ht="28.5" customHeight="1">
      <c r="A250" s="467">
        <v>106</v>
      </c>
      <c r="B250" s="86" t="s">
        <v>1801</v>
      </c>
      <c r="C250" s="423"/>
      <c r="D250" s="421"/>
      <c r="E250" s="421"/>
      <c r="F250" s="421"/>
      <c r="G250" s="421"/>
      <c r="H250" s="421">
        <v>390</v>
      </c>
      <c r="I250" s="421">
        <v>390</v>
      </c>
      <c r="J250" s="421">
        <v>390</v>
      </c>
      <c r="K250" s="421">
        <v>390</v>
      </c>
      <c r="L250" s="421">
        <v>450</v>
      </c>
      <c r="M250" s="421"/>
      <c r="N250" s="421"/>
      <c r="O250" s="424"/>
      <c r="P250" s="344">
        <f>SUM(C250:O250)</f>
        <v>2010</v>
      </c>
    </row>
    <row r="251" spans="1:16">
      <c r="A251" s="468"/>
      <c r="B251" s="86" t="s">
        <v>363</v>
      </c>
      <c r="C251" s="97"/>
      <c r="D251" s="65"/>
      <c r="E251" s="65"/>
      <c r="F251" s="65"/>
      <c r="G251" s="65"/>
      <c r="H251" s="65">
        <v>45844</v>
      </c>
      <c r="I251" s="65">
        <v>45887</v>
      </c>
      <c r="J251" s="65">
        <v>45916</v>
      </c>
      <c r="K251" s="65">
        <v>45945</v>
      </c>
      <c r="L251" s="64">
        <v>45975</v>
      </c>
      <c r="M251" s="64"/>
      <c r="N251" s="54"/>
      <c r="O251" s="64"/>
      <c r="P251" s="101"/>
    </row>
    <row r="252" spans="1:16">
      <c r="A252" s="501"/>
      <c r="B252" s="86" t="s">
        <v>377</v>
      </c>
      <c r="C252" s="73"/>
      <c r="D252" s="54"/>
      <c r="E252" s="54"/>
      <c r="F252" s="54"/>
      <c r="G252" s="54"/>
      <c r="H252" s="54" t="s">
        <v>386</v>
      </c>
      <c r="I252" s="54" t="s">
        <v>386</v>
      </c>
      <c r="J252" s="54" t="s">
        <v>386</v>
      </c>
      <c r="K252" s="54" t="s">
        <v>386</v>
      </c>
      <c r="L252" s="54" t="s">
        <v>386</v>
      </c>
      <c r="M252" s="54"/>
      <c r="N252" s="54"/>
      <c r="O252" s="54"/>
      <c r="P252" s="101"/>
    </row>
    <row r="253" spans="1:16">
      <c r="A253" s="467">
        <v>111</v>
      </c>
      <c r="B253" s="470" t="s">
        <v>214</v>
      </c>
      <c r="C253" s="499">
        <v>410</v>
      </c>
      <c r="D253" s="486">
        <v>410</v>
      </c>
      <c r="E253" s="486">
        <v>410</v>
      </c>
      <c r="F253" s="486">
        <v>410</v>
      </c>
      <c r="G253" s="486">
        <v>410</v>
      </c>
      <c r="H253" s="486">
        <v>410</v>
      </c>
      <c r="I253" s="486"/>
      <c r="J253" s="486"/>
      <c r="K253" s="486"/>
      <c r="L253" s="486"/>
      <c r="M253" s="486"/>
      <c r="N253" s="486"/>
      <c r="O253" s="487"/>
      <c r="P253" s="476">
        <f>SUM(C253:O254)</f>
        <v>2460</v>
      </c>
    </row>
    <row r="254" spans="1:16">
      <c r="A254" s="468"/>
      <c r="B254" s="471"/>
      <c r="C254" s="499"/>
      <c r="D254" s="486"/>
      <c r="E254" s="486"/>
      <c r="F254" s="486"/>
      <c r="G254" s="486"/>
      <c r="H254" s="486"/>
      <c r="I254" s="486"/>
      <c r="J254" s="486"/>
      <c r="K254" s="486"/>
      <c r="L254" s="486"/>
      <c r="M254" s="486"/>
      <c r="N254" s="486"/>
      <c r="O254" s="488"/>
      <c r="P254" s="445"/>
    </row>
    <row r="255" spans="1:16">
      <c r="A255" s="468"/>
      <c r="B255" s="86" t="s">
        <v>363</v>
      </c>
      <c r="C255" s="97">
        <v>45700</v>
      </c>
      <c r="D255" s="65">
        <v>45849</v>
      </c>
      <c r="E255" s="65">
        <v>45849</v>
      </c>
      <c r="F255" s="65">
        <v>45849</v>
      </c>
      <c r="G255" s="65">
        <v>45849</v>
      </c>
      <c r="H255" s="65">
        <v>45849</v>
      </c>
      <c r="I255" s="65"/>
      <c r="J255" s="65"/>
      <c r="K255" s="65"/>
      <c r="L255" s="64"/>
      <c r="M255" s="64"/>
      <c r="N255" s="54"/>
      <c r="O255" s="64"/>
      <c r="P255" s="101"/>
    </row>
    <row r="256" spans="1:16">
      <c r="A256" s="501"/>
      <c r="B256" s="86" t="s">
        <v>377</v>
      </c>
      <c r="C256" s="73" t="s">
        <v>386</v>
      </c>
      <c r="D256" s="54" t="s">
        <v>386</v>
      </c>
      <c r="E256" s="54" t="s">
        <v>386</v>
      </c>
      <c r="F256" s="54" t="s">
        <v>386</v>
      </c>
      <c r="G256" s="54" t="s">
        <v>386</v>
      </c>
      <c r="H256" s="54" t="s">
        <v>386</v>
      </c>
      <c r="I256" s="54"/>
      <c r="J256" s="54"/>
      <c r="K256" s="54"/>
      <c r="L256" s="54"/>
      <c r="M256" s="54"/>
      <c r="N256" s="54"/>
      <c r="O256" s="54"/>
      <c r="P256" s="101"/>
    </row>
    <row r="257" spans="1:16" ht="15" customHeight="1">
      <c r="A257" s="467">
        <v>112</v>
      </c>
      <c r="B257" s="556" t="s">
        <v>1203</v>
      </c>
      <c r="C257" s="472">
        <v>345</v>
      </c>
      <c r="D257" s="473">
        <v>345</v>
      </c>
      <c r="E257" s="473">
        <v>345</v>
      </c>
      <c r="F257" s="473">
        <v>345</v>
      </c>
      <c r="G257" s="473">
        <v>345</v>
      </c>
      <c r="H257" s="473">
        <v>345</v>
      </c>
      <c r="I257" s="473">
        <v>345</v>
      </c>
      <c r="J257" s="473">
        <v>345</v>
      </c>
      <c r="K257" s="473">
        <v>345</v>
      </c>
      <c r="L257" s="473">
        <v>345</v>
      </c>
      <c r="M257" s="482"/>
      <c r="N257" s="482"/>
      <c r="O257" s="491"/>
      <c r="P257" s="476">
        <f>SUM(C257:O258)</f>
        <v>3450</v>
      </c>
    </row>
    <row r="258" spans="1:16">
      <c r="A258" s="468"/>
      <c r="B258" s="557"/>
      <c r="C258" s="472"/>
      <c r="D258" s="473"/>
      <c r="E258" s="473"/>
      <c r="F258" s="473"/>
      <c r="G258" s="473"/>
      <c r="H258" s="473"/>
      <c r="I258" s="473"/>
      <c r="J258" s="473"/>
      <c r="K258" s="473"/>
      <c r="L258" s="473"/>
      <c r="M258" s="482"/>
      <c r="N258" s="482"/>
      <c r="O258" s="492"/>
      <c r="P258" s="445"/>
    </row>
    <row r="259" spans="1:16">
      <c r="A259" s="468"/>
      <c r="B259" s="76" t="s">
        <v>363</v>
      </c>
      <c r="C259" s="97">
        <v>45695</v>
      </c>
      <c r="D259" s="65">
        <v>45726</v>
      </c>
      <c r="E259" s="65">
        <v>45756</v>
      </c>
      <c r="F259" s="65">
        <v>45785</v>
      </c>
      <c r="G259" s="65">
        <v>45821</v>
      </c>
      <c r="H259" s="65">
        <v>45848</v>
      </c>
      <c r="I259" s="65">
        <v>45884</v>
      </c>
      <c r="J259" s="65">
        <v>45915</v>
      </c>
      <c r="K259" s="65">
        <v>45947</v>
      </c>
      <c r="L259" s="65">
        <v>45975</v>
      </c>
      <c r="M259" s="54"/>
      <c r="N259" s="54"/>
      <c r="O259" s="54"/>
      <c r="P259" s="101"/>
    </row>
    <row r="260" spans="1:16">
      <c r="A260" s="501"/>
      <c r="B260" s="77" t="s">
        <v>377</v>
      </c>
      <c r="C260" s="73" t="s">
        <v>384</v>
      </c>
      <c r="D260" s="54" t="s">
        <v>384</v>
      </c>
      <c r="E260" s="54" t="s">
        <v>384</v>
      </c>
      <c r="F260" s="54" t="s">
        <v>384</v>
      </c>
      <c r="G260" s="54" t="s">
        <v>384</v>
      </c>
      <c r="H260" s="54" t="s">
        <v>384</v>
      </c>
      <c r="I260" s="54" t="s">
        <v>384</v>
      </c>
      <c r="J260" s="54" t="s">
        <v>384</v>
      </c>
      <c r="K260" s="54" t="s">
        <v>384</v>
      </c>
      <c r="L260" s="54" t="s">
        <v>384</v>
      </c>
      <c r="M260" s="54"/>
      <c r="N260" s="54"/>
      <c r="O260" s="54"/>
      <c r="P260" s="101"/>
    </row>
    <row r="261" spans="1:16" ht="15" customHeight="1">
      <c r="A261" s="467">
        <v>113</v>
      </c>
      <c r="B261" s="470" t="s">
        <v>331</v>
      </c>
      <c r="C261" s="480"/>
      <c r="D261" s="482"/>
      <c r="E261" s="482"/>
      <c r="F261" s="481"/>
      <c r="G261" s="482"/>
      <c r="H261" s="482"/>
      <c r="I261" s="482"/>
      <c r="J261" s="482"/>
      <c r="K261" s="482"/>
      <c r="L261" s="482"/>
      <c r="M261" s="482"/>
      <c r="N261" s="482"/>
      <c r="O261" s="491"/>
      <c r="P261" s="476">
        <f>SUM(C261:O262)</f>
        <v>0</v>
      </c>
    </row>
    <row r="262" spans="1:16">
      <c r="A262" s="468"/>
      <c r="B262" s="471"/>
      <c r="C262" s="480"/>
      <c r="D262" s="482"/>
      <c r="E262" s="482"/>
      <c r="F262" s="482"/>
      <c r="G262" s="482"/>
      <c r="H262" s="482"/>
      <c r="I262" s="482"/>
      <c r="J262" s="482"/>
      <c r="K262" s="482"/>
      <c r="L262" s="482"/>
      <c r="M262" s="482"/>
      <c r="N262" s="482"/>
      <c r="O262" s="492"/>
      <c r="P262" s="445"/>
    </row>
    <row r="263" spans="1:16">
      <c r="A263" s="468"/>
      <c r="B263" s="76" t="s">
        <v>363</v>
      </c>
      <c r="C263" s="73"/>
      <c r="D263" s="54"/>
      <c r="E263" s="54"/>
      <c r="F263" s="65"/>
      <c r="G263" s="54"/>
      <c r="H263" s="54"/>
      <c r="I263" s="54"/>
      <c r="J263" s="54"/>
      <c r="K263" s="54"/>
      <c r="L263" s="54"/>
      <c r="M263" s="54"/>
      <c r="N263" s="54"/>
      <c r="O263" s="54"/>
      <c r="P263" s="101"/>
    </row>
    <row r="264" spans="1:16">
      <c r="A264" s="501"/>
      <c r="B264" s="77" t="s">
        <v>377</v>
      </c>
      <c r="C264" s="73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101"/>
    </row>
    <row r="265" spans="1:16" ht="15" customHeight="1">
      <c r="A265" s="467">
        <v>115</v>
      </c>
      <c r="B265" s="470" t="s">
        <v>1813</v>
      </c>
      <c r="C265" s="480"/>
      <c r="D265" s="482"/>
      <c r="E265" s="482"/>
      <c r="F265" s="482"/>
      <c r="G265" s="482"/>
      <c r="H265" s="482"/>
      <c r="I265" s="482"/>
      <c r="J265" s="482"/>
      <c r="K265" s="482"/>
      <c r="L265" s="482"/>
      <c r="M265" s="482"/>
      <c r="N265" s="482"/>
      <c r="O265" s="491"/>
      <c r="P265" s="476">
        <f>SUM(C265:O266)</f>
        <v>0</v>
      </c>
    </row>
    <row r="266" spans="1:16">
      <c r="A266" s="468"/>
      <c r="B266" s="471"/>
      <c r="C266" s="480"/>
      <c r="D266" s="482"/>
      <c r="E266" s="482"/>
      <c r="F266" s="482"/>
      <c r="G266" s="482"/>
      <c r="H266" s="482"/>
      <c r="I266" s="482"/>
      <c r="J266" s="482"/>
      <c r="K266" s="482"/>
      <c r="L266" s="482"/>
      <c r="M266" s="482"/>
      <c r="N266" s="482"/>
      <c r="O266" s="492"/>
      <c r="P266" s="445"/>
    </row>
    <row r="267" spans="1:16">
      <c r="A267" s="468"/>
      <c r="B267" s="76" t="s">
        <v>363</v>
      </c>
      <c r="C267" s="73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101"/>
    </row>
    <row r="268" spans="1:16">
      <c r="A268" s="478"/>
      <c r="B268" s="77" t="s">
        <v>377</v>
      </c>
      <c r="C268" s="73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101"/>
    </row>
    <row r="269" spans="1:16" ht="15" customHeight="1">
      <c r="A269" s="485">
        <v>116</v>
      </c>
      <c r="B269" s="470" t="s">
        <v>332</v>
      </c>
      <c r="C269" s="479">
        <v>670</v>
      </c>
      <c r="D269" s="479">
        <v>670</v>
      </c>
      <c r="E269" s="479"/>
      <c r="F269" s="479"/>
      <c r="G269" s="481">
        <v>670</v>
      </c>
      <c r="H269" s="481">
        <v>670</v>
      </c>
      <c r="I269" s="481">
        <v>670</v>
      </c>
      <c r="J269" s="481">
        <v>670</v>
      </c>
      <c r="K269" s="481">
        <v>670</v>
      </c>
      <c r="L269" s="481">
        <v>670</v>
      </c>
      <c r="M269" s="482"/>
      <c r="N269" s="482"/>
      <c r="O269" s="491"/>
      <c r="P269" s="476">
        <f>SUM(C269:O270)</f>
        <v>5360</v>
      </c>
    </row>
    <row r="270" spans="1:16">
      <c r="A270" s="468"/>
      <c r="B270" s="471"/>
      <c r="C270" s="480"/>
      <c r="D270" s="480"/>
      <c r="E270" s="480"/>
      <c r="F270" s="480"/>
      <c r="G270" s="482"/>
      <c r="H270" s="482"/>
      <c r="I270" s="482"/>
      <c r="J270" s="482"/>
      <c r="K270" s="482"/>
      <c r="L270" s="482"/>
      <c r="M270" s="482"/>
      <c r="N270" s="482"/>
      <c r="O270" s="492"/>
      <c r="P270" s="445"/>
    </row>
    <row r="271" spans="1:16">
      <c r="A271" s="468"/>
      <c r="B271" s="76" t="s">
        <v>363</v>
      </c>
      <c r="C271" s="97">
        <v>45698</v>
      </c>
      <c r="D271" s="65">
        <v>45726</v>
      </c>
      <c r="E271" s="65"/>
      <c r="F271" s="65"/>
      <c r="G271" s="65">
        <v>45824</v>
      </c>
      <c r="H271" s="65">
        <v>45853</v>
      </c>
      <c r="I271" s="65">
        <v>45884</v>
      </c>
      <c r="J271" s="65">
        <v>45911</v>
      </c>
      <c r="K271" s="65">
        <v>45945</v>
      </c>
      <c r="L271" s="65">
        <v>45978</v>
      </c>
      <c r="M271" s="54"/>
      <c r="N271" s="54"/>
      <c r="O271" s="54"/>
      <c r="P271" s="101"/>
    </row>
    <row r="272" spans="1:16">
      <c r="A272" s="501"/>
      <c r="B272" s="87" t="s">
        <v>377</v>
      </c>
      <c r="C272" s="54" t="s">
        <v>386</v>
      </c>
      <c r="D272" s="54" t="s">
        <v>386</v>
      </c>
      <c r="E272" s="54"/>
      <c r="F272" s="54"/>
      <c r="G272" s="54" t="s">
        <v>386</v>
      </c>
      <c r="H272" s="54" t="s">
        <v>386</v>
      </c>
      <c r="I272" s="54" t="s">
        <v>386</v>
      </c>
      <c r="J272" s="54" t="s">
        <v>386</v>
      </c>
      <c r="K272" s="54" t="s">
        <v>384</v>
      </c>
      <c r="L272" s="54" t="s">
        <v>386</v>
      </c>
      <c r="M272" s="54"/>
      <c r="N272" s="54"/>
      <c r="O272" s="54"/>
      <c r="P272" s="101"/>
    </row>
    <row r="273" spans="1:16">
      <c r="A273" s="467">
        <v>117</v>
      </c>
      <c r="B273" s="470" t="s">
        <v>69</v>
      </c>
      <c r="C273" s="499">
        <v>820</v>
      </c>
      <c r="D273" s="486">
        <v>820</v>
      </c>
      <c r="E273" s="486">
        <v>820</v>
      </c>
      <c r="F273" s="486" t="s">
        <v>1822</v>
      </c>
      <c r="G273" s="486">
        <v>820</v>
      </c>
      <c r="H273" s="486">
        <v>820</v>
      </c>
      <c r="I273" s="486">
        <v>820</v>
      </c>
      <c r="J273" s="486">
        <v>820</v>
      </c>
      <c r="K273" s="486">
        <v>820</v>
      </c>
      <c r="L273" s="486"/>
      <c r="M273" s="486"/>
      <c r="N273" s="486"/>
      <c r="O273" s="487"/>
      <c r="P273" s="493">
        <f>SUM(C273:O274)</f>
        <v>6560</v>
      </c>
    </row>
    <row r="274" spans="1:16">
      <c r="A274" s="468"/>
      <c r="B274" s="471"/>
      <c r="C274" s="499"/>
      <c r="D274" s="486"/>
      <c r="E274" s="486"/>
      <c r="F274" s="486"/>
      <c r="G274" s="486"/>
      <c r="H274" s="486"/>
      <c r="I274" s="486"/>
      <c r="J274" s="486"/>
      <c r="K274" s="486"/>
      <c r="L274" s="486"/>
      <c r="M274" s="486"/>
      <c r="N274" s="486"/>
      <c r="O274" s="488"/>
      <c r="P274" s="494"/>
    </row>
    <row r="275" spans="1:16">
      <c r="A275" s="468"/>
      <c r="B275" s="86" t="s">
        <v>363</v>
      </c>
      <c r="C275" s="97">
        <v>45736</v>
      </c>
      <c r="D275" s="65">
        <v>45799</v>
      </c>
      <c r="E275" s="65">
        <v>45799</v>
      </c>
      <c r="F275" s="65">
        <v>45799</v>
      </c>
      <c r="G275" s="65">
        <v>45799</v>
      </c>
      <c r="H275" s="65">
        <v>45828</v>
      </c>
      <c r="I275" s="65">
        <v>45860</v>
      </c>
      <c r="J275" s="65">
        <v>45912</v>
      </c>
      <c r="K275" s="65">
        <v>45912</v>
      </c>
      <c r="L275" s="65"/>
      <c r="M275" s="65"/>
      <c r="N275" s="65"/>
      <c r="O275" s="54"/>
      <c r="P275" s="101"/>
    </row>
    <row r="276" spans="1:16" ht="15.75" customHeight="1">
      <c r="A276" s="501"/>
      <c r="B276" s="76" t="s">
        <v>377</v>
      </c>
      <c r="C276" s="73" t="s">
        <v>384</v>
      </c>
      <c r="D276" s="54" t="s">
        <v>384</v>
      </c>
      <c r="E276" s="54" t="s">
        <v>384</v>
      </c>
      <c r="F276" s="54" t="s">
        <v>384</v>
      </c>
      <c r="G276" s="54" t="s">
        <v>384</v>
      </c>
      <c r="H276" s="54" t="s">
        <v>384</v>
      </c>
      <c r="I276" s="54" t="s">
        <v>384</v>
      </c>
      <c r="J276" s="54" t="s">
        <v>384</v>
      </c>
      <c r="K276" s="54" t="s">
        <v>384</v>
      </c>
      <c r="L276" s="54"/>
      <c r="M276" s="54"/>
      <c r="N276" s="54"/>
      <c r="O276" s="54"/>
      <c r="P276" s="101"/>
    </row>
    <row r="277" spans="1:16" ht="15.75" customHeight="1">
      <c r="A277" s="467">
        <v>119</v>
      </c>
      <c r="B277" s="470" t="s">
        <v>1802</v>
      </c>
      <c r="C277" s="479"/>
      <c r="D277" s="481"/>
      <c r="E277" s="473">
        <v>500</v>
      </c>
      <c r="F277" s="473">
        <v>500</v>
      </c>
      <c r="G277" s="473">
        <v>450</v>
      </c>
      <c r="H277" s="473">
        <v>450</v>
      </c>
      <c r="I277" s="473">
        <v>500</v>
      </c>
      <c r="J277" s="473"/>
      <c r="K277" s="481"/>
      <c r="L277" s="482"/>
      <c r="M277" s="481">
        <v>500</v>
      </c>
      <c r="N277" s="482"/>
      <c r="O277" s="491"/>
      <c r="P277" s="493">
        <f>SUM(C277:O278)</f>
        <v>2900</v>
      </c>
    </row>
    <row r="278" spans="1:16" ht="15.75" customHeight="1">
      <c r="A278" s="468"/>
      <c r="B278" s="471"/>
      <c r="C278" s="480"/>
      <c r="D278" s="482"/>
      <c r="E278" s="473"/>
      <c r="F278" s="473"/>
      <c r="G278" s="473"/>
      <c r="H278" s="473"/>
      <c r="I278" s="473"/>
      <c r="J278" s="473"/>
      <c r="K278" s="482"/>
      <c r="L278" s="482"/>
      <c r="M278" s="482"/>
      <c r="N278" s="482"/>
      <c r="O278" s="492"/>
      <c r="P278" s="494"/>
    </row>
    <row r="279" spans="1:16" ht="15.75" customHeight="1">
      <c r="A279" s="468"/>
      <c r="B279" s="86" t="s">
        <v>363</v>
      </c>
      <c r="C279" s="97"/>
      <c r="D279" s="65"/>
      <c r="E279" s="65">
        <v>45790</v>
      </c>
      <c r="F279" s="65">
        <v>45841</v>
      </c>
      <c r="G279" s="65">
        <v>45841</v>
      </c>
      <c r="H279" s="65">
        <v>45880</v>
      </c>
      <c r="I279" s="65">
        <v>45880</v>
      </c>
      <c r="J279" s="65"/>
      <c r="K279" s="65"/>
      <c r="L279" s="65"/>
      <c r="M279" s="65">
        <v>46001</v>
      </c>
      <c r="N279" s="65"/>
      <c r="O279" s="54"/>
      <c r="P279" s="101"/>
    </row>
    <row r="280" spans="1:16" ht="15.75" customHeight="1">
      <c r="A280" s="501"/>
      <c r="B280" s="76" t="s">
        <v>377</v>
      </c>
      <c r="C280" s="73"/>
      <c r="D280" s="54"/>
      <c r="E280" s="54" t="s">
        <v>384</v>
      </c>
      <c r="F280" s="54" t="s">
        <v>384</v>
      </c>
      <c r="G280" s="54" t="s">
        <v>384</v>
      </c>
      <c r="H280" s="54" t="s">
        <v>384</v>
      </c>
      <c r="I280" s="54" t="s">
        <v>384</v>
      </c>
      <c r="J280" s="54"/>
      <c r="K280" s="54"/>
      <c r="L280" s="54"/>
      <c r="M280" s="54" t="s">
        <v>384</v>
      </c>
      <c r="N280" s="54"/>
      <c r="O280" s="54"/>
      <c r="P280" s="101"/>
    </row>
    <row r="281" spans="1:16" ht="25.5" customHeight="1">
      <c r="A281" s="467">
        <v>122</v>
      </c>
      <c r="B281" s="470" t="s">
        <v>220</v>
      </c>
      <c r="C281" s="499">
        <v>995</v>
      </c>
      <c r="D281" s="486">
        <v>995</v>
      </c>
      <c r="E281" s="486" t="s">
        <v>1837</v>
      </c>
      <c r="F281" s="486" t="s">
        <v>1837</v>
      </c>
      <c r="G281" s="486">
        <v>995</v>
      </c>
      <c r="H281" s="486">
        <v>995</v>
      </c>
      <c r="I281" s="486">
        <v>995</v>
      </c>
      <c r="J281" s="486">
        <v>995</v>
      </c>
      <c r="K281" s="486">
        <v>995</v>
      </c>
      <c r="L281" s="486">
        <v>995</v>
      </c>
      <c r="M281" s="486"/>
      <c r="N281" s="486"/>
      <c r="O281" s="487"/>
      <c r="P281" s="476">
        <f>SUM(C281:O282)</f>
        <v>7960</v>
      </c>
    </row>
    <row r="282" spans="1:16">
      <c r="A282" s="468"/>
      <c r="B282" s="471"/>
      <c r="C282" s="499"/>
      <c r="D282" s="486"/>
      <c r="E282" s="486"/>
      <c r="F282" s="486"/>
      <c r="G282" s="486"/>
      <c r="H282" s="486"/>
      <c r="I282" s="486"/>
      <c r="J282" s="486"/>
      <c r="K282" s="486"/>
      <c r="L282" s="486"/>
      <c r="M282" s="486"/>
      <c r="N282" s="486"/>
      <c r="O282" s="488"/>
      <c r="P282" s="445"/>
    </row>
    <row r="283" spans="1:16">
      <c r="A283" s="468"/>
      <c r="B283" s="76" t="s">
        <v>363</v>
      </c>
      <c r="C283" s="97">
        <v>45698</v>
      </c>
      <c r="D283" s="65">
        <v>45728</v>
      </c>
      <c r="E283" s="65"/>
      <c r="F283" s="65"/>
      <c r="G283" s="65">
        <v>45831</v>
      </c>
      <c r="H283" s="65">
        <v>45852</v>
      </c>
      <c r="I283" s="65">
        <v>45884</v>
      </c>
      <c r="J283" s="65">
        <v>45919</v>
      </c>
      <c r="K283" s="65">
        <v>45952</v>
      </c>
      <c r="L283" s="65">
        <v>45972</v>
      </c>
      <c r="M283" s="65"/>
      <c r="N283" s="65"/>
      <c r="O283" s="54"/>
      <c r="P283" s="101"/>
    </row>
    <row r="284" spans="1:16" ht="15.75" customHeight="1">
      <c r="A284" s="478"/>
      <c r="B284" s="77" t="s">
        <v>377</v>
      </c>
      <c r="C284" s="73" t="s">
        <v>384</v>
      </c>
      <c r="D284" s="54" t="s">
        <v>384</v>
      </c>
      <c r="E284" s="54"/>
      <c r="F284" s="54"/>
      <c r="G284" s="54" t="s">
        <v>384</v>
      </c>
      <c r="H284" s="54" t="s">
        <v>384</v>
      </c>
      <c r="I284" s="54" t="s">
        <v>384</v>
      </c>
      <c r="J284" s="54" t="s">
        <v>384</v>
      </c>
      <c r="K284" s="54" t="s">
        <v>384</v>
      </c>
      <c r="L284" s="54" t="s">
        <v>384</v>
      </c>
      <c r="M284" s="54"/>
      <c r="N284" s="54"/>
      <c r="O284" s="54"/>
      <c r="P284" s="101"/>
    </row>
    <row r="285" spans="1:16" ht="25.5" customHeight="1">
      <c r="A285" s="467">
        <v>123</v>
      </c>
      <c r="B285" s="470" t="s">
        <v>1134</v>
      </c>
      <c r="C285" s="479"/>
      <c r="D285" s="479"/>
      <c r="E285" s="479">
        <v>915</v>
      </c>
      <c r="F285" s="479">
        <v>915</v>
      </c>
      <c r="G285" s="479"/>
      <c r="H285" s="479"/>
      <c r="I285" s="481"/>
      <c r="J285" s="481"/>
      <c r="K285" s="481"/>
      <c r="L285" s="481"/>
      <c r="M285" s="481"/>
      <c r="N285" s="500"/>
      <c r="O285" s="491"/>
      <c r="P285" s="476">
        <f>SUM(C285:O286)</f>
        <v>1830</v>
      </c>
    </row>
    <row r="286" spans="1:16">
      <c r="A286" s="468"/>
      <c r="B286" s="471"/>
      <c r="C286" s="480"/>
      <c r="D286" s="480"/>
      <c r="E286" s="480"/>
      <c r="F286" s="480"/>
      <c r="G286" s="480"/>
      <c r="H286" s="480"/>
      <c r="I286" s="482"/>
      <c r="J286" s="482"/>
      <c r="K286" s="482"/>
      <c r="L286" s="482"/>
      <c r="M286" s="482"/>
      <c r="N286" s="482"/>
      <c r="O286" s="492"/>
      <c r="P286" s="445"/>
    </row>
    <row r="287" spans="1:16">
      <c r="A287" s="468"/>
      <c r="B287" s="76" t="s">
        <v>363</v>
      </c>
      <c r="C287" s="97"/>
      <c r="D287" s="97"/>
      <c r="E287" s="97">
        <v>45758</v>
      </c>
      <c r="F287" s="97">
        <v>45789</v>
      </c>
      <c r="G287" s="97"/>
      <c r="H287" s="97"/>
      <c r="I287" s="65"/>
      <c r="J287" s="65"/>
      <c r="K287" s="65"/>
      <c r="L287" s="65"/>
      <c r="M287" s="65"/>
      <c r="N287" s="65"/>
      <c r="O287" s="54"/>
      <c r="P287" s="101"/>
    </row>
    <row r="288" spans="1:16" ht="17.25" customHeight="1">
      <c r="A288" s="478"/>
      <c r="B288" s="77" t="s">
        <v>377</v>
      </c>
      <c r="C288" s="73"/>
      <c r="D288" s="73"/>
      <c r="E288" s="73" t="s">
        <v>386</v>
      </c>
      <c r="F288" s="73" t="s">
        <v>386</v>
      </c>
      <c r="G288" s="73"/>
      <c r="H288" s="73"/>
      <c r="I288" s="54"/>
      <c r="J288" s="54"/>
      <c r="K288" s="54"/>
      <c r="L288" s="54"/>
      <c r="M288" s="54"/>
      <c r="N288" s="54"/>
      <c r="O288" s="54"/>
      <c r="P288" s="101"/>
    </row>
    <row r="289" spans="1:16" ht="17.25" customHeight="1">
      <c r="A289" s="467">
        <v>126</v>
      </c>
      <c r="B289" s="470" t="s">
        <v>1814</v>
      </c>
      <c r="C289" s="479">
        <v>360</v>
      </c>
      <c r="D289" s="479">
        <v>360</v>
      </c>
      <c r="E289" s="479">
        <v>360</v>
      </c>
      <c r="F289" s="479">
        <v>360</v>
      </c>
      <c r="G289" s="479">
        <v>360</v>
      </c>
      <c r="H289" s="479">
        <v>360</v>
      </c>
      <c r="I289" s="481"/>
      <c r="J289" s="481"/>
      <c r="K289" s="481"/>
      <c r="L289" s="481"/>
      <c r="M289" s="481"/>
      <c r="N289" s="500"/>
      <c r="O289" s="491"/>
      <c r="P289" s="476">
        <f>SUM(C289:O290)</f>
        <v>2160</v>
      </c>
    </row>
    <row r="290" spans="1:16" ht="17.25" customHeight="1">
      <c r="A290" s="468"/>
      <c r="B290" s="471"/>
      <c r="C290" s="480"/>
      <c r="D290" s="480"/>
      <c r="E290" s="480"/>
      <c r="F290" s="480"/>
      <c r="G290" s="480"/>
      <c r="H290" s="480"/>
      <c r="I290" s="482"/>
      <c r="J290" s="482"/>
      <c r="K290" s="482"/>
      <c r="L290" s="482"/>
      <c r="M290" s="482"/>
      <c r="N290" s="482"/>
      <c r="O290" s="492"/>
      <c r="P290" s="445"/>
    </row>
    <row r="291" spans="1:16" ht="17.25" customHeight="1">
      <c r="A291" s="468"/>
      <c r="B291" s="76" t="s">
        <v>363</v>
      </c>
      <c r="C291" s="97">
        <v>45667</v>
      </c>
      <c r="D291" s="97">
        <v>45695</v>
      </c>
      <c r="E291" s="97">
        <v>45723</v>
      </c>
      <c r="F291" s="97">
        <v>45761</v>
      </c>
      <c r="G291" s="97">
        <v>45821</v>
      </c>
      <c r="H291" s="97">
        <v>45867</v>
      </c>
      <c r="I291" s="65"/>
      <c r="J291" s="65"/>
      <c r="K291" s="65"/>
      <c r="L291" s="65"/>
      <c r="M291" s="65"/>
      <c r="N291" s="65"/>
      <c r="O291" s="54"/>
      <c r="P291" s="101"/>
    </row>
    <row r="292" spans="1:16" ht="17.25" customHeight="1">
      <c r="A292" s="478"/>
      <c r="B292" s="77" t="s">
        <v>377</v>
      </c>
      <c r="C292" s="73" t="s">
        <v>384</v>
      </c>
      <c r="D292" s="73" t="s">
        <v>384</v>
      </c>
      <c r="E292" s="73" t="s">
        <v>384</v>
      </c>
      <c r="F292" s="73" t="s">
        <v>384</v>
      </c>
      <c r="G292" s="73" t="s">
        <v>384</v>
      </c>
      <c r="H292" s="73" t="s">
        <v>384</v>
      </c>
      <c r="I292" s="54"/>
      <c r="J292" s="54"/>
      <c r="K292" s="54"/>
      <c r="L292" s="54"/>
      <c r="M292" s="54"/>
      <c r="N292" s="54"/>
      <c r="O292" s="54"/>
      <c r="P292" s="101"/>
    </row>
    <row r="293" spans="1:16" ht="25.5" customHeight="1">
      <c r="A293" s="467">
        <v>127</v>
      </c>
      <c r="B293" s="470" t="s">
        <v>1555</v>
      </c>
      <c r="C293" s="479">
        <v>680</v>
      </c>
      <c r="D293" s="479">
        <v>680</v>
      </c>
      <c r="E293" s="479">
        <v>680</v>
      </c>
      <c r="F293" s="479">
        <v>680</v>
      </c>
      <c r="G293" s="479">
        <v>680</v>
      </c>
      <c r="H293" s="479">
        <v>680</v>
      </c>
      <c r="I293" s="481">
        <v>680</v>
      </c>
      <c r="J293" s="481">
        <v>680</v>
      </c>
      <c r="K293" s="481">
        <v>680</v>
      </c>
      <c r="L293" s="481">
        <v>680</v>
      </c>
      <c r="M293" s="481">
        <v>680</v>
      </c>
      <c r="N293" s="500"/>
      <c r="O293" s="491"/>
      <c r="P293" s="476">
        <f>SUM(C293:O294)</f>
        <v>7480</v>
      </c>
    </row>
    <row r="294" spans="1:16">
      <c r="A294" s="468"/>
      <c r="B294" s="471"/>
      <c r="C294" s="480"/>
      <c r="D294" s="480"/>
      <c r="E294" s="480"/>
      <c r="F294" s="480"/>
      <c r="G294" s="480"/>
      <c r="H294" s="480"/>
      <c r="I294" s="482"/>
      <c r="J294" s="482"/>
      <c r="K294" s="482"/>
      <c r="L294" s="482"/>
      <c r="M294" s="482"/>
      <c r="N294" s="482"/>
      <c r="O294" s="492"/>
      <c r="P294" s="445"/>
    </row>
    <row r="295" spans="1:16">
      <c r="A295" s="468"/>
      <c r="B295" s="76" t="s">
        <v>363</v>
      </c>
      <c r="C295" s="97">
        <v>45708</v>
      </c>
      <c r="D295" s="97">
        <v>45733</v>
      </c>
      <c r="E295" s="97">
        <v>45796</v>
      </c>
      <c r="F295" s="97">
        <v>45838</v>
      </c>
      <c r="G295" s="97">
        <v>45856</v>
      </c>
      <c r="H295" s="97">
        <v>45868</v>
      </c>
      <c r="I295" s="65">
        <v>45899</v>
      </c>
      <c r="J295" s="65">
        <v>45919</v>
      </c>
      <c r="K295" s="65">
        <v>45980</v>
      </c>
      <c r="L295" s="65">
        <v>46010</v>
      </c>
      <c r="M295" s="65">
        <v>46010</v>
      </c>
      <c r="N295" s="65"/>
      <c r="O295" s="54"/>
      <c r="P295" s="101"/>
    </row>
    <row r="296" spans="1:16" ht="17.25" customHeight="1">
      <c r="A296" s="478"/>
      <c r="B296" s="77" t="s">
        <v>377</v>
      </c>
      <c r="C296" s="73" t="s">
        <v>1486</v>
      </c>
      <c r="D296" s="73" t="s">
        <v>1486</v>
      </c>
      <c r="E296" s="73" t="s">
        <v>1486</v>
      </c>
      <c r="F296" s="73" t="s">
        <v>1486</v>
      </c>
      <c r="G296" s="73" t="s">
        <v>1486</v>
      </c>
      <c r="H296" s="73" t="s">
        <v>1486</v>
      </c>
      <c r="I296" s="54" t="s">
        <v>1486</v>
      </c>
      <c r="J296" s="54" t="s">
        <v>1486</v>
      </c>
      <c r="K296" s="54" t="s">
        <v>1486</v>
      </c>
      <c r="L296" s="54" t="s">
        <v>1486</v>
      </c>
      <c r="M296" s="54" t="s">
        <v>1486</v>
      </c>
      <c r="N296" s="54"/>
      <c r="O296" s="54"/>
      <c r="P296" s="101"/>
    </row>
    <row r="297" spans="1:16" ht="15" customHeight="1">
      <c r="A297" s="467">
        <v>128</v>
      </c>
      <c r="B297" s="497" t="s">
        <v>75</v>
      </c>
      <c r="C297" s="481" t="s">
        <v>1827</v>
      </c>
      <c r="D297" s="481">
        <v>890</v>
      </c>
      <c r="E297" s="481">
        <v>730</v>
      </c>
      <c r="F297" s="481">
        <v>730</v>
      </c>
      <c r="G297" s="481">
        <v>730</v>
      </c>
      <c r="H297" s="481">
        <v>730</v>
      </c>
      <c r="I297" s="481">
        <v>730</v>
      </c>
      <c r="J297" s="481">
        <v>730</v>
      </c>
      <c r="K297" s="481">
        <v>730</v>
      </c>
      <c r="L297" s="481">
        <v>730</v>
      </c>
      <c r="M297" s="481"/>
      <c r="N297" s="481"/>
      <c r="O297" s="491"/>
      <c r="P297" s="476">
        <f>SUM(C297:O298)</f>
        <v>6730</v>
      </c>
    </row>
    <row r="298" spans="1:16">
      <c r="A298" s="468"/>
      <c r="B298" s="542"/>
      <c r="C298" s="482"/>
      <c r="D298" s="482"/>
      <c r="E298" s="482"/>
      <c r="F298" s="482"/>
      <c r="G298" s="482"/>
      <c r="H298" s="482"/>
      <c r="I298" s="482"/>
      <c r="J298" s="482"/>
      <c r="K298" s="482"/>
      <c r="L298" s="482"/>
      <c r="M298" s="482"/>
      <c r="N298" s="482"/>
      <c r="O298" s="492"/>
      <c r="P298" s="445"/>
    </row>
    <row r="299" spans="1:16">
      <c r="A299" s="468"/>
      <c r="B299" s="82" t="s">
        <v>363</v>
      </c>
      <c r="C299" s="65">
        <v>45695</v>
      </c>
      <c r="D299" s="65">
        <v>45726</v>
      </c>
      <c r="E299" s="65">
        <v>45755</v>
      </c>
      <c r="F299" s="65">
        <v>45786</v>
      </c>
      <c r="G299" s="65">
        <v>45817</v>
      </c>
      <c r="H299" s="65">
        <v>45847</v>
      </c>
      <c r="I299" s="65">
        <v>45877</v>
      </c>
      <c r="J299" s="65">
        <v>45908</v>
      </c>
      <c r="K299" s="65">
        <v>45938</v>
      </c>
      <c r="L299" s="65">
        <v>45968</v>
      </c>
      <c r="M299" s="65"/>
      <c r="N299" s="65"/>
      <c r="O299" s="54"/>
      <c r="P299" s="101"/>
    </row>
    <row r="300" spans="1:16">
      <c r="A300" s="501"/>
      <c r="B300" s="87" t="s">
        <v>377</v>
      </c>
      <c r="C300" s="54" t="s">
        <v>384</v>
      </c>
      <c r="D300" s="54" t="s">
        <v>384</v>
      </c>
      <c r="E300" s="54" t="s">
        <v>384</v>
      </c>
      <c r="F300" s="54" t="s">
        <v>384</v>
      </c>
      <c r="G300" s="54" t="s">
        <v>384</v>
      </c>
      <c r="H300" s="54" t="s">
        <v>384</v>
      </c>
      <c r="I300" s="54" t="s">
        <v>384</v>
      </c>
      <c r="J300" s="54" t="s">
        <v>384</v>
      </c>
      <c r="K300" s="54" t="s">
        <v>384</v>
      </c>
      <c r="L300" s="54" t="s">
        <v>384</v>
      </c>
      <c r="M300" s="54"/>
      <c r="N300" s="54"/>
      <c r="O300" s="54"/>
      <c r="P300" s="101"/>
    </row>
    <row r="301" spans="1:16" ht="15" customHeight="1">
      <c r="A301" s="467">
        <v>129</v>
      </c>
      <c r="B301" s="470" t="s">
        <v>76</v>
      </c>
      <c r="C301" s="479">
        <v>4300</v>
      </c>
      <c r="D301" s="481">
        <v>4300</v>
      </c>
      <c r="E301" s="481">
        <v>4300</v>
      </c>
      <c r="F301" s="481">
        <v>4300</v>
      </c>
      <c r="G301" s="481">
        <v>4300</v>
      </c>
      <c r="H301" s="481">
        <v>4300</v>
      </c>
      <c r="I301" s="481">
        <v>4300</v>
      </c>
      <c r="J301" s="481">
        <v>4300</v>
      </c>
      <c r="K301" s="481">
        <v>4300</v>
      </c>
      <c r="L301" s="481">
        <v>4300</v>
      </c>
      <c r="M301" s="481"/>
      <c r="N301" s="481"/>
      <c r="O301" s="481"/>
      <c r="P301" s="476">
        <f>SUM(C301:O302)</f>
        <v>43000</v>
      </c>
    </row>
    <row r="302" spans="1:16">
      <c r="A302" s="468"/>
      <c r="B302" s="471"/>
      <c r="C302" s="480"/>
      <c r="D302" s="482"/>
      <c r="E302" s="482"/>
      <c r="F302" s="482"/>
      <c r="G302" s="482"/>
      <c r="H302" s="482"/>
      <c r="I302" s="482"/>
      <c r="J302" s="482"/>
      <c r="K302" s="482"/>
      <c r="L302" s="482"/>
      <c r="M302" s="482"/>
      <c r="N302" s="482"/>
      <c r="O302" s="482"/>
      <c r="P302" s="445"/>
    </row>
    <row r="303" spans="1:16">
      <c r="A303" s="468"/>
      <c r="B303" s="76" t="s">
        <v>363</v>
      </c>
      <c r="C303" s="97">
        <v>45698</v>
      </c>
      <c r="D303" s="65">
        <v>45726</v>
      </c>
      <c r="E303" s="65">
        <v>45754</v>
      </c>
      <c r="F303" s="65">
        <v>45789</v>
      </c>
      <c r="G303" s="65">
        <v>45817</v>
      </c>
      <c r="H303" s="65">
        <v>45845</v>
      </c>
      <c r="I303" s="65">
        <v>45880</v>
      </c>
      <c r="J303" s="65">
        <v>45908</v>
      </c>
      <c r="K303" s="66">
        <v>45936</v>
      </c>
      <c r="L303" s="65">
        <v>45971</v>
      </c>
      <c r="M303" s="65"/>
      <c r="N303" s="65"/>
      <c r="O303" s="65"/>
      <c r="P303" s="101"/>
    </row>
    <row r="304" spans="1:16">
      <c r="A304" s="478"/>
      <c r="B304" s="76" t="s">
        <v>377</v>
      </c>
      <c r="C304" s="73" t="s">
        <v>384</v>
      </c>
      <c r="D304" s="54" t="s">
        <v>384</v>
      </c>
      <c r="E304" s="54" t="s">
        <v>384</v>
      </c>
      <c r="F304" s="54" t="s">
        <v>384</v>
      </c>
      <c r="G304" s="54" t="s">
        <v>384</v>
      </c>
      <c r="H304" s="54" t="s">
        <v>384</v>
      </c>
      <c r="I304" s="54" t="s">
        <v>384</v>
      </c>
      <c r="J304" s="54" t="s">
        <v>384</v>
      </c>
      <c r="K304" s="54" t="s">
        <v>384</v>
      </c>
      <c r="L304" s="54" t="s">
        <v>384</v>
      </c>
      <c r="M304" s="54"/>
      <c r="N304" s="54"/>
      <c r="O304" s="54"/>
      <c r="P304" s="101"/>
    </row>
    <row r="305" spans="1:16" ht="15" customHeight="1">
      <c r="A305" s="467">
        <v>132</v>
      </c>
      <c r="B305" s="470" t="s">
        <v>78</v>
      </c>
      <c r="C305" s="479">
        <v>1200</v>
      </c>
      <c r="D305" s="481">
        <v>1200</v>
      </c>
      <c r="E305" s="481">
        <v>1200</v>
      </c>
      <c r="F305" s="481">
        <v>1200</v>
      </c>
      <c r="G305" s="481">
        <v>1200</v>
      </c>
      <c r="H305" s="481">
        <v>1200</v>
      </c>
      <c r="I305" s="481">
        <v>1200</v>
      </c>
      <c r="J305" s="481">
        <v>1200</v>
      </c>
      <c r="K305" s="481">
        <v>1200</v>
      </c>
      <c r="L305" s="481">
        <v>1200</v>
      </c>
      <c r="M305" s="481"/>
      <c r="N305" s="481"/>
      <c r="O305" s="491"/>
      <c r="P305" s="493">
        <f>SUM(C305:O306)</f>
        <v>12000</v>
      </c>
    </row>
    <row r="306" spans="1:16">
      <c r="A306" s="468"/>
      <c r="B306" s="471"/>
      <c r="C306" s="480"/>
      <c r="D306" s="482"/>
      <c r="E306" s="482"/>
      <c r="F306" s="482"/>
      <c r="G306" s="482"/>
      <c r="H306" s="482"/>
      <c r="I306" s="482"/>
      <c r="J306" s="482"/>
      <c r="K306" s="482"/>
      <c r="L306" s="482"/>
      <c r="M306" s="482"/>
      <c r="N306" s="482"/>
      <c r="O306" s="492"/>
      <c r="P306" s="494"/>
    </row>
    <row r="307" spans="1:16">
      <c r="A307" s="468"/>
      <c r="B307" s="76" t="s">
        <v>363</v>
      </c>
      <c r="C307" s="97">
        <v>45698</v>
      </c>
      <c r="D307" s="65">
        <v>45726</v>
      </c>
      <c r="E307" s="65">
        <v>45757</v>
      </c>
      <c r="F307" s="65">
        <v>45786</v>
      </c>
      <c r="G307" s="65">
        <v>45817</v>
      </c>
      <c r="H307" s="65">
        <v>45848</v>
      </c>
      <c r="I307" s="65">
        <v>45880</v>
      </c>
      <c r="J307" s="65">
        <v>45911</v>
      </c>
      <c r="K307" s="65">
        <v>45939</v>
      </c>
      <c r="L307" s="65">
        <v>45972</v>
      </c>
      <c r="M307" s="65"/>
      <c r="N307" s="65"/>
      <c r="O307" s="54"/>
      <c r="P307" s="101"/>
    </row>
    <row r="308" spans="1:16">
      <c r="A308" s="478"/>
      <c r="B308" s="77" t="s">
        <v>377</v>
      </c>
      <c r="C308" s="73" t="s">
        <v>384</v>
      </c>
      <c r="D308" s="54" t="s">
        <v>371</v>
      </c>
      <c r="E308" s="54" t="s">
        <v>384</v>
      </c>
      <c r="F308" s="54" t="s">
        <v>384</v>
      </c>
      <c r="G308" s="54" t="s">
        <v>384</v>
      </c>
      <c r="H308" s="54" t="s">
        <v>384</v>
      </c>
      <c r="I308" s="54" t="s">
        <v>384</v>
      </c>
      <c r="J308" s="54" t="s">
        <v>384</v>
      </c>
      <c r="K308" s="54" t="s">
        <v>384</v>
      </c>
      <c r="L308" s="54" t="s">
        <v>384</v>
      </c>
      <c r="M308" s="54"/>
      <c r="N308" s="54"/>
      <c r="O308" s="54"/>
      <c r="P308" s="101"/>
    </row>
    <row r="309" spans="1:16">
      <c r="A309" s="467">
        <v>133</v>
      </c>
      <c r="B309" s="470" t="s">
        <v>1803</v>
      </c>
      <c r="C309" s="479"/>
      <c r="D309" s="479"/>
      <c r="E309" s="482"/>
      <c r="F309" s="482" t="s">
        <v>1875</v>
      </c>
      <c r="G309" s="473">
        <v>380</v>
      </c>
      <c r="H309" s="473">
        <v>380</v>
      </c>
      <c r="I309" s="473"/>
      <c r="J309" s="473"/>
      <c r="K309" s="473">
        <v>2660</v>
      </c>
      <c r="L309" s="482"/>
      <c r="M309" s="482"/>
      <c r="N309" s="482"/>
      <c r="O309" s="491"/>
      <c r="P309" s="476">
        <f>SUM(C309:O310)</f>
        <v>3420</v>
      </c>
    </row>
    <row r="310" spans="1:16">
      <c r="A310" s="468"/>
      <c r="B310" s="471"/>
      <c r="C310" s="480"/>
      <c r="D310" s="480"/>
      <c r="E310" s="482"/>
      <c r="F310" s="482"/>
      <c r="G310" s="473"/>
      <c r="H310" s="473"/>
      <c r="I310" s="473"/>
      <c r="J310" s="473"/>
      <c r="K310" s="473"/>
      <c r="L310" s="482"/>
      <c r="M310" s="482"/>
      <c r="N310" s="482"/>
      <c r="O310" s="492"/>
      <c r="P310" s="445"/>
    </row>
    <row r="311" spans="1:16">
      <c r="A311" s="468"/>
      <c r="B311" s="82" t="s">
        <v>363</v>
      </c>
      <c r="C311" s="65"/>
      <c r="D311" s="65"/>
      <c r="E311" s="65"/>
      <c r="F311" s="65">
        <v>45797</v>
      </c>
      <c r="G311" s="65">
        <v>45828</v>
      </c>
      <c r="H311" s="65">
        <v>45867</v>
      </c>
      <c r="I311" s="65"/>
      <c r="J311" s="65"/>
      <c r="K311" s="65">
        <v>45944</v>
      </c>
      <c r="L311" s="65"/>
      <c r="M311" s="65"/>
      <c r="N311" s="54"/>
      <c r="O311" s="54"/>
      <c r="P311" s="101"/>
    </row>
    <row r="312" spans="1:16">
      <c r="A312" s="478"/>
      <c r="B312" s="76" t="s">
        <v>377</v>
      </c>
      <c r="C312" s="73"/>
      <c r="D312" s="54"/>
      <c r="E312" s="54"/>
      <c r="F312" s="54" t="s">
        <v>384</v>
      </c>
      <c r="G312" s="54" t="s">
        <v>384</v>
      </c>
      <c r="H312" s="54" t="s">
        <v>384</v>
      </c>
      <c r="I312" s="54"/>
      <c r="J312" s="54"/>
      <c r="K312" s="54" t="s">
        <v>384</v>
      </c>
      <c r="L312" s="54"/>
      <c r="M312" s="54"/>
      <c r="N312" s="54"/>
      <c r="O312" s="54"/>
      <c r="P312" s="101"/>
    </row>
    <row r="313" spans="1:16" ht="25.5" customHeight="1">
      <c r="A313" s="485">
        <v>137</v>
      </c>
      <c r="B313" s="470" t="s">
        <v>714</v>
      </c>
      <c r="C313" s="499">
        <v>625</v>
      </c>
      <c r="D313" s="499">
        <v>625</v>
      </c>
      <c r="E313" s="486">
        <v>625</v>
      </c>
      <c r="F313" s="486">
        <v>625</v>
      </c>
      <c r="G313" s="486">
        <v>625</v>
      </c>
      <c r="H313" s="486">
        <v>625</v>
      </c>
      <c r="I313" s="486"/>
      <c r="J313" s="486">
        <v>625</v>
      </c>
      <c r="K313" s="486">
        <v>625</v>
      </c>
      <c r="L313" s="486" t="s">
        <v>2228</v>
      </c>
      <c r="M313" s="486" t="s">
        <v>2228</v>
      </c>
      <c r="N313" s="486"/>
      <c r="O313" s="487"/>
      <c r="P313" s="476">
        <f>SUM(C313:O314)</f>
        <v>5000</v>
      </c>
    </row>
    <row r="314" spans="1:16">
      <c r="A314" s="468"/>
      <c r="B314" s="471"/>
      <c r="C314" s="499"/>
      <c r="D314" s="499"/>
      <c r="E314" s="486"/>
      <c r="F314" s="486"/>
      <c r="G314" s="486"/>
      <c r="H314" s="486"/>
      <c r="I314" s="486"/>
      <c r="J314" s="486"/>
      <c r="K314" s="486"/>
      <c r="L314" s="486"/>
      <c r="M314" s="486"/>
      <c r="N314" s="486"/>
      <c r="O314" s="488"/>
      <c r="P314" s="445"/>
    </row>
    <row r="315" spans="1:16">
      <c r="A315" s="468"/>
      <c r="B315" s="82" t="s">
        <v>363</v>
      </c>
      <c r="C315" s="65">
        <v>45721</v>
      </c>
      <c r="D315" s="65">
        <v>45721</v>
      </c>
      <c r="E315" s="65">
        <v>45783</v>
      </c>
      <c r="F315" s="65">
        <v>45783</v>
      </c>
      <c r="G315" s="65">
        <v>45874</v>
      </c>
      <c r="H315" s="65">
        <v>45874</v>
      </c>
      <c r="I315" s="65"/>
      <c r="J315" s="65">
        <v>45936</v>
      </c>
      <c r="K315" s="65">
        <v>45936</v>
      </c>
      <c r="L315" s="65">
        <v>45995</v>
      </c>
      <c r="M315" s="65">
        <v>45995</v>
      </c>
      <c r="N315" s="54"/>
      <c r="O315" s="54"/>
      <c r="P315" s="101"/>
    </row>
    <row r="316" spans="1:16">
      <c r="A316" s="501"/>
      <c r="B316" s="76" t="s">
        <v>377</v>
      </c>
      <c r="C316" s="73" t="s">
        <v>386</v>
      </c>
      <c r="D316" s="54" t="s">
        <v>386</v>
      </c>
      <c r="E316" s="54" t="s">
        <v>386</v>
      </c>
      <c r="F316" s="54" t="s">
        <v>386</v>
      </c>
      <c r="G316" s="54" t="s">
        <v>386</v>
      </c>
      <c r="H316" s="54" t="s">
        <v>386</v>
      </c>
      <c r="I316" s="54"/>
      <c r="J316" s="54" t="s">
        <v>386</v>
      </c>
      <c r="K316" s="54" t="s">
        <v>386</v>
      </c>
      <c r="L316" s="54" t="s">
        <v>386</v>
      </c>
      <c r="M316" s="54" t="s">
        <v>386</v>
      </c>
      <c r="N316" s="54"/>
      <c r="O316" s="54"/>
      <c r="P316" s="101"/>
    </row>
    <row r="317" spans="1:16" ht="15" customHeight="1">
      <c r="A317" s="467">
        <v>138</v>
      </c>
      <c r="B317" s="470" t="s">
        <v>335</v>
      </c>
      <c r="C317" s="499">
        <v>320</v>
      </c>
      <c r="D317" s="486">
        <v>320</v>
      </c>
      <c r="E317" s="486">
        <v>344</v>
      </c>
      <c r="F317" s="486">
        <v>344</v>
      </c>
      <c r="G317" s="486">
        <v>344</v>
      </c>
      <c r="H317" s="486">
        <v>344</v>
      </c>
      <c r="I317" s="486">
        <v>344</v>
      </c>
      <c r="J317" s="486">
        <v>344</v>
      </c>
      <c r="K317" s="486">
        <v>344</v>
      </c>
      <c r="L317" s="486">
        <v>344</v>
      </c>
      <c r="M317" s="486">
        <v>344</v>
      </c>
      <c r="N317" s="486">
        <v>344</v>
      </c>
      <c r="O317" s="487"/>
      <c r="P317" s="476">
        <f>SUM(C317:O318)</f>
        <v>4080</v>
      </c>
    </row>
    <row r="318" spans="1:16">
      <c r="A318" s="468"/>
      <c r="B318" s="496"/>
      <c r="C318" s="499"/>
      <c r="D318" s="486"/>
      <c r="E318" s="486"/>
      <c r="F318" s="486"/>
      <c r="G318" s="486"/>
      <c r="H318" s="486"/>
      <c r="I318" s="486"/>
      <c r="J318" s="486"/>
      <c r="K318" s="486"/>
      <c r="L318" s="486"/>
      <c r="M318" s="486"/>
      <c r="N318" s="486"/>
      <c r="O318" s="488"/>
      <c r="P318" s="445"/>
    </row>
    <row r="319" spans="1:16">
      <c r="A319" s="468"/>
      <c r="B319" s="86" t="s">
        <v>363</v>
      </c>
      <c r="C319" s="97">
        <v>45709</v>
      </c>
      <c r="D319" s="65">
        <v>45749</v>
      </c>
      <c r="E319" s="65">
        <v>45789</v>
      </c>
      <c r="F319" s="65">
        <v>45797</v>
      </c>
      <c r="G319" s="65">
        <v>45818</v>
      </c>
      <c r="H319" s="65">
        <v>45848</v>
      </c>
      <c r="I319" s="65">
        <v>45884</v>
      </c>
      <c r="J319" s="65">
        <v>45915</v>
      </c>
      <c r="K319" s="65">
        <v>45944</v>
      </c>
      <c r="L319" s="65">
        <v>45974</v>
      </c>
      <c r="M319" s="65">
        <v>46020</v>
      </c>
      <c r="N319" s="65">
        <v>46020</v>
      </c>
      <c r="O319" s="54"/>
      <c r="P319" s="101"/>
    </row>
    <row r="320" spans="1:16">
      <c r="A320" s="478"/>
      <c r="B320" s="76" t="s">
        <v>377</v>
      </c>
      <c r="C320" s="73" t="s">
        <v>386</v>
      </c>
      <c r="D320" s="54" t="s">
        <v>386</v>
      </c>
      <c r="E320" s="54" t="s">
        <v>386</v>
      </c>
      <c r="F320" s="54" t="s">
        <v>386</v>
      </c>
      <c r="G320" s="54" t="s">
        <v>386</v>
      </c>
      <c r="H320" s="54" t="s">
        <v>386</v>
      </c>
      <c r="I320" s="54" t="s">
        <v>386</v>
      </c>
      <c r="J320" s="54" t="s">
        <v>386</v>
      </c>
      <c r="K320" s="54" t="s">
        <v>386</v>
      </c>
      <c r="L320" s="54" t="s">
        <v>386</v>
      </c>
      <c r="M320" s="54" t="s">
        <v>386</v>
      </c>
      <c r="N320" s="54" t="s">
        <v>386</v>
      </c>
      <c r="O320" s="54"/>
      <c r="P320" s="101"/>
    </row>
    <row r="321" spans="1:16" ht="15" customHeight="1">
      <c r="A321" s="467">
        <v>142</v>
      </c>
      <c r="B321" s="470" t="s">
        <v>2198</v>
      </c>
      <c r="C321" s="472"/>
      <c r="D321" s="473"/>
      <c r="E321" s="473"/>
      <c r="F321" s="473"/>
      <c r="G321" s="473"/>
      <c r="H321" s="473"/>
      <c r="I321" s="473"/>
      <c r="J321" s="473">
        <v>170</v>
      </c>
      <c r="K321" s="473"/>
      <c r="L321" s="473">
        <v>170</v>
      </c>
      <c r="M321" s="473"/>
      <c r="N321" s="473"/>
      <c r="O321" s="474"/>
      <c r="P321" s="476">
        <f>SUM(C321:O322)</f>
        <v>340</v>
      </c>
    </row>
    <row r="322" spans="1:16">
      <c r="A322" s="468"/>
      <c r="B322" s="471"/>
      <c r="C322" s="472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5"/>
      <c r="P322" s="445"/>
    </row>
    <row r="323" spans="1:16">
      <c r="A323" s="468"/>
      <c r="B323" s="87" t="s">
        <v>363</v>
      </c>
      <c r="C323" s="54"/>
      <c r="D323" s="65"/>
      <c r="E323" s="65"/>
      <c r="F323" s="65"/>
      <c r="G323" s="65"/>
      <c r="H323" s="54"/>
      <c r="I323" s="54"/>
      <c r="J323" s="65">
        <v>45904</v>
      </c>
      <c r="K323" s="65"/>
      <c r="L323" s="65">
        <v>45971</v>
      </c>
      <c r="M323" s="54"/>
      <c r="N323" s="54"/>
      <c r="O323" s="54"/>
      <c r="P323" s="101"/>
    </row>
    <row r="324" spans="1:16">
      <c r="A324" s="469"/>
      <c r="B324" s="76" t="s">
        <v>377</v>
      </c>
      <c r="C324" s="73"/>
      <c r="D324" s="54"/>
      <c r="E324" s="54"/>
      <c r="F324" s="54"/>
      <c r="G324" s="54"/>
      <c r="H324" s="54"/>
      <c r="I324" s="54"/>
      <c r="J324" s="54" t="s">
        <v>384</v>
      </c>
      <c r="K324" s="54"/>
      <c r="L324" s="54" t="s">
        <v>384</v>
      </c>
      <c r="M324" s="54"/>
      <c r="N324" s="54"/>
      <c r="O324" s="54"/>
      <c r="P324" s="101"/>
    </row>
    <row r="325" spans="1:16" ht="15" customHeight="1">
      <c r="A325" s="467">
        <v>145</v>
      </c>
      <c r="B325" s="470" t="s">
        <v>1815</v>
      </c>
      <c r="C325" s="480"/>
      <c r="D325" s="482"/>
      <c r="E325" s="482"/>
      <c r="F325" s="482"/>
      <c r="G325" s="482"/>
      <c r="H325" s="482"/>
      <c r="I325" s="482"/>
      <c r="J325" s="482"/>
      <c r="K325" s="482"/>
      <c r="L325" s="482"/>
      <c r="M325" s="482"/>
      <c r="N325" s="482"/>
      <c r="O325" s="491"/>
      <c r="P325" s="476">
        <f>SUM(C325:O326)</f>
        <v>0</v>
      </c>
    </row>
    <row r="326" spans="1:16">
      <c r="A326" s="468"/>
      <c r="B326" s="471"/>
      <c r="C326" s="480"/>
      <c r="D326" s="482"/>
      <c r="E326" s="482"/>
      <c r="F326" s="482"/>
      <c r="G326" s="482"/>
      <c r="H326" s="482"/>
      <c r="I326" s="482"/>
      <c r="J326" s="482"/>
      <c r="K326" s="482"/>
      <c r="L326" s="482"/>
      <c r="M326" s="482"/>
      <c r="N326" s="482"/>
      <c r="O326" s="492"/>
      <c r="P326" s="445"/>
    </row>
    <row r="327" spans="1:16">
      <c r="A327" s="468"/>
      <c r="B327" s="87" t="s">
        <v>363</v>
      </c>
      <c r="C327" s="54"/>
      <c r="D327" s="65"/>
      <c r="E327" s="65"/>
      <c r="F327" s="65"/>
      <c r="G327" s="65"/>
      <c r="H327" s="54"/>
      <c r="I327" s="54"/>
      <c r="J327" s="54"/>
      <c r="K327" s="54"/>
      <c r="L327" s="54"/>
      <c r="M327" s="54"/>
      <c r="N327" s="54"/>
      <c r="O327" s="54"/>
      <c r="P327" s="101"/>
    </row>
    <row r="328" spans="1:16">
      <c r="A328" s="469"/>
      <c r="B328" s="76" t="s">
        <v>377</v>
      </c>
      <c r="C328" s="73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101"/>
    </row>
    <row r="329" spans="1:16" ht="15" customHeight="1">
      <c r="A329" s="553">
        <v>146</v>
      </c>
      <c r="B329" s="470" t="s">
        <v>336</v>
      </c>
      <c r="C329" s="495" t="s">
        <v>1823</v>
      </c>
      <c r="D329" s="481">
        <v>545</v>
      </c>
      <c r="E329" s="481">
        <v>545</v>
      </c>
      <c r="F329" s="481">
        <v>545</v>
      </c>
      <c r="G329" s="481">
        <v>545</v>
      </c>
      <c r="H329" s="481"/>
      <c r="I329" s="481"/>
      <c r="J329" s="481">
        <v>545</v>
      </c>
      <c r="K329" s="481">
        <v>545</v>
      </c>
      <c r="L329" s="481">
        <v>545</v>
      </c>
      <c r="M329" s="481"/>
      <c r="N329" s="481"/>
      <c r="O329" s="491"/>
      <c r="P329" s="476">
        <f>SUM(C329:O330)</f>
        <v>3815</v>
      </c>
    </row>
    <row r="330" spans="1:16">
      <c r="A330" s="554"/>
      <c r="B330" s="471"/>
      <c r="C330" s="480"/>
      <c r="D330" s="482"/>
      <c r="E330" s="482"/>
      <c r="F330" s="482"/>
      <c r="G330" s="482"/>
      <c r="H330" s="482"/>
      <c r="I330" s="482"/>
      <c r="J330" s="482"/>
      <c r="K330" s="482"/>
      <c r="L330" s="482"/>
      <c r="M330" s="482"/>
      <c r="N330" s="482"/>
      <c r="O330" s="492"/>
      <c r="P330" s="445"/>
    </row>
    <row r="331" spans="1:16">
      <c r="A331" s="554"/>
      <c r="B331" s="76" t="s">
        <v>363</v>
      </c>
      <c r="C331" s="97">
        <v>45757</v>
      </c>
      <c r="D331" s="65">
        <v>45803</v>
      </c>
      <c r="E331" s="65">
        <v>45818</v>
      </c>
      <c r="F331" s="65">
        <v>45848</v>
      </c>
      <c r="G331" s="65">
        <v>45869</v>
      </c>
      <c r="H331" s="65"/>
      <c r="I331" s="65"/>
      <c r="J331" s="65">
        <v>45929</v>
      </c>
      <c r="K331" s="65">
        <v>45951</v>
      </c>
      <c r="L331" s="65">
        <v>45961</v>
      </c>
      <c r="M331" s="65"/>
      <c r="N331" s="65"/>
      <c r="O331" s="54"/>
      <c r="P331" s="101"/>
    </row>
    <row r="332" spans="1:16">
      <c r="A332" s="555"/>
      <c r="B332" s="86" t="s">
        <v>377</v>
      </c>
      <c r="C332" s="73" t="s">
        <v>384</v>
      </c>
      <c r="D332" s="54" t="s">
        <v>384</v>
      </c>
      <c r="E332" s="54" t="s">
        <v>384</v>
      </c>
      <c r="F332" s="54" t="s">
        <v>384</v>
      </c>
      <c r="G332" s="54" t="s">
        <v>384</v>
      </c>
      <c r="H332" s="54"/>
      <c r="I332" s="54"/>
      <c r="J332" s="54" t="s">
        <v>384</v>
      </c>
      <c r="K332" s="54" t="s">
        <v>384</v>
      </c>
      <c r="L332" s="54" t="s">
        <v>384</v>
      </c>
      <c r="M332" s="54"/>
      <c r="N332" s="54"/>
      <c r="O332" s="54"/>
      <c r="P332" s="101"/>
    </row>
    <row r="333" spans="1:16" ht="15" customHeight="1">
      <c r="A333" s="467">
        <v>147</v>
      </c>
      <c r="B333" s="489" t="s">
        <v>1816</v>
      </c>
      <c r="C333" s="479">
        <v>420</v>
      </c>
      <c r="D333" s="481"/>
      <c r="E333" s="481">
        <v>420</v>
      </c>
      <c r="F333" s="481">
        <v>420</v>
      </c>
      <c r="G333" s="481">
        <v>420</v>
      </c>
      <c r="H333" s="481">
        <v>420</v>
      </c>
      <c r="I333" s="481">
        <v>420</v>
      </c>
      <c r="J333" s="481">
        <v>420</v>
      </c>
      <c r="K333" s="481">
        <v>420</v>
      </c>
      <c r="L333" s="481"/>
      <c r="M333" s="482"/>
      <c r="N333" s="482"/>
      <c r="O333" s="491"/>
      <c r="P333" s="476">
        <f>SUM(C333:O334)</f>
        <v>3360</v>
      </c>
    </row>
    <row r="334" spans="1:16">
      <c r="A334" s="468"/>
      <c r="B334" s="490"/>
      <c r="C334" s="480"/>
      <c r="D334" s="482"/>
      <c r="E334" s="482"/>
      <c r="F334" s="482"/>
      <c r="G334" s="482"/>
      <c r="H334" s="482"/>
      <c r="I334" s="482"/>
      <c r="J334" s="482"/>
      <c r="K334" s="482"/>
      <c r="L334" s="482"/>
      <c r="M334" s="482"/>
      <c r="N334" s="482"/>
      <c r="O334" s="492"/>
      <c r="P334" s="445"/>
    </row>
    <row r="335" spans="1:16">
      <c r="A335" s="468"/>
      <c r="B335" s="78" t="s">
        <v>363</v>
      </c>
      <c r="C335" s="97">
        <v>45698</v>
      </c>
      <c r="D335" s="65"/>
      <c r="E335" s="65">
        <v>45761</v>
      </c>
      <c r="F335" s="65">
        <v>45786</v>
      </c>
      <c r="G335" s="65">
        <v>45839</v>
      </c>
      <c r="H335" s="65">
        <v>45866</v>
      </c>
      <c r="I335" s="65">
        <v>45901</v>
      </c>
      <c r="J335" s="65">
        <v>45931</v>
      </c>
      <c r="K335" s="65">
        <v>45964</v>
      </c>
      <c r="L335" s="65"/>
      <c r="M335" s="65"/>
      <c r="N335" s="65"/>
      <c r="O335" s="65"/>
      <c r="P335" s="101"/>
    </row>
    <row r="336" spans="1:16">
      <c r="A336" s="478"/>
      <c r="B336" s="78" t="s">
        <v>377</v>
      </c>
      <c r="C336" s="73" t="s">
        <v>384</v>
      </c>
      <c r="D336" s="54"/>
      <c r="E336" s="54" t="s">
        <v>384</v>
      </c>
      <c r="F336" s="54" t="s">
        <v>384</v>
      </c>
      <c r="G336" s="54" t="s">
        <v>384</v>
      </c>
      <c r="H336" s="54" t="s">
        <v>384</v>
      </c>
      <c r="I336" s="54" t="s">
        <v>384</v>
      </c>
      <c r="J336" s="54" t="s">
        <v>384</v>
      </c>
      <c r="K336" s="54" t="s">
        <v>384</v>
      </c>
      <c r="L336" s="54"/>
      <c r="M336" s="54"/>
      <c r="N336" s="54"/>
      <c r="O336" s="54"/>
      <c r="P336" s="101"/>
    </row>
    <row r="337" spans="1:16" ht="15" customHeight="1">
      <c r="A337" s="470">
        <v>151</v>
      </c>
      <c r="B337" s="497" t="s">
        <v>1252</v>
      </c>
      <c r="C337" s="479">
        <v>350</v>
      </c>
      <c r="D337" s="479"/>
      <c r="E337" s="479">
        <v>350</v>
      </c>
      <c r="F337" s="479">
        <v>350</v>
      </c>
      <c r="G337" s="479">
        <v>350</v>
      </c>
      <c r="H337" s="479">
        <v>350</v>
      </c>
      <c r="I337" s="479">
        <v>350</v>
      </c>
      <c r="J337" s="479">
        <v>350</v>
      </c>
      <c r="K337" s="479">
        <v>350</v>
      </c>
      <c r="L337" s="479">
        <v>350</v>
      </c>
      <c r="M337" s="479"/>
      <c r="N337" s="479"/>
      <c r="O337" s="479"/>
      <c r="P337" s="493">
        <f>SUM(C337:O338)</f>
        <v>3150</v>
      </c>
    </row>
    <row r="338" spans="1:16">
      <c r="A338" s="496"/>
      <c r="B338" s="498"/>
      <c r="C338" s="480"/>
      <c r="D338" s="480"/>
      <c r="E338" s="480"/>
      <c r="F338" s="480"/>
      <c r="G338" s="480"/>
      <c r="H338" s="480"/>
      <c r="I338" s="480"/>
      <c r="J338" s="480"/>
      <c r="K338" s="480"/>
      <c r="L338" s="480"/>
      <c r="M338" s="480"/>
      <c r="N338" s="480"/>
      <c r="O338" s="480"/>
      <c r="P338" s="494"/>
    </row>
    <row r="339" spans="1:16">
      <c r="A339" s="496"/>
      <c r="B339" s="83" t="s">
        <v>363</v>
      </c>
      <c r="C339" s="65">
        <v>45698</v>
      </c>
      <c r="D339" s="65"/>
      <c r="E339" s="65">
        <v>45751</v>
      </c>
      <c r="F339" s="65">
        <v>45786</v>
      </c>
      <c r="G339" s="65">
        <v>45813</v>
      </c>
      <c r="H339" s="65">
        <v>45847</v>
      </c>
      <c r="I339" s="65">
        <v>45873</v>
      </c>
      <c r="J339" s="65">
        <v>45909</v>
      </c>
      <c r="K339" s="65">
        <v>45938</v>
      </c>
      <c r="L339" s="65">
        <v>45967</v>
      </c>
      <c r="M339" s="65"/>
      <c r="N339" s="65"/>
      <c r="O339" s="54"/>
      <c r="P339" s="101"/>
    </row>
    <row r="340" spans="1:16">
      <c r="A340" s="471"/>
      <c r="B340" s="82" t="s">
        <v>377</v>
      </c>
      <c r="C340" s="54" t="s">
        <v>384</v>
      </c>
      <c r="D340" s="54"/>
      <c r="E340" s="54" t="s">
        <v>384</v>
      </c>
      <c r="F340" s="54" t="s">
        <v>384</v>
      </c>
      <c r="G340" s="54" t="s">
        <v>384</v>
      </c>
      <c r="H340" s="54" t="s">
        <v>384</v>
      </c>
      <c r="I340" s="54" t="s">
        <v>384</v>
      </c>
      <c r="J340" s="54" t="s">
        <v>384</v>
      </c>
      <c r="K340" s="54" t="s">
        <v>384</v>
      </c>
      <c r="L340" s="54" t="s">
        <v>384</v>
      </c>
      <c r="M340" s="54"/>
      <c r="N340" s="54"/>
      <c r="O340" s="54"/>
      <c r="P340" s="101"/>
    </row>
    <row r="341" spans="1:16" ht="15" customHeight="1">
      <c r="A341" s="470">
        <v>152</v>
      </c>
      <c r="B341" s="497" t="s">
        <v>1817</v>
      </c>
      <c r="C341" s="487">
        <v>400</v>
      </c>
      <c r="D341" s="487">
        <v>400</v>
      </c>
      <c r="E341" s="487">
        <v>400</v>
      </c>
      <c r="F341" s="487">
        <v>400</v>
      </c>
      <c r="G341" s="487">
        <v>400</v>
      </c>
      <c r="H341" s="487">
        <v>400</v>
      </c>
      <c r="I341" s="487" t="s">
        <v>1836</v>
      </c>
      <c r="J341" s="487">
        <v>400</v>
      </c>
      <c r="K341" s="487">
        <v>400</v>
      </c>
      <c r="L341" s="487">
        <v>400</v>
      </c>
      <c r="M341" s="487"/>
      <c r="N341" s="487"/>
      <c r="O341" s="487"/>
      <c r="P341" s="493">
        <f>SUM(C341:O342)</f>
        <v>3600</v>
      </c>
    </row>
    <row r="342" spans="1:16">
      <c r="A342" s="496"/>
      <c r="B342" s="498"/>
      <c r="C342" s="488"/>
      <c r="D342" s="488"/>
      <c r="E342" s="488"/>
      <c r="F342" s="488"/>
      <c r="G342" s="488"/>
      <c r="H342" s="488"/>
      <c r="I342" s="488"/>
      <c r="J342" s="488"/>
      <c r="K342" s="488"/>
      <c r="L342" s="488"/>
      <c r="M342" s="488"/>
      <c r="N342" s="488"/>
      <c r="O342" s="488"/>
      <c r="P342" s="494"/>
    </row>
    <row r="343" spans="1:16">
      <c r="A343" s="496"/>
      <c r="B343" s="83" t="s">
        <v>363</v>
      </c>
      <c r="C343" s="65">
        <v>45677</v>
      </c>
      <c r="D343" s="65">
        <v>45723</v>
      </c>
      <c r="E343" s="65">
        <v>45723</v>
      </c>
      <c r="F343" s="65">
        <v>45761</v>
      </c>
      <c r="G343" s="65">
        <v>45789</v>
      </c>
      <c r="H343" s="65">
        <v>45824</v>
      </c>
      <c r="I343" s="65">
        <v>45852</v>
      </c>
      <c r="J343" s="65">
        <v>45917</v>
      </c>
      <c r="K343" s="65">
        <v>45940</v>
      </c>
      <c r="L343" s="65">
        <v>45978</v>
      </c>
      <c r="M343" s="54"/>
      <c r="N343" s="54"/>
      <c r="O343" s="54"/>
      <c r="P343" s="101"/>
    </row>
    <row r="344" spans="1:16">
      <c r="A344" s="471"/>
      <c r="B344" s="82" t="s">
        <v>377</v>
      </c>
      <c r="C344" s="54" t="s">
        <v>384</v>
      </c>
      <c r="D344" s="54" t="s">
        <v>384</v>
      </c>
      <c r="E344" s="54" t="s">
        <v>384</v>
      </c>
      <c r="F344" s="54" t="s">
        <v>384</v>
      </c>
      <c r="G344" s="54" t="s">
        <v>384</v>
      </c>
      <c r="H344" s="54" t="s">
        <v>384</v>
      </c>
      <c r="I344" s="54" t="s">
        <v>384</v>
      </c>
      <c r="J344" s="54" t="s">
        <v>386</v>
      </c>
      <c r="K344" s="54" t="s">
        <v>384</v>
      </c>
      <c r="L344" s="54" t="s">
        <v>384</v>
      </c>
      <c r="M344" s="54"/>
      <c r="N344" s="54"/>
      <c r="O344" s="54"/>
      <c r="P344" s="101"/>
    </row>
    <row r="345" spans="1:16" ht="15" customHeight="1">
      <c r="A345" s="470">
        <v>153</v>
      </c>
      <c r="B345" s="497" t="s">
        <v>232</v>
      </c>
      <c r="C345" s="487"/>
      <c r="D345" s="487"/>
      <c r="E345" s="487"/>
      <c r="F345" s="487"/>
      <c r="G345" s="487"/>
      <c r="H345" s="487"/>
      <c r="I345" s="487"/>
      <c r="J345" s="487"/>
      <c r="K345" s="487"/>
      <c r="L345" s="487"/>
      <c r="M345" s="487"/>
      <c r="N345" s="487"/>
      <c r="O345" s="487"/>
      <c r="P345" s="493">
        <f>SUM(C345:O346)</f>
        <v>0</v>
      </c>
    </row>
    <row r="346" spans="1:16">
      <c r="A346" s="496"/>
      <c r="B346" s="498"/>
      <c r="C346" s="488"/>
      <c r="D346" s="488"/>
      <c r="E346" s="488"/>
      <c r="F346" s="488"/>
      <c r="G346" s="488"/>
      <c r="H346" s="488"/>
      <c r="I346" s="488"/>
      <c r="J346" s="488"/>
      <c r="K346" s="488"/>
      <c r="L346" s="488"/>
      <c r="M346" s="488"/>
      <c r="N346" s="488"/>
      <c r="O346" s="488"/>
      <c r="P346" s="494"/>
    </row>
    <row r="347" spans="1:16">
      <c r="A347" s="496"/>
      <c r="B347" s="83" t="s">
        <v>363</v>
      </c>
      <c r="C347" s="54"/>
      <c r="D347" s="54"/>
      <c r="E347" s="54"/>
      <c r="F347" s="65"/>
      <c r="G347" s="54"/>
      <c r="H347" s="54"/>
      <c r="I347" s="65"/>
      <c r="J347" s="54"/>
      <c r="K347" s="54"/>
      <c r="L347" s="54"/>
      <c r="M347" s="54"/>
      <c r="N347" s="54"/>
      <c r="O347" s="54"/>
      <c r="P347" s="101"/>
    </row>
    <row r="348" spans="1:16">
      <c r="A348" s="471"/>
      <c r="B348" s="82" t="s">
        <v>377</v>
      </c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101"/>
    </row>
    <row r="349" spans="1:16" ht="15" customHeight="1">
      <c r="A349" s="467">
        <v>155</v>
      </c>
      <c r="B349" s="489" t="s">
        <v>2231</v>
      </c>
      <c r="C349" s="479">
        <v>220</v>
      </c>
      <c r="D349" s="481">
        <v>220</v>
      </c>
      <c r="E349" s="481">
        <v>220</v>
      </c>
      <c r="F349" s="481">
        <v>220</v>
      </c>
      <c r="G349" s="481">
        <v>220</v>
      </c>
      <c r="H349" s="481">
        <v>220</v>
      </c>
      <c r="I349" s="481">
        <v>220</v>
      </c>
      <c r="J349" s="481">
        <v>220</v>
      </c>
      <c r="K349" s="481">
        <v>220</v>
      </c>
      <c r="L349" s="481">
        <v>220</v>
      </c>
      <c r="M349" s="481">
        <v>220</v>
      </c>
      <c r="N349" s="481">
        <v>220</v>
      </c>
      <c r="O349" s="491"/>
      <c r="P349" s="476">
        <f>SUM(C349:O350)</f>
        <v>2640</v>
      </c>
    </row>
    <row r="350" spans="1:16">
      <c r="A350" s="468"/>
      <c r="B350" s="490"/>
      <c r="C350" s="480"/>
      <c r="D350" s="482"/>
      <c r="E350" s="482"/>
      <c r="F350" s="482"/>
      <c r="G350" s="482"/>
      <c r="H350" s="482"/>
      <c r="I350" s="482"/>
      <c r="J350" s="482"/>
      <c r="K350" s="482"/>
      <c r="L350" s="482"/>
      <c r="M350" s="482"/>
      <c r="N350" s="482"/>
      <c r="O350" s="492"/>
      <c r="P350" s="445"/>
    </row>
    <row r="351" spans="1:16">
      <c r="A351" s="468"/>
      <c r="B351" s="81" t="s">
        <v>363</v>
      </c>
      <c r="C351" s="97">
        <v>45706</v>
      </c>
      <c r="D351" s="65">
        <v>45723</v>
      </c>
      <c r="E351" s="65">
        <v>45749</v>
      </c>
      <c r="F351" s="65">
        <v>45789</v>
      </c>
      <c r="G351" s="65">
        <v>45814</v>
      </c>
      <c r="H351" s="65">
        <v>45847</v>
      </c>
      <c r="I351" s="65">
        <v>45891</v>
      </c>
      <c r="J351" s="65">
        <v>45905</v>
      </c>
      <c r="K351" s="65">
        <v>45938</v>
      </c>
      <c r="L351" s="65">
        <v>45974</v>
      </c>
      <c r="M351" s="65">
        <v>46000</v>
      </c>
      <c r="N351" s="65">
        <v>46000</v>
      </c>
      <c r="O351" s="64"/>
      <c r="P351" s="101"/>
    </row>
    <row r="352" spans="1:16">
      <c r="A352" s="501"/>
      <c r="B352" s="76" t="s">
        <v>377</v>
      </c>
      <c r="C352" s="73" t="s">
        <v>384</v>
      </c>
      <c r="D352" s="54" t="s">
        <v>384</v>
      </c>
      <c r="E352" s="54" t="s">
        <v>386</v>
      </c>
      <c r="F352" s="54" t="s">
        <v>384</v>
      </c>
      <c r="G352" s="54" t="s">
        <v>384</v>
      </c>
      <c r="H352" s="54" t="s">
        <v>384</v>
      </c>
      <c r="I352" s="54" t="s">
        <v>384</v>
      </c>
      <c r="J352" s="54" t="s">
        <v>384</v>
      </c>
      <c r="K352" s="54" t="s">
        <v>384</v>
      </c>
      <c r="L352" s="54" t="s">
        <v>384</v>
      </c>
      <c r="M352" s="54" t="s">
        <v>384</v>
      </c>
      <c r="N352" s="54" t="s">
        <v>384</v>
      </c>
      <c r="O352" s="54"/>
      <c r="P352" s="101"/>
    </row>
    <row r="353" spans="1:16" ht="15" customHeight="1">
      <c r="A353" s="467">
        <v>158</v>
      </c>
      <c r="B353" s="489" t="s">
        <v>1212</v>
      </c>
      <c r="C353" s="479">
        <v>160</v>
      </c>
      <c r="D353" s="479">
        <v>160</v>
      </c>
      <c r="E353" s="479">
        <v>160</v>
      </c>
      <c r="F353" s="479">
        <v>160</v>
      </c>
      <c r="G353" s="479">
        <v>160</v>
      </c>
      <c r="H353" s="479">
        <v>160</v>
      </c>
      <c r="I353" s="479">
        <v>160</v>
      </c>
      <c r="J353" s="479">
        <v>160</v>
      </c>
      <c r="K353" s="481">
        <v>160</v>
      </c>
      <c r="L353" s="481">
        <v>160</v>
      </c>
      <c r="M353" s="481"/>
      <c r="N353" s="481"/>
      <c r="O353" s="491"/>
      <c r="P353" s="476">
        <f>SUM(C353:O354)</f>
        <v>1600</v>
      </c>
    </row>
    <row r="354" spans="1:16">
      <c r="A354" s="468"/>
      <c r="B354" s="490"/>
      <c r="C354" s="480"/>
      <c r="D354" s="480"/>
      <c r="E354" s="480"/>
      <c r="F354" s="480"/>
      <c r="G354" s="480"/>
      <c r="H354" s="480"/>
      <c r="I354" s="480"/>
      <c r="J354" s="480"/>
      <c r="K354" s="482"/>
      <c r="L354" s="482"/>
      <c r="M354" s="482"/>
      <c r="N354" s="482"/>
      <c r="O354" s="492"/>
      <c r="P354" s="445"/>
    </row>
    <row r="355" spans="1:16">
      <c r="A355" s="468"/>
      <c r="B355" s="81" t="s">
        <v>363</v>
      </c>
      <c r="C355" s="97">
        <v>45691</v>
      </c>
      <c r="D355" s="97">
        <v>45741</v>
      </c>
      <c r="E355" s="97">
        <v>45782</v>
      </c>
      <c r="F355" s="97">
        <v>45813</v>
      </c>
      <c r="G355" s="97">
        <v>45813</v>
      </c>
      <c r="H355" s="97">
        <v>45894</v>
      </c>
      <c r="I355" s="97">
        <v>45894</v>
      </c>
      <c r="J355" s="97">
        <v>45966</v>
      </c>
      <c r="K355" s="65">
        <v>45966</v>
      </c>
      <c r="L355" s="65">
        <v>45995</v>
      </c>
      <c r="M355" s="65"/>
      <c r="N355" s="65"/>
      <c r="O355" s="64"/>
      <c r="P355" s="101"/>
    </row>
    <row r="356" spans="1:16">
      <c r="A356" s="478"/>
      <c r="B356" s="76" t="s">
        <v>377</v>
      </c>
      <c r="C356" s="73" t="s">
        <v>386</v>
      </c>
      <c r="D356" s="73" t="s">
        <v>384</v>
      </c>
      <c r="E356" s="73" t="s">
        <v>386</v>
      </c>
      <c r="F356" s="73" t="s">
        <v>386</v>
      </c>
      <c r="G356" s="73" t="s">
        <v>386</v>
      </c>
      <c r="H356" s="73" t="s">
        <v>386</v>
      </c>
      <c r="I356" s="73" t="s">
        <v>386</v>
      </c>
      <c r="J356" s="73" t="s">
        <v>386</v>
      </c>
      <c r="K356" s="54" t="s">
        <v>386</v>
      </c>
      <c r="L356" s="54" t="s">
        <v>384</v>
      </c>
      <c r="M356" s="54"/>
      <c r="N356" s="54"/>
      <c r="O356" s="54"/>
      <c r="P356" s="101"/>
    </row>
    <row r="357" spans="1:16" ht="27.75" customHeight="1">
      <c r="A357" s="92"/>
      <c r="B357" s="428" t="s">
        <v>2042</v>
      </c>
      <c r="C357" s="426">
        <v>160</v>
      </c>
      <c r="D357" s="426"/>
      <c r="E357" s="426">
        <v>160</v>
      </c>
      <c r="F357" s="426"/>
      <c r="G357" s="426">
        <v>160</v>
      </c>
      <c r="H357" s="426">
        <v>160</v>
      </c>
      <c r="I357" s="426">
        <v>160</v>
      </c>
      <c r="J357" s="426">
        <v>160</v>
      </c>
      <c r="K357" s="425">
        <v>160</v>
      </c>
      <c r="L357" s="425">
        <v>160</v>
      </c>
      <c r="M357" s="54">
        <v>160</v>
      </c>
      <c r="N357" s="54">
        <v>160</v>
      </c>
      <c r="O357" s="118"/>
      <c r="P357" s="101"/>
    </row>
    <row r="358" spans="1:16">
      <c r="A358" s="92">
        <v>159</v>
      </c>
      <c r="B358" s="81" t="s">
        <v>363</v>
      </c>
      <c r="C358" s="97">
        <v>45685</v>
      </c>
      <c r="D358" s="97"/>
      <c r="E358" s="97">
        <v>45737</v>
      </c>
      <c r="F358" s="73"/>
      <c r="G358" s="97">
        <v>45814</v>
      </c>
      <c r="H358" s="97">
        <v>45845</v>
      </c>
      <c r="I358" s="97">
        <v>45876</v>
      </c>
      <c r="J358" s="97">
        <v>45905</v>
      </c>
      <c r="K358" s="65">
        <v>45932</v>
      </c>
      <c r="L358" s="65">
        <v>45968</v>
      </c>
      <c r="M358" s="65">
        <v>45996</v>
      </c>
      <c r="N358" s="65">
        <v>45996</v>
      </c>
      <c r="O358" s="118"/>
      <c r="P358" s="101"/>
    </row>
    <row r="359" spans="1:16" ht="14.25" customHeight="1">
      <c r="A359" s="92"/>
      <c r="B359" s="81" t="s">
        <v>377</v>
      </c>
      <c r="C359" s="73" t="s">
        <v>384</v>
      </c>
      <c r="D359" s="73"/>
      <c r="E359" s="73" t="s">
        <v>384</v>
      </c>
      <c r="F359" s="73"/>
      <c r="G359" s="73" t="s">
        <v>384</v>
      </c>
      <c r="H359" s="73" t="s">
        <v>384</v>
      </c>
      <c r="I359" s="73" t="s">
        <v>384</v>
      </c>
      <c r="J359" s="73" t="s">
        <v>384</v>
      </c>
      <c r="K359" s="54" t="s">
        <v>384</v>
      </c>
      <c r="L359" s="54" t="s">
        <v>384</v>
      </c>
      <c r="M359" s="54" t="s">
        <v>384</v>
      </c>
      <c r="N359" s="54" t="s">
        <v>384</v>
      </c>
      <c r="O359" s="118"/>
      <c r="P359" s="101"/>
    </row>
    <row r="360" spans="1:16" ht="14.25" customHeight="1">
      <c r="A360" s="470">
        <v>160</v>
      </c>
      <c r="B360" s="497" t="s">
        <v>1338</v>
      </c>
      <c r="C360" s="499">
        <v>140</v>
      </c>
      <c r="D360" s="499">
        <v>140</v>
      </c>
      <c r="E360" s="499">
        <v>140</v>
      </c>
      <c r="F360" s="499">
        <v>140</v>
      </c>
      <c r="G360" s="487">
        <v>140</v>
      </c>
      <c r="H360" s="487">
        <v>140</v>
      </c>
      <c r="I360" s="487">
        <v>140</v>
      </c>
      <c r="J360" s="487">
        <v>140</v>
      </c>
      <c r="K360" s="487">
        <v>140</v>
      </c>
      <c r="L360" s="487">
        <v>140</v>
      </c>
      <c r="M360" s="487">
        <v>140</v>
      </c>
      <c r="N360" s="487">
        <v>140</v>
      </c>
      <c r="O360" s="487"/>
      <c r="P360" s="493">
        <f>SUM(C360:O361)</f>
        <v>1680</v>
      </c>
    </row>
    <row r="361" spans="1:16" ht="14.25" customHeight="1">
      <c r="A361" s="496"/>
      <c r="B361" s="498"/>
      <c r="C361" s="499"/>
      <c r="D361" s="499"/>
      <c r="E361" s="499"/>
      <c r="F361" s="499"/>
      <c r="G361" s="488"/>
      <c r="H361" s="488"/>
      <c r="I361" s="488"/>
      <c r="J361" s="488"/>
      <c r="K361" s="488"/>
      <c r="L361" s="488"/>
      <c r="M361" s="488"/>
      <c r="N361" s="488"/>
      <c r="O361" s="488"/>
      <c r="P361" s="494"/>
    </row>
    <row r="362" spans="1:16" ht="15.75" customHeight="1">
      <c r="A362" s="496"/>
      <c r="B362" s="83" t="s">
        <v>363</v>
      </c>
      <c r="C362" s="65">
        <v>45700</v>
      </c>
      <c r="D362" s="65">
        <v>45728</v>
      </c>
      <c r="E362" s="65">
        <v>45756</v>
      </c>
      <c r="F362" s="65">
        <v>45784</v>
      </c>
      <c r="G362" s="65">
        <v>45812</v>
      </c>
      <c r="H362" s="65">
        <v>45847</v>
      </c>
      <c r="I362" s="65">
        <v>45874</v>
      </c>
      <c r="J362" s="65">
        <v>45908</v>
      </c>
      <c r="K362" s="65">
        <v>45938</v>
      </c>
      <c r="L362" s="65">
        <v>45965</v>
      </c>
      <c r="M362" s="65">
        <v>45996</v>
      </c>
      <c r="N362" s="65">
        <v>45996</v>
      </c>
      <c r="O362" s="54"/>
      <c r="P362" s="101"/>
    </row>
    <row r="363" spans="1:16" ht="14.25" customHeight="1">
      <c r="A363" s="471"/>
      <c r="B363" s="82" t="s">
        <v>377</v>
      </c>
      <c r="C363" s="54" t="s">
        <v>386</v>
      </c>
      <c r="D363" s="54" t="s">
        <v>386</v>
      </c>
      <c r="E363" s="54" t="s">
        <v>386</v>
      </c>
      <c r="F363" s="54" t="s">
        <v>386</v>
      </c>
      <c r="G363" s="54" t="s">
        <v>386</v>
      </c>
      <c r="H363" s="54" t="s">
        <v>386</v>
      </c>
      <c r="I363" s="54" t="s">
        <v>386</v>
      </c>
      <c r="J363" s="54" t="s">
        <v>386</v>
      </c>
      <c r="K363" s="54" t="s">
        <v>386</v>
      </c>
      <c r="L363" s="54" t="s">
        <v>386</v>
      </c>
      <c r="M363" s="54" t="s">
        <v>386</v>
      </c>
      <c r="N363" s="54" t="s">
        <v>386</v>
      </c>
      <c r="O363" s="54"/>
      <c r="P363" s="101"/>
    </row>
    <row r="364" spans="1:16" ht="14.25" customHeight="1">
      <c r="A364" s="470">
        <v>161</v>
      </c>
      <c r="B364" s="497" t="s">
        <v>1805</v>
      </c>
      <c r="C364" s="479"/>
      <c r="D364" s="479"/>
      <c r="E364" s="479"/>
      <c r="F364" s="479"/>
      <c r="G364" s="491"/>
      <c r="H364" s="491"/>
      <c r="I364" s="491"/>
      <c r="J364" s="491"/>
      <c r="K364" s="491"/>
      <c r="L364" s="491"/>
      <c r="M364" s="491"/>
      <c r="N364" s="491"/>
      <c r="O364" s="491"/>
      <c r="P364" s="493">
        <f>SUM(C364:O365)</f>
        <v>0</v>
      </c>
    </row>
    <row r="365" spans="1:16" ht="14.25" customHeight="1">
      <c r="A365" s="496"/>
      <c r="B365" s="498"/>
      <c r="C365" s="480"/>
      <c r="D365" s="480"/>
      <c r="E365" s="480"/>
      <c r="F365" s="480"/>
      <c r="G365" s="492"/>
      <c r="H365" s="492"/>
      <c r="I365" s="492"/>
      <c r="J365" s="492"/>
      <c r="K365" s="492"/>
      <c r="L365" s="492"/>
      <c r="M365" s="492"/>
      <c r="N365" s="492"/>
      <c r="O365" s="492"/>
      <c r="P365" s="494"/>
    </row>
    <row r="366" spans="1:16" ht="14.25" customHeight="1">
      <c r="A366" s="496"/>
      <c r="B366" s="83" t="s">
        <v>363</v>
      </c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54"/>
      <c r="P366" s="101"/>
    </row>
    <row r="367" spans="1:16" ht="14.25" customHeight="1">
      <c r="A367" s="471"/>
      <c r="B367" s="82" t="s">
        <v>377</v>
      </c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101"/>
    </row>
    <row r="368" spans="1:16" ht="15" customHeight="1">
      <c r="A368" s="467">
        <v>163</v>
      </c>
      <c r="B368" s="489" t="s">
        <v>1804</v>
      </c>
      <c r="C368" s="479"/>
      <c r="D368" s="481"/>
      <c r="E368" s="481">
        <v>340</v>
      </c>
      <c r="F368" s="481">
        <v>340</v>
      </c>
      <c r="G368" s="481">
        <v>340</v>
      </c>
      <c r="H368" s="481">
        <v>340</v>
      </c>
      <c r="I368" s="481">
        <v>340</v>
      </c>
      <c r="J368" s="481">
        <v>340</v>
      </c>
      <c r="K368" s="481">
        <v>340</v>
      </c>
      <c r="L368" s="481">
        <v>340</v>
      </c>
      <c r="M368" s="481"/>
      <c r="N368" s="481"/>
      <c r="O368" s="491"/>
      <c r="P368" s="476">
        <f>SUM(C368:O369)</f>
        <v>2720</v>
      </c>
    </row>
    <row r="369" spans="1:16" ht="14.25" customHeight="1">
      <c r="A369" s="468"/>
      <c r="B369" s="490"/>
      <c r="C369" s="480"/>
      <c r="D369" s="482"/>
      <c r="E369" s="482"/>
      <c r="F369" s="482"/>
      <c r="G369" s="482"/>
      <c r="H369" s="482"/>
      <c r="I369" s="482"/>
      <c r="J369" s="482"/>
      <c r="K369" s="482"/>
      <c r="L369" s="482"/>
      <c r="M369" s="482"/>
      <c r="N369" s="482"/>
      <c r="O369" s="492"/>
      <c r="P369" s="445"/>
    </row>
    <row r="370" spans="1:16">
      <c r="A370" s="468"/>
      <c r="B370" s="81" t="s">
        <v>363</v>
      </c>
      <c r="C370" s="97"/>
      <c r="D370" s="65"/>
      <c r="E370" s="65">
        <v>45754</v>
      </c>
      <c r="F370" s="65">
        <v>45786</v>
      </c>
      <c r="G370" s="65">
        <v>45811</v>
      </c>
      <c r="H370" s="65">
        <v>45848</v>
      </c>
      <c r="I370" s="65">
        <v>45883</v>
      </c>
      <c r="J370" s="65">
        <v>45904</v>
      </c>
      <c r="K370" s="65">
        <v>45940</v>
      </c>
      <c r="L370" s="65">
        <v>45968</v>
      </c>
      <c r="M370" s="65"/>
      <c r="N370" s="65"/>
      <c r="O370" s="64"/>
      <c r="P370" s="101"/>
    </row>
    <row r="371" spans="1:16" ht="16.5" customHeight="1">
      <c r="A371" s="478"/>
      <c r="B371" s="76" t="s">
        <v>377</v>
      </c>
      <c r="C371" s="73"/>
      <c r="D371" s="54"/>
      <c r="E371" s="54" t="s">
        <v>384</v>
      </c>
      <c r="F371" s="54" t="s">
        <v>384</v>
      </c>
      <c r="G371" s="54" t="s">
        <v>384</v>
      </c>
      <c r="H371" s="54" t="s">
        <v>384</v>
      </c>
      <c r="I371" s="54" t="s">
        <v>384</v>
      </c>
      <c r="J371" s="54" t="s">
        <v>384</v>
      </c>
      <c r="K371" s="54" t="s">
        <v>384</v>
      </c>
      <c r="L371" s="54" t="s">
        <v>384</v>
      </c>
      <c r="M371" s="54"/>
      <c r="N371" s="54"/>
      <c r="O371" s="54"/>
      <c r="P371" s="101"/>
    </row>
    <row r="372" spans="1:16" ht="15" customHeight="1">
      <c r="A372" s="467">
        <v>165</v>
      </c>
      <c r="B372" s="489" t="s">
        <v>2166</v>
      </c>
      <c r="C372" s="479">
        <v>160</v>
      </c>
      <c r="D372" s="481">
        <v>160</v>
      </c>
      <c r="E372" s="481">
        <v>160</v>
      </c>
      <c r="F372" s="481">
        <v>160</v>
      </c>
      <c r="G372" s="481">
        <v>160</v>
      </c>
      <c r="H372" s="481">
        <v>160</v>
      </c>
      <c r="I372" s="481">
        <v>160</v>
      </c>
      <c r="J372" s="481">
        <v>160</v>
      </c>
      <c r="K372" s="481">
        <v>160</v>
      </c>
      <c r="L372" s="481">
        <v>160</v>
      </c>
      <c r="M372" s="481"/>
      <c r="N372" s="481"/>
      <c r="O372" s="491"/>
      <c r="P372" s="476">
        <f>SUM(C372:O373)</f>
        <v>1600</v>
      </c>
    </row>
    <row r="373" spans="1:16" ht="14.25" customHeight="1">
      <c r="A373" s="468"/>
      <c r="B373" s="490"/>
      <c r="C373" s="480"/>
      <c r="D373" s="482"/>
      <c r="E373" s="482"/>
      <c r="F373" s="482"/>
      <c r="G373" s="482"/>
      <c r="H373" s="482"/>
      <c r="I373" s="482"/>
      <c r="J373" s="482"/>
      <c r="K373" s="482"/>
      <c r="L373" s="482"/>
      <c r="M373" s="482"/>
      <c r="N373" s="482"/>
      <c r="O373" s="492"/>
      <c r="P373" s="445"/>
    </row>
    <row r="374" spans="1:16">
      <c r="A374" s="468"/>
      <c r="B374" s="81" t="s">
        <v>363</v>
      </c>
      <c r="C374" s="97">
        <v>45698</v>
      </c>
      <c r="D374" s="65">
        <v>45733</v>
      </c>
      <c r="E374" s="65">
        <v>45776</v>
      </c>
      <c r="F374" s="65">
        <v>45793</v>
      </c>
      <c r="G374" s="65">
        <v>45817</v>
      </c>
      <c r="H374" s="65">
        <v>45884</v>
      </c>
      <c r="I374" s="65">
        <v>45884</v>
      </c>
      <c r="J374" s="65">
        <v>45925</v>
      </c>
      <c r="K374" s="65">
        <v>45943</v>
      </c>
      <c r="L374" s="65">
        <v>45971</v>
      </c>
      <c r="M374" s="65"/>
      <c r="N374" s="65"/>
      <c r="O374" s="64"/>
      <c r="P374" s="101"/>
    </row>
    <row r="375" spans="1:16" ht="16.5" customHeight="1">
      <c r="A375" s="478"/>
      <c r="B375" s="76" t="s">
        <v>377</v>
      </c>
      <c r="C375" s="73" t="s">
        <v>384</v>
      </c>
      <c r="D375" s="54" t="s">
        <v>386</v>
      </c>
      <c r="E375" s="54" t="s">
        <v>386</v>
      </c>
      <c r="F375" s="54" t="s">
        <v>386</v>
      </c>
      <c r="G375" s="54" t="s">
        <v>384</v>
      </c>
      <c r="H375" s="54" t="s">
        <v>384</v>
      </c>
      <c r="I375" s="54" t="s">
        <v>384</v>
      </c>
      <c r="J375" s="54" t="s">
        <v>386</v>
      </c>
      <c r="K375" s="54" t="s">
        <v>386</v>
      </c>
      <c r="L375" s="54" t="s">
        <v>384</v>
      </c>
      <c r="M375" s="54"/>
      <c r="N375" s="54"/>
      <c r="O375" s="54"/>
      <c r="P375" s="101"/>
    </row>
    <row r="376" spans="1:16" ht="16.5" customHeight="1">
      <c r="A376" s="467">
        <v>166</v>
      </c>
      <c r="B376" s="470" t="s">
        <v>1451</v>
      </c>
      <c r="C376" s="479">
        <v>160</v>
      </c>
      <c r="D376" s="479">
        <v>160</v>
      </c>
      <c r="E376" s="479">
        <v>160</v>
      </c>
      <c r="F376" s="479">
        <v>160</v>
      </c>
      <c r="G376" s="479">
        <v>160</v>
      </c>
      <c r="H376" s="481"/>
      <c r="I376" s="481"/>
      <c r="J376" s="481"/>
      <c r="K376" s="481"/>
      <c r="L376" s="481"/>
      <c r="M376" s="481"/>
      <c r="N376" s="481"/>
      <c r="O376" s="481"/>
      <c r="P376" s="476">
        <f>SUM(C376:O377)</f>
        <v>800</v>
      </c>
    </row>
    <row r="377" spans="1:16" ht="16.5" customHeight="1">
      <c r="A377" s="468"/>
      <c r="B377" s="496"/>
      <c r="C377" s="480"/>
      <c r="D377" s="480"/>
      <c r="E377" s="480"/>
      <c r="F377" s="480"/>
      <c r="G377" s="480"/>
      <c r="H377" s="482"/>
      <c r="I377" s="482"/>
      <c r="J377" s="482"/>
      <c r="K377" s="482"/>
      <c r="L377" s="482"/>
      <c r="M377" s="482"/>
      <c r="N377" s="482"/>
      <c r="O377" s="482"/>
      <c r="P377" s="445"/>
    </row>
    <row r="378" spans="1:16" ht="16.5" customHeight="1">
      <c r="A378" s="468"/>
      <c r="B378" s="86" t="s">
        <v>363</v>
      </c>
      <c r="C378" s="97">
        <v>45687</v>
      </c>
      <c r="D378" s="97">
        <v>45714</v>
      </c>
      <c r="E378" s="97">
        <v>45743</v>
      </c>
      <c r="F378" s="97">
        <v>45776</v>
      </c>
      <c r="G378" s="97">
        <v>45804</v>
      </c>
      <c r="H378" s="65"/>
      <c r="I378" s="65"/>
      <c r="J378" s="65"/>
      <c r="K378" s="65"/>
      <c r="L378" s="65"/>
      <c r="M378" s="65"/>
      <c r="N378" s="54"/>
      <c r="O378" s="54"/>
      <c r="P378" s="101"/>
    </row>
    <row r="379" spans="1:16" ht="16.5" customHeight="1">
      <c r="A379" s="478"/>
      <c r="B379" s="76" t="s">
        <v>377</v>
      </c>
      <c r="C379" s="73" t="s">
        <v>384</v>
      </c>
      <c r="D379" s="73" t="s">
        <v>384</v>
      </c>
      <c r="E379" s="73" t="s">
        <v>384</v>
      </c>
      <c r="F379" s="73" t="s">
        <v>384</v>
      </c>
      <c r="G379" s="73" t="s">
        <v>384</v>
      </c>
      <c r="H379" s="54"/>
      <c r="I379" s="54"/>
      <c r="J379" s="54"/>
      <c r="K379" s="54"/>
      <c r="L379" s="54"/>
      <c r="M379" s="54"/>
      <c r="N379" s="54"/>
      <c r="O379" s="54"/>
      <c r="P379" s="101"/>
    </row>
    <row r="380" spans="1:16" ht="16.5" customHeight="1">
      <c r="A380" s="467">
        <v>170</v>
      </c>
      <c r="B380" s="489" t="s">
        <v>1806</v>
      </c>
      <c r="C380" s="480"/>
      <c r="D380" s="482"/>
      <c r="E380" s="482"/>
      <c r="F380" s="482"/>
      <c r="G380" s="482"/>
      <c r="H380" s="482"/>
      <c r="I380" s="482"/>
      <c r="J380" s="482"/>
      <c r="K380" s="482"/>
      <c r="L380" s="482"/>
      <c r="M380" s="482"/>
      <c r="N380" s="482"/>
      <c r="O380" s="491"/>
      <c r="P380" s="476">
        <f>SUM(C380:O381)</f>
        <v>0</v>
      </c>
    </row>
    <row r="381" spans="1:16" ht="16.5" customHeight="1">
      <c r="A381" s="468"/>
      <c r="B381" s="490"/>
      <c r="C381" s="480"/>
      <c r="D381" s="482"/>
      <c r="E381" s="482"/>
      <c r="F381" s="482"/>
      <c r="G381" s="482"/>
      <c r="H381" s="482"/>
      <c r="I381" s="482"/>
      <c r="J381" s="482"/>
      <c r="K381" s="482"/>
      <c r="L381" s="482"/>
      <c r="M381" s="482"/>
      <c r="N381" s="482"/>
      <c r="O381" s="492"/>
      <c r="P381" s="445"/>
    </row>
    <row r="382" spans="1:16" ht="16.5" customHeight="1">
      <c r="A382" s="468"/>
      <c r="B382" s="76" t="s">
        <v>363</v>
      </c>
      <c r="C382" s="73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101"/>
    </row>
    <row r="383" spans="1:16" ht="16.5" customHeight="1">
      <c r="A383" s="478"/>
      <c r="B383" s="79" t="s">
        <v>377</v>
      </c>
      <c r="C383" s="73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101"/>
    </row>
    <row r="384" spans="1:16" ht="15" customHeight="1">
      <c r="A384" s="467">
        <v>171</v>
      </c>
      <c r="B384" s="489" t="s">
        <v>338</v>
      </c>
      <c r="C384" s="480"/>
      <c r="D384" s="482"/>
      <c r="E384" s="482"/>
      <c r="F384" s="482"/>
      <c r="G384" s="482"/>
      <c r="H384" s="482"/>
      <c r="I384" s="482"/>
      <c r="J384" s="482"/>
      <c r="K384" s="482"/>
      <c r="L384" s="482"/>
      <c r="M384" s="482"/>
      <c r="N384" s="482"/>
      <c r="O384" s="491"/>
      <c r="P384" s="476">
        <f>SUM(C384:O385)</f>
        <v>0</v>
      </c>
    </row>
    <row r="385" spans="1:16">
      <c r="A385" s="468"/>
      <c r="B385" s="490"/>
      <c r="C385" s="480"/>
      <c r="D385" s="482"/>
      <c r="E385" s="482"/>
      <c r="F385" s="482"/>
      <c r="G385" s="482"/>
      <c r="H385" s="482"/>
      <c r="I385" s="482"/>
      <c r="J385" s="482"/>
      <c r="K385" s="482"/>
      <c r="L385" s="482"/>
      <c r="M385" s="482"/>
      <c r="N385" s="482"/>
      <c r="O385" s="492"/>
      <c r="P385" s="445"/>
    </row>
    <row r="386" spans="1:16">
      <c r="A386" s="468"/>
      <c r="B386" s="76" t="s">
        <v>363</v>
      </c>
      <c r="C386" s="73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101"/>
    </row>
    <row r="387" spans="1:16">
      <c r="A387" s="478"/>
      <c r="B387" s="79" t="s">
        <v>377</v>
      </c>
      <c r="C387" s="73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101"/>
    </row>
    <row r="388" spans="1:16" ht="15" customHeight="1">
      <c r="A388" s="485">
        <v>172</v>
      </c>
      <c r="B388" s="489" t="s">
        <v>1818</v>
      </c>
      <c r="C388" s="495" t="s">
        <v>1751</v>
      </c>
      <c r="D388" s="481">
        <v>755</v>
      </c>
      <c r="E388" s="473">
        <v>755</v>
      </c>
      <c r="F388" s="473">
        <v>755</v>
      </c>
      <c r="G388" s="473">
        <v>755</v>
      </c>
      <c r="H388" s="473">
        <v>755</v>
      </c>
      <c r="I388" s="473">
        <v>755</v>
      </c>
      <c r="J388" s="473">
        <v>755</v>
      </c>
      <c r="K388" s="473">
        <v>755</v>
      </c>
      <c r="L388" s="481">
        <v>755</v>
      </c>
      <c r="M388" s="481"/>
      <c r="N388" s="482"/>
      <c r="O388" s="491"/>
      <c r="P388" s="476">
        <f>SUM(C388:O389)</f>
        <v>6795</v>
      </c>
    </row>
    <row r="389" spans="1:16">
      <c r="A389" s="468"/>
      <c r="B389" s="490"/>
      <c r="C389" s="480"/>
      <c r="D389" s="482"/>
      <c r="E389" s="473"/>
      <c r="F389" s="473"/>
      <c r="G389" s="473"/>
      <c r="H389" s="473"/>
      <c r="I389" s="473"/>
      <c r="J389" s="473"/>
      <c r="K389" s="473"/>
      <c r="L389" s="482"/>
      <c r="M389" s="482"/>
      <c r="N389" s="482"/>
      <c r="O389" s="492"/>
      <c r="P389" s="445"/>
    </row>
    <row r="390" spans="1:16">
      <c r="A390" s="468"/>
      <c r="B390" s="81" t="s">
        <v>363</v>
      </c>
      <c r="C390" s="97">
        <v>45705</v>
      </c>
      <c r="D390" s="65">
        <v>45733</v>
      </c>
      <c r="E390" s="65">
        <v>45763</v>
      </c>
      <c r="F390" s="65">
        <v>45799</v>
      </c>
      <c r="G390" s="65">
        <v>45825</v>
      </c>
      <c r="H390" s="65">
        <v>45852</v>
      </c>
      <c r="I390" s="65">
        <v>45882</v>
      </c>
      <c r="J390" s="65">
        <v>45917</v>
      </c>
      <c r="K390" s="65">
        <v>45940</v>
      </c>
      <c r="L390" s="65">
        <v>45972</v>
      </c>
      <c r="M390" s="65"/>
      <c r="N390" s="54"/>
      <c r="O390" s="54"/>
      <c r="P390" s="101"/>
    </row>
    <row r="391" spans="1:16">
      <c r="A391" s="478"/>
      <c r="B391" s="76" t="s">
        <v>377</v>
      </c>
      <c r="C391" s="73" t="s">
        <v>384</v>
      </c>
      <c r="D391" s="54" t="s">
        <v>384</v>
      </c>
      <c r="E391" s="54" t="s">
        <v>384</v>
      </c>
      <c r="F391" s="54" t="s">
        <v>384</v>
      </c>
      <c r="G391" s="54" t="s">
        <v>384</v>
      </c>
      <c r="H391" s="54" t="s">
        <v>384</v>
      </c>
      <c r="I391" s="54" t="s">
        <v>384</v>
      </c>
      <c r="J391" s="54" t="s">
        <v>384</v>
      </c>
      <c r="K391" s="54" t="s">
        <v>384</v>
      </c>
      <c r="L391" s="54" t="s">
        <v>384</v>
      </c>
      <c r="M391" s="54"/>
      <c r="N391" s="54"/>
      <c r="O391" s="54"/>
      <c r="P391" s="101"/>
    </row>
    <row r="392" spans="1:16" ht="15" customHeight="1">
      <c r="A392" s="467">
        <v>174</v>
      </c>
      <c r="B392" s="489" t="s">
        <v>340</v>
      </c>
      <c r="C392" s="552">
        <v>280</v>
      </c>
      <c r="D392" s="552">
        <v>280</v>
      </c>
      <c r="E392" s="473">
        <v>280</v>
      </c>
      <c r="F392" s="552">
        <v>280</v>
      </c>
      <c r="G392" s="551">
        <v>280</v>
      </c>
      <c r="H392" s="486">
        <v>280</v>
      </c>
      <c r="I392" s="486">
        <v>280</v>
      </c>
      <c r="J392" s="486"/>
      <c r="K392" s="486"/>
      <c r="L392" s="486"/>
      <c r="M392" s="486"/>
      <c r="N392" s="486"/>
      <c r="O392" s="487"/>
      <c r="P392" s="476">
        <f>SUM(C392:O393)</f>
        <v>1960</v>
      </c>
    </row>
    <row r="393" spans="1:16">
      <c r="A393" s="468"/>
      <c r="B393" s="490"/>
      <c r="C393" s="552"/>
      <c r="D393" s="552"/>
      <c r="E393" s="473"/>
      <c r="F393" s="552"/>
      <c r="G393" s="551"/>
      <c r="H393" s="486"/>
      <c r="I393" s="486"/>
      <c r="J393" s="486"/>
      <c r="K393" s="486"/>
      <c r="L393" s="486"/>
      <c r="M393" s="486"/>
      <c r="N393" s="486"/>
      <c r="O393" s="488"/>
      <c r="P393" s="445"/>
    </row>
    <row r="394" spans="1:16">
      <c r="A394" s="468"/>
      <c r="B394" s="76" t="s">
        <v>363</v>
      </c>
      <c r="C394" s="97">
        <v>45667</v>
      </c>
      <c r="D394" s="65">
        <v>45667</v>
      </c>
      <c r="E394" s="65">
        <v>45735</v>
      </c>
      <c r="F394" s="65">
        <v>45757</v>
      </c>
      <c r="G394" s="65">
        <v>45982</v>
      </c>
      <c r="H394" s="65">
        <v>45982</v>
      </c>
      <c r="I394" s="65">
        <v>45982</v>
      </c>
      <c r="J394" s="65"/>
      <c r="K394" s="65"/>
      <c r="L394" s="65"/>
      <c r="M394" s="65"/>
      <c r="N394" s="65"/>
      <c r="O394" s="54"/>
      <c r="P394" s="101"/>
    </row>
    <row r="395" spans="1:16">
      <c r="A395" s="478"/>
      <c r="B395" s="79" t="s">
        <v>377</v>
      </c>
      <c r="C395" s="73" t="s">
        <v>374</v>
      </c>
      <c r="D395" s="54" t="s">
        <v>374</v>
      </c>
      <c r="E395" s="54" t="s">
        <v>385</v>
      </c>
      <c r="F395" s="54" t="s">
        <v>386</v>
      </c>
      <c r="G395" s="54" t="s">
        <v>386</v>
      </c>
      <c r="H395" s="54" t="s">
        <v>386</v>
      </c>
      <c r="I395" s="54" t="s">
        <v>386</v>
      </c>
      <c r="J395" s="54"/>
      <c r="K395" s="54"/>
      <c r="L395" s="54"/>
      <c r="M395" s="54"/>
      <c r="N395" s="54"/>
      <c r="O395" s="54"/>
      <c r="P395" s="101"/>
    </row>
    <row r="396" spans="1:16" ht="25.5" customHeight="1">
      <c r="A396" s="467">
        <v>175</v>
      </c>
      <c r="B396" s="489" t="s">
        <v>1173</v>
      </c>
      <c r="C396" s="551">
        <v>160</v>
      </c>
      <c r="D396" s="551"/>
      <c r="E396" s="486"/>
      <c r="F396" s="486"/>
      <c r="G396" s="486">
        <v>160</v>
      </c>
      <c r="H396" s="486">
        <v>160</v>
      </c>
      <c r="I396" s="486">
        <v>160</v>
      </c>
      <c r="J396" s="486">
        <v>160</v>
      </c>
      <c r="K396" s="486">
        <v>160</v>
      </c>
      <c r="L396" s="486">
        <v>160</v>
      </c>
      <c r="M396" s="486">
        <v>160</v>
      </c>
      <c r="N396" s="486">
        <v>79.98</v>
      </c>
      <c r="O396" s="487"/>
      <c r="P396" s="476">
        <f>SUM(C396:O397)</f>
        <v>1359.98</v>
      </c>
    </row>
    <row r="397" spans="1:16">
      <c r="A397" s="468"/>
      <c r="B397" s="490"/>
      <c r="C397" s="551"/>
      <c r="D397" s="551"/>
      <c r="E397" s="486"/>
      <c r="F397" s="486"/>
      <c r="G397" s="486"/>
      <c r="H397" s="486"/>
      <c r="I397" s="486"/>
      <c r="J397" s="486"/>
      <c r="K397" s="486"/>
      <c r="L397" s="486"/>
      <c r="M397" s="486"/>
      <c r="N397" s="486"/>
      <c r="O397" s="488"/>
      <c r="P397" s="445"/>
    </row>
    <row r="398" spans="1:16">
      <c r="A398" s="468"/>
      <c r="B398" s="76" t="s">
        <v>363</v>
      </c>
      <c r="C398" s="97">
        <v>45677</v>
      </c>
      <c r="D398" s="65"/>
      <c r="E398" s="65"/>
      <c r="F398" s="54"/>
      <c r="G398" s="65">
        <v>45818</v>
      </c>
      <c r="H398" s="65">
        <v>45847</v>
      </c>
      <c r="I398" s="65">
        <v>45869</v>
      </c>
      <c r="J398" s="65">
        <v>45903</v>
      </c>
      <c r="K398" s="65">
        <v>45933</v>
      </c>
      <c r="L398" s="65">
        <v>45961</v>
      </c>
      <c r="M398" s="65">
        <v>45995</v>
      </c>
      <c r="N398" s="65">
        <v>45995</v>
      </c>
      <c r="O398" s="64"/>
      <c r="P398" s="101"/>
    </row>
    <row r="399" spans="1:16">
      <c r="A399" s="478"/>
      <c r="B399" s="79" t="s">
        <v>377</v>
      </c>
      <c r="C399" s="73" t="s">
        <v>384</v>
      </c>
      <c r="D399" s="54"/>
      <c r="E399" s="54"/>
      <c r="F399" s="54"/>
      <c r="G399" s="54" t="s">
        <v>384</v>
      </c>
      <c r="H399" s="54" t="s">
        <v>384</v>
      </c>
      <c r="I399" s="54" t="s">
        <v>384</v>
      </c>
      <c r="J399" s="54" t="s">
        <v>384</v>
      </c>
      <c r="K399" s="54" t="s">
        <v>384</v>
      </c>
      <c r="L399" s="54" t="s">
        <v>384</v>
      </c>
      <c r="M399" s="54" t="s">
        <v>384</v>
      </c>
      <c r="N399" s="54" t="s">
        <v>384</v>
      </c>
      <c r="O399" s="54"/>
      <c r="P399" s="101"/>
    </row>
    <row r="400" spans="1:16" ht="15" customHeight="1">
      <c r="A400" s="467">
        <v>176</v>
      </c>
      <c r="B400" s="470" t="s">
        <v>237</v>
      </c>
      <c r="C400" s="472">
        <v>250</v>
      </c>
      <c r="D400" s="474">
        <v>250</v>
      </c>
      <c r="E400" s="474">
        <v>250</v>
      </c>
      <c r="F400" s="483">
        <v>250</v>
      </c>
      <c r="G400" s="481">
        <v>250</v>
      </c>
      <c r="H400" s="481">
        <v>250</v>
      </c>
      <c r="I400" s="481">
        <v>250</v>
      </c>
      <c r="J400" s="481">
        <v>250</v>
      </c>
      <c r="K400" s="481">
        <v>250</v>
      </c>
      <c r="L400" s="481">
        <v>250</v>
      </c>
      <c r="M400" s="482"/>
      <c r="N400" s="482"/>
      <c r="O400" s="491"/>
      <c r="P400" s="476">
        <f>SUM(C400:O401)</f>
        <v>2500</v>
      </c>
    </row>
    <row r="401" spans="1:16">
      <c r="A401" s="468"/>
      <c r="B401" s="471"/>
      <c r="C401" s="472"/>
      <c r="D401" s="475"/>
      <c r="E401" s="475"/>
      <c r="F401" s="484"/>
      <c r="G401" s="482"/>
      <c r="H401" s="482"/>
      <c r="I401" s="482"/>
      <c r="J401" s="482"/>
      <c r="K401" s="482"/>
      <c r="L401" s="482"/>
      <c r="M401" s="482"/>
      <c r="N401" s="482"/>
      <c r="O401" s="492"/>
      <c r="P401" s="445"/>
    </row>
    <row r="402" spans="1:16">
      <c r="A402" s="468"/>
      <c r="B402" s="86" t="s">
        <v>363</v>
      </c>
      <c r="C402" s="97">
        <v>45688</v>
      </c>
      <c r="D402" s="65">
        <v>45721</v>
      </c>
      <c r="E402" s="65">
        <v>45748</v>
      </c>
      <c r="F402" s="65">
        <v>45782</v>
      </c>
      <c r="G402" s="65">
        <v>45810</v>
      </c>
      <c r="H402" s="65">
        <v>45841</v>
      </c>
      <c r="I402" s="65">
        <v>45866</v>
      </c>
      <c r="J402" s="65">
        <v>45901</v>
      </c>
      <c r="K402" s="65">
        <v>45931</v>
      </c>
      <c r="L402" s="65">
        <v>45964</v>
      </c>
      <c r="M402" s="65"/>
      <c r="N402" s="65"/>
      <c r="O402" s="54"/>
      <c r="P402" s="101"/>
    </row>
    <row r="403" spans="1:16">
      <c r="A403" s="501"/>
      <c r="B403" s="76" t="s">
        <v>377</v>
      </c>
      <c r="C403" s="73" t="s">
        <v>384</v>
      </c>
      <c r="D403" s="54" t="s">
        <v>384</v>
      </c>
      <c r="E403" s="54" t="s">
        <v>384</v>
      </c>
      <c r="F403" s="54" t="s">
        <v>384</v>
      </c>
      <c r="G403" s="54" t="s">
        <v>384</v>
      </c>
      <c r="H403" s="54" t="s">
        <v>384</v>
      </c>
      <c r="I403" s="54" t="s">
        <v>384</v>
      </c>
      <c r="J403" s="54" t="s">
        <v>384</v>
      </c>
      <c r="K403" s="54" t="s">
        <v>384</v>
      </c>
      <c r="L403" s="54" t="s">
        <v>384</v>
      </c>
      <c r="M403" s="54"/>
      <c r="N403" s="54"/>
      <c r="O403" s="54"/>
      <c r="P403" s="101"/>
    </row>
    <row r="404" spans="1:16">
      <c r="A404" s="467">
        <v>198</v>
      </c>
      <c r="B404" s="489" t="s">
        <v>1819</v>
      </c>
      <c r="C404" s="551">
        <v>340</v>
      </c>
      <c r="D404" s="551">
        <v>340</v>
      </c>
      <c r="E404" s="486">
        <v>340</v>
      </c>
      <c r="F404" s="486">
        <v>340</v>
      </c>
      <c r="G404" s="486">
        <v>340</v>
      </c>
      <c r="H404" s="486">
        <v>340</v>
      </c>
      <c r="I404" s="486">
        <v>340</v>
      </c>
      <c r="J404" s="486">
        <v>340</v>
      </c>
      <c r="K404" s="486">
        <v>340</v>
      </c>
      <c r="L404" s="486">
        <v>340</v>
      </c>
      <c r="M404" s="486"/>
      <c r="N404" s="486"/>
      <c r="O404" s="487"/>
      <c r="P404" s="476">
        <f>SUM(C404:O405)</f>
        <v>3400</v>
      </c>
    </row>
    <row r="405" spans="1:16">
      <c r="A405" s="468"/>
      <c r="B405" s="490"/>
      <c r="C405" s="551"/>
      <c r="D405" s="551"/>
      <c r="E405" s="486"/>
      <c r="F405" s="486"/>
      <c r="G405" s="486"/>
      <c r="H405" s="486"/>
      <c r="I405" s="486"/>
      <c r="J405" s="486"/>
      <c r="K405" s="486"/>
      <c r="L405" s="486"/>
      <c r="M405" s="486"/>
      <c r="N405" s="486"/>
      <c r="O405" s="488"/>
      <c r="P405" s="445"/>
    </row>
    <row r="406" spans="1:16">
      <c r="A406" s="468"/>
      <c r="B406" s="76" t="s">
        <v>363</v>
      </c>
      <c r="C406" s="97">
        <v>45735</v>
      </c>
      <c r="D406" s="65">
        <v>45735</v>
      </c>
      <c r="E406" s="65">
        <v>45799</v>
      </c>
      <c r="F406" s="65">
        <v>45799</v>
      </c>
      <c r="G406" s="65">
        <v>45799</v>
      </c>
      <c r="H406" s="65">
        <v>45799</v>
      </c>
      <c r="I406" s="65">
        <v>45889</v>
      </c>
      <c r="J406" s="65">
        <v>45961</v>
      </c>
      <c r="K406" s="65">
        <v>45961</v>
      </c>
      <c r="L406" s="65">
        <v>45989</v>
      </c>
      <c r="M406" s="65"/>
      <c r="N406" s="65"/>
      <c r="O406" s="64"/>
      <c r="P406" s="101"/>
    </row>
    <row r="407" spans="1:16">
      <c r="A407" s="478"/>
      <c r="B407" s="79" t="s">
        <v>377</v>
      </c>
      <c r="C407" s="73" t="s">
        <v>384</v>
      </c>
      <c r="D407" s="54" t="s">
        <v>384</v>
      </c>
      <c r="E407" s="54" t="s">
        <v>384</v>
      </c>
      <c r="F407" s="54" t="s">
        <v>384</v>
      </c>
      <c r="G407" s="54" t="s">
        <v>384</v>
      </c>
      <c r="H407" s="54" t="s">
        <v>384</v>
      </c>
      <c r="I407" s="54" t="s">
        <v>384</v>
      </c>
      <c r="J407" s="54" t="s">
        <v>384</v>
      </c>
      <c r="K407" s="54" t="s">
        <v>384</v>
      </c>
      <c r="L407" s="54" t="s">
        <v>384</v>
      </c>
      <c r="M407" s="54"/>
      <c r="N407" s="54"/>
      <c r="O407" s="54"/>
      <c r="P407" s="101"/>
    </row>
    <row r="408" spans="1:16" s="122" customFormat="1" ht="15" customHeight="1" thickBot="1">
      <c r="A408" s="467">
        <v>200</v>
      </c>
      <c r="B408" s="467" t="s">
        <v>134</v>
      </c>
      <c r="C408" s="472">
        <v>755</v>
      </c>
      <c r="D408" s="472">
        <v>755</v>
      </c>
      <c r="E408" s="472">
        <v>755</v>
      </c>
      <c r="F408" s="472">
        <v>755</v>
      </c>
      <c r="G408" s="473">
        <v>755</v>
      </c>
      <c r="H408" s="473">
        <v>755</v>
      </c>
      <c r="I408" s="473">
        <v>755</v>
      </c>
      <c r="J408" s="473">
        <v>755</v>
      </c>
      <c r="K408" s="473">
        <v>755</v>
      </c>
      <c r="L408" s="486">
        <v>755</v>
      </c>
      <c r="M408" s="486">
        <v>755</v>
      </c>
      <c r="N408" s="486">
        <v>755</v>
      </c>
      <c r="O408" s="487"/>
      <c r="P408" s="477">
        <f>SUM(C408:O409)</f>
        <v>9060</v>
      </c>
    </row>
    <row r="409" spans="1:16" s="119" customFormat="1" ht="15.75" customHeight="1" thickBot="1">
      <c r="A409" s="468"/>
      <c r="B409" s="478"/>
      <c r="C409" s="472"/>
      <c r="D409" s="472"/>
      <c r="E409" s="472"/>
      <c r="F409" s="472"/>
      <c r="G409" s="473"/>
      <c r="H409" s="473"/>
      <c r="I409" s="473"/>
      <c r="J409" s="473"/>
      <c r="K409" s="473"/>
      <c r="L409" s="486"/>
      <c r="M409" s="486"/>
      <c r="N409" s="486"/>
      <c r="O409" s="488"/>
      <c r="P409" s="477"/>
    </row>
    <row r="410" spans="1:16" s="119" customFormat="1" ht="15.75" customHeight="1" thickBot="1">
      <c r="A410" s="468"/>
      <c r="B410" s="86" t="s">
        <v>363</v>
      </c>
      <c r="C410" s="97">
        <v>45730</v>
      </c>
      <c r="D410" s="65">
        <v>45730</v>
      </c>
      <c r="E410" s="65">
        <v>45854</v>
      </c>
      <c r="F410" s="65">
        <v>45854</v>
      </c>
      <c r="G410" s="65">
        <v>45854</v>
      </c>
      <c r="H410" s="65">
        <v>45854</v>
      </c>
      <c r="I410" s="65">
        <v>45881</v>
      </c>
      <c r="J410" s="65">
        <v>45912</v>
      </c>
      <c r="K410" s="65">
        <v>45944</v>
      </c>
      <c r="L410" s="65">
        <v>45975</v>
      </c>
      <c r="M410" s="65">
        <v>46010</v>
      </c>
      <c r="N410" s="65">
        <v>45949</v>
      </c>
      <c r="O410" s="54"/>
      <c r="P410" s="101"/>
    </row>
    <row r="411" spans="1:16" s="125" customFormat="1" ht="20.25" customHeight="1">
      <c r="A411" s="478"/>
      <c r="B411" s="86" t="s">
        <v>377</v>
      </c>
      <c r="C411" s="98" t="s">
        <v>385</v>
      </c>
      <c r="D411" s="98" t="s">
        <v>385</v>
      </c>
      <c r="E411" s="98" t="s">
        <v>385</v>
      </c>
      <c r="F411" s="98" t="s">
        <v>385</v>
      </c>
      <c r="G411" s="118" t="s">
        <v>385</v>
      </c>
      <c r="H411" s="118" t="s">
        <v>385</v>
      </c>
      <c r="I411" s="118" t="s">
        <v>386</v>
      </c>
      <c r="J411" s="118" t="s">
        <v>386</v>
      </c>
      <c r="K411" s="118" t="s">
        <v>386</v>
      </c>
      <c r="L411" s="118" t="s">
        <v>386</v>
      </c>
      <c r="M411" s="118" t="s">
        <v>385</v>
      </c>
      <c r="N411" s="118" t="s">
        <v>385</v>
      </c>
      <c r="O411" s="118"/>
      <c r="P411" s="101"/>
    </row>
    <row r="412" spans="1:16">
      <c r="A412" s="467">
        <v>204</v>
      </c>
      <c r="B412" s="489" t="s">
        <v>1765</v>
      </c>
      <c r="C412" s="479"/>
      <c r="D412" s="481"/>
      <c r="E412" s="481"/>
      <c r="F412" s="482"/>
      <c r="G412" s="482"/>
      <c r="H412" s="482"/>
      <c r="I412" s="482"/>
      <c r="J412" s="482"/>
      <c r="K412" s="482"/>
      <c r="L412" s="482"/>
      <c r="M412" s="482"/>
      <c r="N412" s="482"/>
      <c r="O412" s="491"/>
      <c r="P412" s="476">
        <f>SUM(C412:O413)</f>
        <v>0</v>
      </c>
    </row>
    <row r="413" spans="1:16">
      <c r="A413" s="468"/>
      <c r="B413" s="490"/>
      <c r="C413" s="480"/>
      <c r="D413" s="482"/>
      <c r="E413" s="482"/>
      <c r="F413" s="482"/>
      <c r="G413" s="482"/>
      <c r="H413" s="482"/>
      <c r="I413" s="482"/>
      <c r="J413" s="482"/>
      <c r="K413" s="482"/>
      <c r="L413" s="482"/>
      <c r="M413" s="482"/>
      <c r="N413" s="482"/>
      <c r="O413" s="492"/>
      <c r="P413" s="445"/>
    </row>
    <row r="414" spans="1:16">
      <c r="A414" s="468"/>
      <c r="B414" s="76" t="s">
        <v>363</v>
      </c>
      <c r="C414" s="97"/>
      <c r="D414" s="65"/>
      <c r="E414" s="65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101"/>
    </row>
    <row r="415" spans="1:16">
      <c r="A415" s="478"/>
      <c r="B415" s="79" t="s">
        <v>377</v>
      </c>
      <c r="C415" s="73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101"/>
    </row>
    <row r="416" spans="1:16">
      <c r="A416" s="467">
        <v>205</v>
      </c>
      <c r="B416" s="489" t="s">
        <v>1807</v>
      </c>
      <c r="C416" s="479"/>
      <c r="D416" s="481"/>
      <c r="E416" s="481"/>
      <c r="F416" s="482"/>
      <c r="G416" s="473"/>
      <c r="H416" s="473" t="s">
        <v>1835</v>
      </c>
      <c r="I416" s="473">
        <v>420</v>
      </c>
      <c r="J416" s="486">
        <v>420</v>
      </c>
      <c r="K416" s="486">
        <v>420</v>
      </c>
      <c r="L416" s="486">
        <v>420</v>
      </c>
      <c r="M416" s="486"/>
      <c r="N416" s="486"/>
      <c r="O416" s="487"/>
      <c r="P416" s="476">
        <f>SUM(C416:O417)</f>
        <v>1680</v>
      </c>
    </row>
    <row r="417" spans="1:16">
      <c r="A417" s="468"/>
      <c r="B417" s="490"/>
      <c r="C417" s="480"/>
      <c r="D417" s="482"/>
      <c r="E417" s="482"/>
      <c r="F417" s="482"/>
      <c r="G417" s="473"/>
      <c r="H417" s="473"/>
      <c r="I417" s="473"/>
      <c r="J417" s="486"/>
      <c r="K417" s="486"/>
      <c r="L417" s="486"/>
      <c r="M417" s="486"/>
      <c r="N417" s="486"/>
      <c r="O417" s="488"/>
      <c r="P417" s="445"/>
    </row>
    <row r="418" spans="1:16">
      <c r="A418" s="468"/>
      <c r="B418" s="76" t="s">
        <v>363</v>
      </c>
      <c r="C418" s="97"/>
      <c r="D418" s="65"/>
      <c r="E418" s="65"/>
      <c r="F418" s="54"/>
      <c r="G418" s="54"/>
      <c r="H418" s="65">
        <v>45814</v>
      </c>
      <c r="I418" s="65">
        <v>45873</v>
      </c>
      <c r="J418" s="65">
        <v>45910</v>
      </c>
      <c r="K418" s="65">
        <v>45952</v>
      </c>
      <c r="L418" s="65">
        <v>45982</v>
      </c>
      <c r="M418" s="54"/>
      <c r="N418" s="54"/>
      <c r="O418" s="54"/>
      <c r="P418" s="101"/>
    </row>
    <row r="419" spans="1:16">
      <c r="A419" s="478"/>
      <c r="B419" s="79" t="s">
        <v>377</v>
      </c>
      <c r="C419" s="73"/>
      <c r="D419" s="54"/>
      <c r="E419" s="54"/>
      <c r="F419" s="54"/>
      <c r="G419" s="54"/>
      <c r="H419" s="54" t="s">
        <v>384</v>
      </c>
      <c r="I419" s="54" t="s">
        <v>384</v>
      </c>
      <c r="J419" s="54" t="s">
        <v>384</v>
      </c>
      <c r="K419" s="54" t="s">
        <v>384</v>
      </c>
      <c r="L419" s="54" t="s">
        <v>384</v>
      </c>
      <c r="M419" s="54"/>
      <c r="N419" s="54"/>
      <c r="O419" s="54"/>
      <c r="P419" s="101"/>
    </row>
    <row r="420" spans="1:16" ht="15" customHeight="1">
      <c r="A420" s="485">
        <v>206</v>
      </c>
      <c r="B420" s="470" t="s">
        <v>238</v>
      </c>
      <c r="C420" s="528">
        <v>160</v>
      </c>
      <c r="D420" s="481">
        <v>160</v>
      </c>
      <c r="E420" s="481">
        <v>160</v>
      </c>
      <c r="F420" s="481">
        <v>160</v>
      </c>
      <c r="G420" s="481">
        <v>160</v>
      </c>
      <c r="H420" s="481">
        <v>160</v>
      </c>
      <c r="I420" s="481">
        <v>160</v>
      </c>
      <c r="J420" s="481">
        <v>160</v>
      </c>
      <c r="K420" s="481">
        <v>160</v>
      </c>
      <c r="L420" s="486">
        <v>160</v>
      </c>
      <c r="M420" s="486">
        <v>160</v>
      </c>
      <c r="N420" s="486"/>
      <c r="O420" s="487"/>
      <c r="P420" s="476">
        <f>SUM(C420:O421)</f>
        <v>1760</v>
      </c>
    </row>
    <row r="421" spans="1:16">
      <c r="A421" s="468"/>
      <c r="B421" s="471"/>
      <c r="C421" s="529"/>
      <c r="D421" s="482"/>
      <c r="E421" s="482"/>
      <c r="F421" s="482"/>
      <c r="G421" s="482"/>
      <c r="H421" s="482"/>
      <c r="I421" s="482"/>
      <c r="J421" s="482"/>
      <c r="K421" s="482"/>
      <c r="L421" s="486"/>
      <c r="M421" s="486"/>
      <c r="N421" s="486"/>
      <c r="O421" s="488"/>
      <c r="P421" s="445"/>
    </row>
    <row r="422" spans="1:16">
      <c r="A422" s="468"/>
      <c r="B422" s="86" t="s">
        <v>363</v>
      </c>
      <c r="C422" s="97">
        <v>45709</v>
      </c>
      <c r="D422" s="65">
        <v>45735</v>
      </c>
      <c r="E422" s="65">
        <v>45770</v>
      </c>
      <c r="F422" s="65">
        <v>45803</v>
      </c>
      <c r="G422" s="65">
        <v>45835</v>
      </c>
      <c r="H422" s="65">
        <v>45868</v>
      </c>
      <c r="I422" s="65">
        <v>45897</v>
      </c>
      <c r="J422" s="65">
        <v>45933</v>
      </c>
      <c r="K422" s="65">
        <v>45961</v>
      </c>
      <c r="L422" s="65">
        <v>45988</v>
      </c>
      <c r="M422" s="65">
        <v>46020</v>
      </c>
      <c r="N422" s="54"/>
      <c r="O422" s="64"/>
      <c r="P422" s="101"/>
    </row>
    <row r="423" spans="1:16">
      <c r="A423" s="501"/>
      <c r="B423" s="76" t="s">
        <v>377</v>
      </c>
      <c r="C423" s="73" t="s">
        <v>386</v>
      </c>
      <c r="D423" s="54" t="s">
        <v>386</v>
      </c>
      <c r="E423" s="54" t="s">
        <v>386</v>
      </c>
      <c r="F423" s="54" t="s">
        <v>386</v>
      </c>
      <c r="G423" s="54" t="s">
        <v>386</v>
      </c>
      <c r="H423" s="54" t="s">
        <v>386</v>
      </c>
      <c r="I423" s="54" t="s">
        <v>386</v>
      </c>
      <c r="J423" s="54" t="s">
        <v>386</v>
      </c>
      <c r="K423" s="54" t="s">
        <v>386</v>
      </c>
      <c r="L423" s="54" t="s">
        <v>386</v>
      </c>
      <c r="M423" s="54" t="s">
        <v>386</v>
      </c>
      <c r="N423" s="54"/>
      <c r="O423" s="54"/>
      <c r="P423" s="101"/>
    </row>
    <row r="424" spans="1:16" ht="15" customHeight="1">
      <c r="A424" s="467">
        <v>207</v>
      </c>
      <c r="B424" s="556" t="s">
        <v>239</v>
      </c>
      <c r="C424" s="472">
        <v>570</v>
      </c>
      <c r="D424" s="473">
        <v>570</v>
      </c>
      <c r="E424" s="473">
        <v>570</v>
      </c>
      <c r="F424" s="473">
        <v>570</v>
      </c>
      <c r="G424" s="473">
        <v>570</v>
      </c>
      <c r="H424" s="473">
        <v>570</v>
      </c>
      <c r="I424" s="473">
        <v>570</v>
      </c>
      <c r="J424" s="473">
        <v>570</v>
      </c>
      <c r="K424" s="486">
        <v>570</v>
      </c>
      <c r="L424" s="486">
        <v>570</v>
      </c>
      <c r="M424" s="486">
        <v>570</v>
      </c>
      <c r="N424" s="486">
        <v>570</v>
      </c>
      <c r="O424" s="487"/>
      <c r="P424" s="549">
        <f>SUM(C424:O425)</f>
        <v>6840</v>
      </c>
    </row>
    <row r="425" spans="1:16">
      <c r="A425" s="468"/>
      <c r="B425" s="557"/>
      <c r="C425" s="472"/>
      <c r="D425" s="473"/>
      <c r="E425" s="473"/>
      <c r="F425" s="473"/>
      <c r="G425" s="473"/>
      <c r="H425" s="473"/>
      <c r="I425" s="473"/>
      <c r="J425" s="473"/>
      <c r="K425" s="486"/>
      <c r="L425" s="486"/>
      <c r="M425" s="486"/>
      <c r="N425" s="486"/>
      <c r="O425" s="488"/>
      <c r="P425" s="549"/>
    </row>
    <row r="426" spans="1:16">
      <c r="A426" s="468"/>
      <c r="B426" s="81" t="s">
        <v>363</v>
      </c>
      <c r="C426" s="97">
        <v>45699</v>
      </c>
      <c r="D426" s="65">
        <v>45726</v>
      </c>
      <c r="E426" s="65">
        <v>45758</v>
      </c>
      <c r="F426" s="65">
        <v>45789</v>
      </c>
      <c r="G426" s="65">
        <v>45819</v>
      </c>
      <c r="H426" s="65">
        <v>45848</v>
      </c>
      <c r="I426" s="65">
        <v>45877</v>
      </c>
      <c r="J426" s="65">
        <v>45910</v>
      </c>
      <c r="K426" s="65">
        <v>45940</v>
      </c>
      <c r="L426" s="65">
        <v>45971</v>
      </c>
      <c r="M426" s="65">
        <v>46001</v>
      </c>
      <c r="N426" s="65">
        <v>46001</v>
      </c>
      <c r="O426" s="54"/>
      <c r="P426" s="101"/>
    </row>
    <row r="427" spans="1:16">
      <c r="A427" s="478"/>
      <c r="B427" s="76" t="s">
        <v>377</v>
      </c>
      <c r="C427" s="73" t="s">
        <v>1486</v>
      </c>
      <c r="D427" s="54" t="s">
        <v>1486</v>
      </c>
      <c r="E427" s="54" t="s">
        <v>1486</v>
      </c>
      <c r="F427" s="54" t="s">
        <v>1486</v>
      </c>
      <c r="G427" s="54" t="s">
        <v>1486</v>
      </c>
      <c r="H427" s="54" t="s">
        <v>1486</v>
      </c>
      <c r="I427" s="54" t="s">
        <v>1486</v>
      </c>
      <c r="J427" s="54" t="s">
        <v>1486</v>
      </c>
      <c r="K427" s="54" t="s">
        <v>1486</v>
      </c>
      <c r="L427" s="54" t="s">
        <v>1486</v>
      </c>
      <c r="M427" s="54" t="s">
        <v>1486</v>
      </c>
      <c r="N427" s="54" t="s">
        <v>1486</v>
      </c>
      <c r="O427" s="54"/>
      <c r="P427" s="101"/>
    </row>
    <row r="428" spans="1:16" ht="15" customHeight="1">
      <c r="A428" s="467">
        <v>208</v>
      </c>
      <c r="B428" s="489" t="s">
        <v>342</v>
      </c>
      <c r="C428" s="479">
        <v>420</v>
      </c>
      <c r="D428" s="479">
        <v>420</v>
      </c>
      <c r="E428" s="479">
        <v>420</v>
      </c>
      <c r="F428" s="481">
        <v>420</v>
      </c>
      <c r="G428" s="481">
        <v>420</v>
      </c>
      <c r="H428" s="481">
        <v>420</v>
      </c>
      <c r="I428" s="481">
        <v>420</v>
      </c>
      <c r="J428" s="486">
        <v>420</v>
      </c>
      <c r="K428" s="486">
        <v>420</v>
      </c>
      <c r="L428" s="486">
        <v>420</v>
      </c>
      <c r="M428" s="486"/>
      <c r="N428" s="486"/>
      <c r="O428" s="491"/>
      <c r="P428" s="476">
        <f>SUM(C428:O429)</f>
        <v>4200</v>
      </c>
    </row>
    <row r="429" spans="1:16" ht="15" customHeight="1">
      <c r="A429" s="468"/>
      <c r="B429" s="490"/>
      <c r="C429" s="480"/>
      <c r="D429" s="480"/>
      <c r="E429" s="480"/>
      <c r="F429" s="482"/>
      <c r="G429" s="482"/>
      <c r="H429" s="482"/>
      <c r="I429" s="482"/>
      <c r="J429" s="486"/>
      <c r="K429" s="486"/>
      <c r="L429" s="486"/>
      <c r="M429" s="486"/>
      <c r="N429" s="486"/>
      <c r="O429" s="492"/>
      <c r="P429" s="445"/>
    </row>
    <row r="430" spans="1:16">
      <c r="A430" s="468"/>
      <c r="B430" s="81" t="s">
        <v>363</v>
      </c>
      <c r="C430" s="97">
        <v>45728</v>
      </c>
      <c r="D430" s="65">
        <v>45758</v>
      </c>
      <c r="E430" s="65">
        <v>45790</v>
      </c>
      <c r="F430" s="65">
        <v>45819</v>
      </c>
      <c r="G430" s="65">
        <v>45852</v>
      </c>
      <c r="H430" s="65">
        <v>45884</v>
      </c>
      <c r="I430" s="65">
        <v>45912</v>
      </c>
      <c r="J430" s="65">
        <v>45945</v>
      </c>
      <c r="K430" s="65">
        <v>45980</v>
      </c>
      <c r="L430" s="65">
        <v>46007</v>
      </c>
      <c r="M430" s="64"/>
      <c r="N430" s="64"/>
      <c r="O430" s="64"/>
      <c r="P430" s="101"/>
    </row>
    <row r="431" spans="1:16">
      <c r="A431" s="478"/>
      <c r="B431" s="76" t="s">
        <v>377</v>
      </c>
      <c r="C431" s="73" t="s">
        <v>386</v>
      </c>
      <c r="D431" s="54" t="s">
        <v>386</v>
      </c>
      <c r="E431" s="54" t="s">
        <v>386</v>
      </c>
      <c r="F431" s="54" t="s">
        <v>386</v>
      </c>
      <c r="G431" s="54" t="s">
        <v>386</v>
      </c>
      <c r="H431" s="54" t="s">
        <v>386</v>
      </c>
      <c r="I431" s="54" t="s">
        <v>386</v>
      </c>
      <c r="J431" s="54" t="s">
        <v>386</v>
      </c>
      <c r="K431" s="54" t="s">
        <v>386</v>
      </c>
      <c r="L431" s="54" t="s">
        <v>386</v>
      </c>
      <c r="M431" s="54"/>
      <c r="N431" s="54"/>
      <c r="O431" s="54"/>
      <c r="P431" s="101"/>
    </row>
    <row r="432" spans="1:16">
      <c r="A432" s="467">
        <v>212</v>
      </c>
      <c r="B432" s="489" t="s">
        <v>343</v>
      </c>
      <c r="C432" s="479">
        <v>750</v>
      </c>
      <c r="D432" s="481">
        <v>750</v>
      </c>
      <c r="E432" s="479">
        <v>750</v>
      </c>
      <c r="F432" s="479">
        <v>750</v>
      </c>
      <c r="G432" s="481">
        <v>750</v>
      </c>
      <c r="H432" s="481">
        <v>750</v>
      </c>
      <c r="I432" s="481"/>
      <c r="J432" s="481">
        <v>750</v>
      </c>
      <c r="K432" s="481">
        <v>750</v>
      </c>
      <c r="L432" s="481">
        <v>750</v>
      </c>
      <c r="M432" s="482"/>
      <c r="N432" s="482"/>
      <c r="O432" s="491"/>
      <c r="P432" s="476">
        <f>SUM(C432:O434)</f>
        <v>6750</v>
      </c>
    </row>
    <row r="433" spans="1:16" ht="15" customHeight="1">
      <c r="A433" s="485"/>
      <c r="B433" s="545"/>
      <c r="C433" s="479"/>
      <c r="D433" s="481"/>
      <c r="E433" s="479"/>
      <c r="F433" s="479"/>
      <c r="G433" s="481"/>
      <c r="H433" s="481"/>
      <c r="I433" s="481"/>
      <c r="J433" s="481"/>
      <c r="K433" s="481"/>
      <c r="L433" s="481"/>
      <c r="M433" s="482"/>
      <c r="N433" s="482"/>
      <c r="O433" s="550"/>
      <c r="P433" s="476"/>
    </row>
    <row r="434" spans="1:16">
      <c r="A434" s="468"/>
      <c r="B434" s="490"/>
      <c r="C434" s="480"/>
      <c r="D434" s="482"/>
      <c r="E434" s="480"/>
      <c r="F434" s="480"/>
      <c r="G434" s="482"/>
      <c r="H434" s="482"/>
      <c r="I434" s="482"/>
      <c r="J434" s="482"/>
      <c r="K434" s="482"/>
      <c r="L434" s="482"/>
      <c r="M434" s="482"/>
      <c r="N434" s="482"/>
      <c r="O434" s="492"/>
      <c r="P434" s="445"/>
    </row>
    <row r="435" spans="1:16">
      <c r="A435" s="468"/>
      <c r="B435" s="86" t="s">
        <v>363</v>
      </c>
      <c r="C435" s="97">
        <v>45716</v>
      </c>
      <c r="D435" s="65">
        <v>45751</v>
      </c>
      <c r="E435" s="65">
        <v>45785</v>
      </c>
      <c r="F435" s="65">
        <v>45818</v>
      </c>
      <c r="G435" s="65">
        <v>45839</v>
      </c>
      <c r="H435" s="65">
        <v>45875</v>
      </c>
      <c r="I435" s="65"/>
      <c r="J435" s="65">
        <v>45938</v>
      </c>
      <c r="K435" s="65">
        <v>45961</v>
      </c>
      <c r="L435" s="65">
        <v>45999</v>
      </c>
      <c r="M435" s="64"/>
      <c r="N435" s="64"/>
      <c r="O435" s="64"/>
      <c r="P435" s="101"/>
    </row>
    <row r="436" spans="1:16">
      <c r="A436" s="478"/>
      <c r="B436" s="76" t="s">
        <v>377</v>
      </c>
      <c r="C436" s="73" t="s">
        <v>386</v>
      </c>
      <c r="D436" s="54" t="s">
        <v>386</v>
      </c>
      <c r="E436" s="54" t="s">
        <v>386</v>
      </c>
      <c r="F436" s="54" t="s">
        <v>386</v>
      </c>
      <c r="G436" s="54" t="s">
        <v>386</v>
      </c>
      <c r="H436" s="54" t="s">
        <v>386</v>
      </c>
      <c r="I436" s="54"/>
      <c r="J436" s="54" t="s">
        <v>386</v>
      </c>
      <c r="K436" s="54" t="s">
        <v>386</v>
      </c>
      <c r="L436" s="54" t="s">
        <v>386</v>
      </c>
      <c r="M436" s="54"/>
      <c r="N436" s="54"/>
      <c r="O436" s="54"/>
      <c r="P436" s="101"/>
    </row>
    <row r="437" spans="1:16">
      <c r="A437" s="467">
        <v>213</v>
      </c>
      <c r="B437" s="489" t="s">
        <v>1182</v>
      </c>
      <c r="C437" s="479">
        <v>340</v>
      </c>
      <c r="D437" s="479">
        <v>340</v>
      </c>
      <c r="E437" s="479">
        <v>340</v>
      </c>
      <c r="F437" s="479">
        <v>340</v>
      </c>
      <c r="G437" s="479">
        <v>340</v>
      </c>
      <c r="H437" s="479" t="s">
        <v>2229</v>
      </c>
      <c r="I437" s="479" t="s">
        <v>2230</v>
      </c>
      <c r="J437" s="481" t="s">
        <v>2230</v>
      </c>
      <c r="K437" s="481"/>
      <c r="L437" s="482"/>
      <c r="M437" s="482"/>
      <c r="N437" s="482"/>
      <c r="O437" s="491"/>
      <c r="P437" s="476">
        <f>SUM(C437:O438)</f>
        <v>1700</v>
      </c>
    </row>
    <row r="438" spans="1:16">
      <c r="A438" s="468"/>
      <c r="B438" s="490"/>
      <c r="C438" s="480"/>
      <c r="D438" s="480"/>
      <c r="E438" s="480"/>
      <c r="F438" s="480"/>
      <c r="G438" s="480"/>
      <c r="H438" s="480"/>
      <c r="I438" s="480"/>
      <c r="J438" s="482"/>
      <c r="K438" s="482"/>
      <c r="L438" s="482"/>
      <c r="M438" s="482"/>
      <c r="N438" s="482"/>
      <c r="O438" s="492"/>
      <c r="P438" s="445"/>
    </row>
    <row r="439" spans="1:16">
      <c r="A439" s="468"/>
      <c r="B439" s="81" t="s">
        <v>363</v>
      </c>
      <c r="C439" s="97">
        <v>45712</v>
      </c>
      <c r="D439" s="97">
        <v>45736</v>
      </c>
      <c r="E439" s="97">
        <v>45762</v>
      </c>
      <c r="F439" s="97">
        <v>45803</v>
      </c>
      <c r="G439" s="97">
        <v>45838</v>
      </c>
      <c r="H439" s="97">
        <v>45910</v>
      </c>
      <c r="I439" s="97">
        <v>45910</v>
      </c>
      <c r="J439" s="65">
        <v>45978</v>
      </c>
      <c r="K439" s="65"/>
      <c r="L439" s="54"/>
      <c r="M439" s="54"/>
      <c r="N439" s="54"/>
      <c r="O439" s="54"/>
      <c r="P439" s="101"/>
    </row>
    <row r="440" spans="1:16">
      <c r="A440" s="478"/>
      <c r="B440" s="76" t="s">
        <v>377</v>
      </c>
      <c r="C440" s="97" t="s">
        <v>384</v>
      </c>
      <c r="D440" s="97" t="s">
        <v>384</v>
      </c>
      <c r="E440" s="97" t="s">
        <v>384</v>
      </c>
      <c r="F440" s="97" t="s">
        <v>384</v>
      </c>
      <c r="G440" s="97" t="s">
        <v>384</v>
      </c>
      <c r="H440" s="73" t="s">
        <v>384</v>
      </c>
      <c r="I440" s="73" t="s">
        <v>384</v>
      </c>
      <c r="J440" s="54" t="s">
        <v>384</v>
      </c>
      <c r="K440" s="65"/>
      <c r="L440" s="54"/>
      <c r="M440" s="54"/>
      <c r="N440" s="54"/>
      <c r="O440" s="54"/>
      <c r="P440" s="101"/>
    </row>
    <row r="441" spans="1:16">
      <c r="A441" s="467">
        <v>214</v>
      </c>
      <c r="B441" s="489" t="s">
        <v>1820</v>
      </c>
      <c r="C441" s="479" t="s">
        <v>1824</v>
      </c>
      <c r="D441" s="479">
        <v>325</v>
      </c>
      <c r="E441" s="479">
        <v>325</v>
      </c>
      <c r="F441" s="479">
        <v>325</v>
      </c>
      <c r="G441" s="479">
        <v>325</v>
      </c>
      <c r="H441" s="479">
        <v>325</v>
      </c>
      <c r="I441" s="479">
        <v>325</v>
      </c>
      <c r="J441" s="473">
        <v>325</v>
      </c>
      <c r="K441" s="473">
        <v>325</v>
      </c>
      <c r="L441" s="473">
        <v>325</v>
      </c>
      <c r="M441" s="473">
        <v>325</v>
      </c>
      <c r="N441" s="482"/>
      <c r="O441" s="491"/>
      <c r="P441" s="476">
        <f>SUM(C441:O442)</f>
        <v>3250</v>
      </c>
    </row>
    <row r="442" spans="1:16">
      <c r="A442" s="468"/>
      <c r="B442" s="490"/>
      <c r="C442" s="480"/>
      <c r="D442" s="480"/>
      <c r="E442" s="480"/>
      <c r="F442" s="480"/>
      <c r="G442" s="480"/>
      <c r="H442" s="480"/>
      <c r="I442" s="480"/>
      <c r="J442" s="473"/>
      <c r="K442" s="473"/>
      <c r="L442" s="473"/>
      <c r="M442" s="473"/>
      <c r="N442" s="482"/>
      <c r="O442" s="492"/>
      <c r="P442" s="445"/>
    </row>
    <row r="443" spans="1:16" ht="14.25" customHeight="1">
      <c r="A443" s="468"/>
      <c r="B443" s="81" t="s">
        <v>363</v>
      </c>
      <c r="C443" s="97">
        <v>45677</v>
      </c>
      <c r="D443" s="97">
        <v>45708</v>
      </c>
      <c r="E443" s="97">
        <v>45736</v>
      </c>
      <c r="F443" s="97">
        <v>45767</v>
      </c>
      <c r="G443" s="97">
        <v>45797</v>
      </c>
      <c r="H443" s="97">
        <v>45828</v>
      </c>
      <c r="I443" s="97">
        <v>45859</v>
      </c>
      <c r="J443" s="65">
        <v>45894</v>
      </c>
      <c r="K443" s="65">
        <v>45922</v>
      </c>
      <c r="L443" s="65">
        <v>45950</v>
      </c>
      <c r="M443" s="65">
        <v>45982</v>
      </c>
      <c r="N443" s="54"/>
      <c r="O443" s="54"/>
      <c r="P443" s="101"/>
    </row>
    <row r="444" spans="1:16">
      <c r="A444" s="478"/>
      <c r="B444" s="76" t="s">
        <v>377</v>
      </c>
      <c r="C444" s="73" t="s">
        <v>384</v>
      </c>
      <c r="D444" s="73" t="s">
        <v>384</v>
      </c>
      <c r="E444" s="73" t="s">
        <v>384</v>
      </c>
      <c r="F444" s="73" t="s">
        <v>384</v>
      </c>
      <c r="G444" s="73" t="s">
        <v>384</v>
      </c>
      <c r="H444" s="73" t="s">
        <v>384</v>
      </c>
      <c r="I444" s="73" t="s">
        <v>384</v>
      </c>
      <c r="J444" s="54" t="s">
        <v>384</v>
      </c>
      <c r="K444" s="65" t="s">
        <v>384</v>
      </c>
      <c r="L444" s="54" t="s">
        <v>384</v>
      </c>
      <c r="M444" s="54" t="s">
        <v>384</v>
      </c>
      <c r="N444" s="54"/>
      <c r="O444" s="54"/>
      <c r="P444" s="101"/>
    </row>
    <row r="445" spans="1:16">
      <c r="A445" s="553">
        <v>222</v>
      </c>
      <c r="B445" s="470" t="s">
        <v>1634</v>
      </c>
      <c r="C445" s="479">
        <v>340</v>
      </c>
      <c r="D445" s="481">
        <v>340</v>
      </c>
      <c r="E445" s="481">
        <v>340</v>
      </c>
      <c r="F445" s="481">
        <v>340</v>
      </c>
      <c r="G445" s="473">
        <v>340</v>
      </c>
      <c r="H445" s="486">
        <v>340</v>
      </c>
      <c r="I445" s="486">
        <v>340</v>
      </c>
      <c r="J445" s="486">
        <v>340</v>
      </c>
      <c r="K445" s="486">
        <v>340</v>
      </c>
      <c r="L445" s="486">
        <v>340</v>
      </c>
      <c r="M445" s="486"/>
      <c r="N445" s="486"/>
      <c r="O445" s="487"/>
      <c r="P445" s="476">
        <f>SUM(C445:O446)</f>
        <v>3400</v>
      </c>
    </row>
    <row r="446" spans="1:16">
      <c r="A446" s="554"/>
      <c r="B446" s="471"/>
      <c r="C446" s="480"/>
      <c r="D446" s="482"/>
      <c r="E446" s="482"/>
      <c r="F446" s="482"/>
      <c r="G446" s="473"/>
      <c r="H446" s="486"/>
      <c r="I446" s="486"/>
      <c r="J446" s="486"/>
      <c r="K446" s="486"/>
      <c r="L446" s="486"/>
      <c r="M446" s="486"/>
      <c r="N446" s="486"/>
      <c r="O446" s="488"/>
      <c r="P446" s="445"/>
    </row>
    <row r="447" spans="1:16">
      <c r="A447" s="554"/>
      <c r="B447" s="76" t="s">
        <v>363</v>
      </c>
      <c r="C447" s="97">
        <v>45665</v>
      </c>
      <c r="D447" s="65">
        <v>45694</v>
      </c>
      <c r="E447" s="65">
        <v>45722</v>
      </c>
      <c r="F447" s="65">
        <v>45755</v>
      </c>
      <c r="G447" s="65">
        <v>45784</v>
      </c>
      <c r="H447" s="65">
        <v>45812</v>
      </c>
      <c r="I447" s="65">
        <v>45876</v>
      </c>
      <c r="J447" s="65">
        <v>45903</v>
      </c>
      <c r="K447" s="65">
        <v>45936</v>
      </c>
      <c r="L447" s="65">
        <v>45966</v>
      </c>
      <c r="M447" s="54"/>
      <c r="N447" s="54"/>
      <c r="O447" s="54"/>
      <c r="P447" s="101"/>
    </row>
    <row r="448" spans="1:16">
      <c r="A448" s="591"/>
      <c r="B448" s="76" t="s">
        <v>377</v>
      </c>
      <c r="C448" s="73" t="s">
        <v>384</v>
      </c>
      <c r="D448" s="54" t="s">
        <v>384</v>
      </c>
      <c r="E448" s="54" t="s">
        <v>384</v>
      </c>
      <c r="F448" s="54" t="s">
        <v>384</v>
      </c>
      <c r="G448" s="54" t="s">
        <v>384</v>
      </c>
      <c r="H448" s="54" t="s">
        <v>384</v>
      </c>
      <c r="I448" s="54" t="s">
        <v>384</v>
      </c>
      <c r="J448" s="54" t="s">
        <v>384</v>
      </c>
      <c r="K448" s="54" t="s">
        <v>384</v>
      </c>
      <c r="L448" s="54" t="s">
        <v>384</v>
      </c>
      <c r="M448" s="54"/>
      <c r="N448" s="54"/>
      <c r="O448" s="54"/>
      <c r="P448" s="101"/>
    </row>
    <row r="449" spans="1:16">
      <c r="A449" s="485">
        <v>223</v>
      </c>
      <c r="B449" s="470" t="s">
        <v>98</v>
      </c>
      <c r="C449" s="479">
        <v>340</v>
      </c>
      <c r="D449" s="479">
        <v>340</v>
      </c>
      <c r="E449" s="481">
        <v>340</v>
      </c>
      <c r="F449" s="479"/>
      <c r="G449" s="481">
        <v>340</v>
      </c>
      <c r="H449" s="481">
        <v>340</v>
      </c>
      <c r="I449" s="481">
        <v>340</v>
      </c>
      <c r="J449" s="486">
        <v>340</v>
      </c>
      <c r="K449" s="486">
        <v>340</v>
      </c>
      <c r="L449" s="486">
        <v>340</v>
      </c>
      <c r="M449" s="486"/>
      <c r="N449" s="486"/>
      <c r="O449" s="486"/>
      <c r="P449" s="476">
        <f>SUM(C449:O450)</f>
        <v>3060</v>
      </c>
    </row>
    <row r="450" spans="1:16">
      <c r="A450" s="468"/>
      <c r="B450" s="471"/>
      <c r="C450" s="480"/>
      <c r="D450" s="480"/>
      <c r="E450" s="482"/>
      <c r="F450" s="480"/>
      <c r="G450" s="482"/>
      <c r="H450" s="482"/>
      <c r="I450" s="482"/>
      <c r="J450" s="486"/>
      <c r="K450" s="486"/>
      <c r="L450" s="486"/>
      <c r="M450" s="486"/>
      <c r="N450" s="486"/>
      <c r="O450" s="486"/>
      <c r="P450" s="445"/>
    </row>
    <row r="451" spans="1:16">
      <c r="A451" s="468"/>
      <c r="B451" s="86" t="s">
        <v>363</v>
      </c>
      <c r="C451" s="97">
        <v>45714</v>
      </c>
      <c r="D451" s="65">
        <v>45726</v>
      </c>
      <c r="E451" s="65">
        <v>45772</v>
      </c>
      <c r="F451" s="65"/>
      <c r="G451" s="65">
        <v>45817</v>
      </c>
      <c r="H451" s="65">
        <v>45854</v>
      </c>
      <c r="I451" s="65">
        <v>45883</v>
      </c>
      <c r="J451" s="65">
        <v>45910</v>
      </c>
      <c r="K451" s="65">
        <v>45943</v>
      </c>
      <c r="L451" s="65">
        <v>45971</v>
      </c>
      <c r="M451" s="65"/>
      <c r="N451" s="65"/>
      <c r="O451" s="65"/>
      <c r="P451" s="101"/>
    </row>
    <row r="452" spans="1:16">
      <c r="A452" s="478"/>
      <c r="B452" s="76" t="s">
        <v>377</v>
      </c>
      <c r="C452" s="73" t="s">
        <v>384</v>
      </c>
      <c r="D452" s="54" t="s">
        <v>384</v>
      </c>
      <c r="E452" s="54" t="s">
        <v>384</v>
      </c>
      <c r="F452" s="54"/>
      <c r="G452" s="54" t="s">
        <v>384</v>
      </c>
      <c r="H452" s="54" t="s">
        <v>384</v>
      </c>
      <c r="I452" s="54" t="s">
        <v>384</v>
      </c>
      <c r="J452" s="54" t="s">
        <v>384</v>
      </c>
      <c r="K452" s="54" t="s">
        <v>384</v>
      </c>
      <c r="L452" s="54" t="s">
        <v>384</v>
      </c>
      <c r="M452" s="54"/>
      <c r="N452" s="54"/>
      <c r="O452" s="54"/>
      <c r="P452" s="101"/>
    </row>
    <row r="453" spans="1:16">
      <c r="A453" s="553">
        <v>224</v>
      </c>
      <c r="B453" s="470" t="s">
        <v>1808</v>
      </c>
      <c r="C453" s="499"/>
      <c r="D453" s="486"/>
      <c r="E453" s="486"/>
      <c r="F453" s="486"/>
      <c r="G453" s="486"/>
      <c r="H453" s="486"/>
      <c r="I453" s="486">
        <v>240</v>
      </c>
      <c r="J453" s="486">
        <v>240</v>
      </c>
      <c r="K453" s="486">
        <v>240</v>
      </c>
      <c r="L453" s="486">
        <v>240</v>
      </c>
      <c r="M453" s="486">
        <v>240</v>
      </c>
      <c r="N453" s="486">
        <v>140</v>
      </c>
      <c r="O453" s="487"/>
      <c r="P453" s="476">
        <f>SUM(C453:O454)</f>
        <v>1340</v>
      </c>
    </row>
    <row r="454" spans="1:16">
      <c r="A454" s="554"/>
      <c r="B454" s="471"/>
      <c r="C454" s="499"/>
      <c r="D454" s="486"/>
      <c r="E454" s="486"/>
      <c r="F454" s="486"/>
      <c r="G454" s="486"/>
      <c r="H454" s="486"/>
      <c r="I454" s="486"/>
      <c r="J454" s="486"/>
      <c r="K454" s="486"/>
      <c r="L454" s="486"/>
      <c r="M454" s="486"/>
      <c r="N454" s="486"/>
      <c r="O454" s="488"/>
      <c r="P454" s="445"/>
    </row>
    <row r="455" spans="1:16">
      <c r="A455" s="554"/>
      <c r="B455" s="76" t="s">
        <v>363</v>
      </c>
      <c r="C455" s="97"/>
      <c r="D455" s="65"/>
      <c r="E455" s="65"/>
      <c r="F455" s="65"/>
      <c r="G455" s="65"/>
      <c r="H455" s="65"/>
      <c r="I455" s="65">
        <v>45869</v>
      </c>
      <c r="J455" s="65">
        <v>45912</v>
      </c>
      <c r="K455" s="65">
        <v>45937</v>
      </c>
      <c r="L455" s="65">
        <v>45966</v>
      </c>
      <c r="M455" s="65">
        <v>45996</v>
      </c>
      <c r="N455" s="65">
        <v>45996</v>
      </c>
      <c r="O455" s="54"/>
      <c r="P455" s="101"/>
    </row>
    <row r="456" spans="1:16">
      <c r="A456" s="591"/>
      <c r="B456" s="76" t="s">
        <v>377</v>
      </c>
      <c r="C456" s="73"/>
      <c r="D456" s="54"/>
      <c r="E456" s="54"/>
      <c r="F456" s="54"/>
      <c r="G456" s="54"/>
      <c r="H456" s="54"/>
      <c r="I456" s="54" t="s">
        <v>384</v>
      </c>
      <c r="J456" s="54" t="s">
        <v>384</v>
      </c>
      <c r="K456" s="54" t="s">
        <v>384</v>
      </c>
      <c r="L456" s="54" t="s">
        <v>384</v>
      </c>
      <c r="M456" s="54" t="s">
        <v>384</v>
      </c>
      <c r="N456" s="54" t="s">
        <v>384</v>
      </c>
      <c r="O456" s="54"/>
      <c r="P456" s="101"/>
    </row>
    <row r="457" spans="1:16" ht="15" customHeight="1">
      <c r="A457" s="467">
        <v>232</v>
      </c>
      <c r="B457" s="470" t="s">
        <v>245</v>
      </c>
      <c r="C457" s="479">
        <v>1750</v>
      </c>
      <c r="D457" s="479">
        <v>1750</v>
      </c>
      <c r="E457" s="479">
        <v>1750</v>
      </c>
      <c r="F457" s="479">
        <v>1750</v>
      </c>
      <c r="G457" s="479">
        <v>1750</v>
      </c>
      <c r="H457" s="479">
        <v>1750</v>
      </c>
      <c r="I457" s="479">
        <v>1750</v>
      </c>
      <c r="J457" s="479"/>
      <c r="K457" s="479"/>
      <c r="L457" s="482"/>
      <c r="M457" s="482"/>
      <c r="N457" s="482"/>
      <c r="O457" s="491"/>
      <c r="P457" s="476">
        <f>SUM(C457:O458)</f>
        <v>12250</v>
      </c>
    </row>
    <row r="458" spans="1:16">
      <c r="A458" s="468"/>
      <c r="B458" s="471"/>
      <c r="C458" s="480"/>
      <c r="D458" s="480"/>
      <c r="E458" s="480"/>
      <c r="F458" s="480"/>
      <c r="G458" s="480"/>
      <c r="H458" s="480"/>
      <c r="I458" s="480"/>
      <c r="J458" s="480"/>
      <c r="K458" s="480"/>
      <c r="L458" s="482"/>
      <c r="M458" s="482"/>
      <c r="N458" s="482"/>
      <c r="O458" s="492"/>
      <c r="P458" s="445"/>
    </row>
    <row r="459" spans="1:16">
      <c r="A459" s="468"/>
      <c r="B459" s="90" t="s">
        <v>363</v>
      </c>
      <c r="C459" s="65">
        <v>45685</v>
      </c>
      <c r="D459" s="65">
        <v>45789</v>
      </c>
      <c r="E459" s="65">
        <v>45828</v>
      </c>
      <c r="F459" s="65">
        <v>45888</v>
      </c>
      <c r="G459" s="65">
        <v>45917</v>
      </c>
      <c r="H459" s="65">
        <v>45965</v>
      </c>
      <c r="I459" s="65">
        <v>45979</v>
      </c>
      <c r="J459" s="65"/>
      <c r="K459" s="65"/>
      <c r="L459" s="54"/>
      <c r="M459" s="54"/>
      <c r="N459" s="54"/>
      <c r="O459" s="54"/>
      <c r="P459" s="101"/>
    </row>
    <row r="460" spans="1:16">
      <c r="A460" s="478"/>
      <c r="B460" s="91" t="s">
        <v>377</v>
      </c>
      <c r="C460" s="54" t="s">
        <v>1486</v>
      </c>
      <c r="D460" s="54" t="s">
        <v>1486</v>
      </c>
      <c r="E460" s="54" t="s">
        <v>384</v>
      </c>
      <c r="F460" s="54" t="s">
        <v>1486</v>
      </c>
      <c r="G460" s="54" t="s">
        <v>1486</v>
      </c>
      <c r="H460" s="54" t="s">
        <v>384</v>
      </c>
      <c r="I460" s="54" t="s">
        <v>1486</v>
      </c>
      <c r="J460" s="54"/>
      <c r="K460" s="54"/>
      <c r="L460" s="54"/>
      <c r="M460" s="54"/>
      <c r="N460" s="54"/>
      <c r="O460" s="54"/>
      <c r="P460" s="101"/>
    </row>
    <row r="461" spans="1:16" ht="15" customHeight="1">
      <c r="A461" s="485">
        <v>233</v>
      </c>
      <c r="B461" s="470" t="s">
        <v>346</v>
      </c>
      <c r="C461" s="547">
        <v>1000</v>
      </c>
      <c r="D461" s="547">
        <v>1000</v>
      </c>
      <c r="E461" s="481">
        <v>1000</v>
      </c>
      <c r="F461" s="547">
        <v>1000</v>
      </c>
      <c r="G461" s="500">
        <v>1000</v>
      </c>
      <c r="H461" s="481">
        <v>1000</v>
      </c>
      <c r="I461" s="481">
        <v>1000</v>
      </c>
      <c r="J461" s="481">
        <v>1000</v>
      </c>
      <c r="K461" s="481">
        <v>1000</v>
      </c>
      <c r="L461" s="481">
        <v>1000</v>
      </c>
      <c r="M461" s="481">
        <v>1000</v>
      </c>
      <c r="N461" s="481">
        <v>600</v>
      </c>
      <c r="O461" s="491"/>
      <c r="P461" s="476">
        <f>SUM(C461:O462)</f>
        <v>11600</v>
      </c>
    </row>
    <row r="462" spans="1:16">
      <c r="A462" s="468"/>
      <c r="B462" s="471"/>
      <c r="C462" s="548"/>
      <c r="D462" s="548"/>
      <c r="E462" s="482"/>
      <c r="F462" s="548"/>
      <c r="G462" s="482"/>
      <c r="H462" s="482"/>
      <c r="I462" s="482"/>
      <c r="J462" s="482"/>
      <c r="K462" s="482"/>
      <c r="L462" s="482"/>
      <c r="M462" s="482"/>
      <c r="N462" s="482"/>
      <c r="O462" s="492"/>
      <c r="P462" s="445"/>
    </row>
    <row r="463" spans="1:16">
      <c r="A463" s="468"/>
      <c r="B463" s="86" t="s">
        <v>363</v>
      </c>
      <c r="C463" s="97">
        <v>45695</v>
      </c>
      <c r="D463" s="65">
        <v>45726</v>
      </c>
      <c r="E463" s="65">
        <v>45754</v>
      </c>
      <c r="F463" s="65">
        <v>45785</v>
      </c>
      <c r="G463" s="65">
        <v>45818</v>
      </c>
      <c r="H463" s="65">
        <v>45846</v>
      </c>
      <c r="I463" s="65">
        <v>45877</v>
      </c>
      <c r="J463" s="65">
        <v>45908</v>
      </c>
      <c r="K463" s="65">
        <v>45943</v>
      </c>
      <c r="L463" s="65">
        <v>45973</v>
      </c>
      <c r="M463" s="65">
        <v>46006</v>
      </c>
      <c r="N463" s="65">
        <v>46006</v>
      </c>
      <c r="O463" s="64"/>
      <c r="P463" s="101"/>
    </row>
    <row r="464" spans="1:16">
      <c r="A464" s="478"/>
      <c r="B464" s="86" t="s">
        <v>377</v>
      </c>
      <c r="C464" s="73" t="s">
        <v>386</v>
      </c>
      <c r="D464" s="54" t="s">
        <v>386</v>
      </c>
      <c r="E464" s="54" t="s">
        <v>386</v>
      </c>
      <c r="F464" s="54" t="s">
        <v>386</v>
      </c>
      <c r="G464" s="54" t="s">
        <v>386</v>
      </c>
      <c r="H464" s="54" t="s">
        <v>386</v>
      </c>
      <c r="I464" s="54" t="s">
        <v>386</v>
      </c>
      <c r="J464" s="54" t="s">
        <v>386</v>
      </c>
      <c r="K464" s="54" t="s">
        <v>386</v>
      </c>
      <c r="L464" s="54" t="s">
        <v>386</v>
      </c>
      <c r="M464" s="54" t="s">
        <v>386</v>
      </c>
      <c r="N464" s="54" t="s">
        <v>386</v>
      </c>
      <c r="O464" s="54"/>
      <c r="P464" s="101"/>
    </row>
    <row r="465" spans="1:16">
      <c r="A465" s="485">
        <v>235</v>
      </c>
      <c r="B465" s="470" t="s">
        <v>1698</v>
      </c>
      <c r="C465" s="547">
        <v>400</v>
      </c>
      <c r="D465" s="587">
        <v>400</v>
      </c>
      <c r="E465" s="473">
        <v>400</v>
      </c>
      <c r="F465" s="587">
        <v>400</v>
      </c>
      <c r="G465" s="473">
        <v>400</v>
      </c>
      <c r="H465" s="473">
        <v>400</v>
      </c>
      <c r="I465" s="473">
        <v>400</v>
      </c>
      <c r="J465" s="481">
        <v>400</v>
      </c>
      <c r="K465" s="481"/>
      <c r="L465" s="481">
        <v>400</v>
      </c>
      <c r="M465" s="481">
        <v>400</v>
      </c>
      <c r="N465" s="481">
        <v>300</v>
      </c>
      <c r="O465" s="491"/>
      <c r="P465" s="476">
        <f>SUM(C465:O466)</f>
        <v>4300</v>
      </c>
    </row>
    <row r="466" spans="1:16">
      <c r="A466" s="468"/>
      <c r="B466" s="471"/>
      <c r="C466" s="548"/>
      <c r="D466" s="588"/>
      <c r="E466" s="473"/>
      <c r="F466" s="588"/>
      <c r="G466" s="473"/>
      <c r="H466" s="473"/>
      <c r="I466" s="473"/>
      <c r="J466" s="482"/>
      <c r="K466" s="482"/>
      <c r="L466" s="482"/>
      <c r="M466" s="482"/>
      <c r="N466" s="482"/>
      <c r="O466" s="492"/>
      <c r="P466" s="445"/>
    </row>
    <row r="467" spans="1:16">
      <c r="A467" s="468"/>
      <c r="B467" s="86" t="s">
        <v>363</v>
      </c>
      <c r="C467" s="97">
        <v>45698</v>
      </c>
      <c r="D467" s="65">
        <v>45726</v>
      </c>
      <c r="E467" s="65">
        <v>45757</v>
      </c>
      <c r="F467" s="65">
        <v>45785</v>
      </c>
      <c r="G467" s="65">
        <v>45818</v>
      </c>
      <c r="H467" s="65">
        <v>45848</v>
      </c>
      <c r="I467" s="65">
        <v>45880</v>
      </c>
      <c r="J467" s="65">
        <v>45908</v>
      </c>
      <c r="K467" s="65"/>
      <c r="L467" s="65">
        <v>45971</v>
      </c>
      <c r="M467" s="65">
        <v>46003</v>
      </c>
      <c r="N467" s="65">
        <v>46003</v>
      </c>
      <c r="O467" s="64"/>
      <c r="P467" s="101"/>
    </row>
    <row r="468" spans="1:16">
      <c r="A468" s="478"/>
      <c r="B468" s="86" t="s">
        <v>377</v>
      </c>
      <c r="C468" s="73" t="s">
        <v>386</v>
      </c>
      <c r="D468" s="54" t="s">
        <v>386</v>
      </c>
      <c r="E468" s="54" t="s">
        <v>386</v>
      </c>
      <c r="F468" s="54" t="s">
        <v>386</v>
      </c>
      <c r="G468" s="54" t="s">
        <v>386</v>
      </c>
      <c r="H468" s="54" t="s">
        <v>386</v>
      </c>
      <c r="I468" s="54" t="s">
        <v>386</v>
      </c>
      <c r="J468" s="54" t="s">
        <v>386</v>
      </c>
      <c r="K468" s="54"/>
      <c r="L468" s="54" t="s">
        <v>386</v>
      </c>
      <c r="M468" s="54" t="s">
        <v>386</v>
      </c>
      <c r="N468" s="54" t="s">
        <v>386</v>
      </c>
      <c r="O468" s="54"/>
      <c r="P468" s="101"/>
    </row>
    <row r="469" spans="1:16">
      <c r="A469" s="467">
        <v>237</v>
      </c>
      <c r="B469" s="470" t="s">
        <v>2031</v>
      </c>
      <c r="C469" s="479">
        <v>340</v>
      </c>
      <c r="D469" s="481">
        <v>340</v>
      </c>
      <c r="E469" s="481" t="s">
        <v>2032</v>
      </c>
      <c r="F469" s="481" t="s">
        <v>2033</v>
      </c>
      <c r="G469" s="481"/>
      <c r="H469" s="482"/>
      <c r="I469" s="482"/>
      <c r="J469" s="482"/>
      <c r="K469" s="482">
        <v>340</v>
      </c>
      <c r="L469" s="482">
        <v>340</v>
      </c>
      <c r="M469" s="482"/>
      <c r="N469" s="482"/>
      <c r="O469" s="491"/>
      <c r="P469" s="476">
        <f>SUM(C469:O470)</f>
        <v>1360</v>
      </c>
    </row>
    <row r="470" spans="1:16">
      <c r="A470" s="468"/>
      <c r="B470" s="471"/>
      <c r="C470" s="480"/>
      <c r="D470" s="482"/>
      <c r="E470" s="482"/>
      <c r="F470" s="482"/>
      <c r="G470" s="482"/>
      <c r="H470" s="482"/>
      <c r="I470" s="482"/>
      <c r="J470" s="482"/>
      <c r="K470" s="482"/>
      <c r="L470" s="482"/>
      <c r="M470" s="482"/>
      <c r="N470" s="482"/>
      <c r="O470" s="492"/>
      <c r="P470" s="445"/>
    </row>
    <row r="471" spans="1:16">
      <c r="A471" s="468"/>
      <c r="B471" s="90" t="s">
        <v>363</v>
      </c>
      <c r="C471" s="65">
        <v>45701</v>
      </c>
      <c r="D471" s="65">
        <v>45729</v>
      </c>
      <c r="E471" s="65">
        <v>45760</v>
      </c>
      <c r="F471" s="65">
        <v>45790</v>
      </c>
      <c r="G471" s="65"/>
      <c r="H471" s="54"/>
      <c r="I471" s="54"/>
      <c r="J471" s="54"/>
      <c r="K471" s="65">
        <v>45950</v>
      </c>
      <c r="L471" s="65">
        <v>45985</v>
      </c>
      <c r="M471" s="54"/>
      <c r="N471" s="54"/>
      <c r="O471" s="54"/>
      <c r="P471" s="101"/>
    </row>
    <row r="472" spans="1:16">
      <c r="A472" s="478"/>
      <c r="B472" s="91" t="s">
        <v>377</v>
      </c>
      <c r="C472" s="54" t="s">
        <v>384</v>
      </c>
      <c r="D472" s="54" t="s">
        <v>384</v>
      </c>
      <c r="E472" s="54" t="s">
        <v>384</v>
      </c>
      <c r="F472" s="54" t="s">
        <v>384</v>
      </c>
      <c r="G472" s="54"/>
      <c r="H472" s="54"/>
      <c r="I472" s="54"/>
      <c r="J472" s="54"/>
      <c r="K472" s="54" t="s">
        <v>384</v>
      </c>
      <c r="L472" s="54" t="s">
        <v>384</v>
      </c>
      <c r="M472" s="54"/>
      <c r="N472" s="54"/>
      <c r="O472" s="54"/>
      <c r="P472" s="101"/>
    </row>
    <row r="473" spans="1:16" ht="15" customHeight="1">
      <c r="A473" s="534">
        <v>240</v>
      </c>
      <c r="B473" s="470" t="s">
        <v>281</v>
      </c>
      <c r="C473" s="479">
        <v>580</v>
      </c>
      <c r="D473" s="481">
        <v>580</v>
      </c>
      <c r="E473" s="481">
        <v>580</v>
      </c>
      <c r="F473" s="481">
        <v>580</v>
      </c>
      <c r="G473" s="481">
        <v>580</v>
      </c>
      <c r="H473" s="481">
        <v>580</v>
      </c>
      <c r="I473" s="481">
        <v>580</v>
      </c>
      <c r="J473" s="481">
        <v>580</v>
      </c>
      <c r="K473" s="481">
        <v>580</v>
      </c>
      <c r="L473" s="481">
        <v>580</v>
      </c>
      <c r="M473" s="481"/>
      <c r="N473" s="481"/>
      <c r="O473" s="491"/>
      <c r="P473" s="476">
        <f>SUM(C473:O474)</f>
        <v>5800</v>
      </c>
    </row>
    <row r="474" spans="1:16">
      <c r="A474" s="535"/>
      <c r="B474" s="471"/>
      <c r="C474" s="480"/>
      <c r="D474" s="482"/>
      <c r="E474" s="482"/>
      <c r="F474" s="482"/>
      <c r="G474" s="482"/>
      <c r="H474" s="482"/>
      <c r="I474" s="482"/>
      <c r="J474" s="482"/>
      <c r="K474" s="482"/>
      <c r="L474" s="482"/>
      <c r="M474" s="482"/>
      <c r="N474" s="482"/>
      <c r="O474" s="492"/>
      <c r="P474" s="445"/>
    </row>
    <row r="475" spans="1:16">
      <c r="A475" s="535"/>
      <c r="B475" s="76" t="s">
        <v>363</v>
      </c>
      <c r="C475" s="97">
        <v>45707</v>
      </c>
      <c r="D475" s="65">
        <v>45735</v>
      </c>
      <c r="E475" s="65">
        <v>45756</v>
      </c>
      <c r="F475" s="65">
        <v>45786</v>
      </c>
      <c r="G475" s="65">
        <v>45826</v>
      </c>
      <c r="H475" s="65">
        <v>45849</v>
      </c>
      <c r="I475" s="65">
        <v>45889</v>
      </c>
      <c r="J475" s="65">
        <v>45930</v>
      </c>
      <c r="K475" s="65">
        <v>45959</v>
      </c>
      <c r="L475" s="65">
        <v>45987</v>
      </c>
      <c r="M475" s="65"/>
      <c r="N475" s="65"/>
      <c r="O475" s="54"/>
      <c r="P475" s="101"/>
    </row>
    <row r="476" spans="1:16">
      <c r="A476" s="546"/>
      <c r="B476" s="77" t="s">
        <v>377</v>
      </c>
      <c r="C476" s="73" t="s">
        <v>384</v>
      </c>
      <c r="D476" s="54" t="s">
        <v>384</v>
      </c>
      <c r="E476" s="54" t="s">
        <v>384</v>
      </c>
      <c r="F476" s="54" t="s">
        <v>384</v>
      </c>
      <c r="G476" s="54" t="s">
        <v>384</v>
      </c>
      <c r="H476" s="54" t="s">
        <v>384</v>
      </c>
      <c r="I476" s="54" t="s">
        <v>384</v>
      </c>
      <c r="J476" s="54" t="s">
        <v>384</v>
      </c>
      <c r="K476" s="54" t="s">
        <v>384</v>
      </c>
      <c r="L476" s="54" t="s">
        <v>384</v>
      </c>
      <c r="M476" s="54"/>
      <c r="N476" s="54"/>
      <c r="O476" s="54"/>
      <c r="P476" s="101"/>
    </row>
    <row r="477" spans="1:16" ht="15" customHeight="1">
      <c r="A477" s="467">
        <v>242</v>
      </c>
      <c r="B477" s="489" t="s">
        <v>1821</v>
      </c>
      <c r="C477" s="479"/>
      <c r="D477" s="479"/>
      <c r="E477" s="479"/>
      <c r="F477" s="481"/>
      <c r="G477" s="481"/>
      <c r="H477" s="481"/>
      <c r="I477" s="481"/>
      <c r="J477" s="481"/>
      <c r="K477" s="481"/>
      <c r="L477" s="481">
        <v>500</v>
      </c>
      <c r="M477" s="482"/>
      <c r="N477" s="482"/>
      <c r="O477" s="491"/>
      <c r="P477" s="476">
        <f>SUM(C477:O478)</f>
        <v>500</v>
      </c>
    </row>
    <row r="478" spans="1:16">
      <c r="A478" s="468"/>
      <c r="B478" s="545"/>
      <c r="C478" s="480"/>
      <c r="D478" s="480"/>
      <c r="E478" s="480"/>
      <c r="F478" s="482"/>
      <c r="G478" s="482"/>
      <c r="H478" s="482"/>
      <c r="I478" s="482"/>
      <c r="J478" s="482"/>
      <c r="K478" s="482"/>
      <c r="L478" s="482"/>
      <c r="M478" s="482"/>
      <c r="N478" s="482"/>
      <c r="O478" s="492"/>
      <c r="P478" s="445"/>
    </row>
    <row r="479" spans="1:16">
      <c r="A479" s="468"/>
      <c r="B479" s="78" t="s">
        <v>363</v>
      </c>
      <c r="C479" s="97"/>
      <c r="D479" s="65"/>
      <c r="E479" s="65"/>
      <c r="F479" s="65"/>
      <c r="G479" s="65"/>
      <c r="H479" s="65"/>
      <c r="I479" s="65"/>
      <c r="J479" s="65"/>
      <c r="K479" s="65"/>
      <c r="L479" s="65">
        <v>45978</v>
      </c>
      <c r="M479" s="65"/>
      <c r="N479" s="65"/>
      <c r="O479" s="54"/>
      <c r="P479" s="101"/>
    </row>
    <row r="480" spans="1:16">
      <c r="A480" s="501"/>
      <c r="B480" s="79" t="s">
        <v>377</v>
      </c>
      <c r="C480" s="73"/>
      <c r="D480" s="54"/>
      <c r="E480" s="54"/>
      <c r="F480" s="54"/>
      <c r="G480" s="54"/>
      <c r="H480" s="54"/>
      <c r="I480" s="54"/>
      <c r="J480" s="54"/>
      <c r="K480" s="54"/>
      <c r="L480" s="54" t="s">
        <v>384</v>
      </c>
      <c r="M480" s="54"/>
      <c r="N480" s="54"/>
      <c r="O480" s="54"/>
      <c r="P480" s="101"/>
    </row>
    <row r="481" spans="1:16" ht="15" customHeight="1">
      <c r="A481" s="467">
        <v>244</v>
      </c>
      <c r="B481" s="543" t="s">
        <v>348</v>
      </c>
      <c r="C481" s="481" t="s">
        <v>1748</v>
      </c>
      <c r="D481" s="481" t="s">
        <v>1748</v>
      </c>
      <c r="E481" s="481">
        <v>600</v>
      </c>
      <c r="F481" s="481">
        <v>600</v>
      </c>
      <c r="G481" s="481">
        <v>600</v>
      </c>
      <c r="H481" s="481">
        <v>600</v>
      </c>
      <c r="I481" s="481">
        <v>600</v>
      </c>
      <c r="J481" s="481">
        <v>600</v>
      </c>
      <c r="K481" s="481">
        <v>600</v>
      </c>
      <c r="L481" s="481">
        <v>600</v>
      </c>
      <c r="M481" s="481"/>
      <c r="N481" s="481"/>
      <c r="O481" s="481"/>
      <c r="P481" s="476">
        <f>SUM(C481:O482)</f>
        <v>4800</v>
      </c>
    </row>
    <row r="482" spans="1:16">
      <c r="A482" s="468"/>
      <c r="B482" s="544"/>
      <c r="C482" s="482"/>
      <c r="D482" s="482"/>
      <c r="E482" s="482"/>
      <c r="F482" s="482"/>
      <c r="G482" s="482"/>
      <c r="H482" s="482"/>
      <c r="I482" s="482"/>
      <c r="J482" s="482"/>
      <c r="K482" s="482"/>
      <c r="L482" s="482"/>
      <c r="M482" s="482"/>
      <c r="N482" s="482"/>
      <c r="O482" s="482"/>
      <c r="P482" s="445"/>
    </row>
    <row r="483" spans="1:16">
      <c r="A483" s="468"/>
      <c r="B483" s="89" t="s">
        <v>363</v>
      </c>
      <c r="C483" s="65">
        <v>45693</v>
      </c>
      <c r="D483" s="65">
        <v>45721</v>
      </c>
      <c r="E483" s="65">
        <v>45748</v>
      </c>
      <c r="F483" s="65">
        <v>45785</v>
      </c>
      <c r="G483" s="65">
        <v>45817</v>
      </c>
      <c r="H483" s="65">
        <v>45846</v>
      </c>
      <c r="I483" s="65">
        <v>45874</v>
      </c>
      <c r="J483" s="65">
        <v>45908</v>
      </c>
      <c r="K483" s="65">
        <v>45938</v>
      </c>
      <c r="L483" s="65">
        <v>45971</v>
      </c>
      <c r="M483" s="65"/>
      <c r="N483" s="54"/>
      <c r="O483" s="65"/>
      <c r="P483" s="101"/>
    </row>
    <row r="484" spans="1:16">
      <c r="A484" s="501"/>
      <c r="B484" s="87" t="s">
        <v>377</v>
      </c>
      <c r="C484" s="54" t="s">
        <v>384</v>
      </c>
      <c r="D484" s="54" t="s">
        <v>384</v>
      </c>
      <c r="E484" s="54" t="s">
        <v>384</v>
      </c>
      <c r="F484" s="54" t="s">
        <v>371</v>
      </c>
      <c r="G484" s="54" t="s">
        <v>384</v>
      </c>
      <c r="H484" s="54" t="s">
        <v>384</v>
      </c>
      <c r="I484" s="54" t="s">
        <v>384</v>
      </c>
      <c r="J484" s="54" t="s">
        <v>384</v>
      </c>
      <c r="K484" s="54" t="s">
        <v>384</v>
      </c>
      <c r="L484" s="54" t="s">
        <v>384</v>
      </c>
      <c r="M484" s="54"/>
      <c r="N484" s="54"/>
      <c r="O484" s="54"/>
      <c r="P484" s="101"/>
    </row>
    <row r="485" spans="1:16" ht="15" customHeight="1">
      <c r="A485" s="467">
        <v>249</v>
      </c>
      <c r="B485" s="470" t="s">
        <v>350</v>
      </c>
      <c r="C485" s="481">
        <v>1150</v>
      </c>
      <c r="D485" s="481">
        <v>1150</v>
      </c>
      <c r="E485" s="500">
        <v>1150</v>
      </c>
      <c r="F485" s="481">
        <v>1150</v>
      </c>
      <c r="G485" s="481">
        <v>1150</v>
      </c>
      <c r="H485" s="481">
        <v>1150</v>
      </c>
      <c r="I485" s="481">
        <v>1150</v>
      </c>
      <c r="J485" s="481">
        <v>1150</v>
      </c>
      <c r="K485" s="481">
        <v>1150</v>
      </c>
      <c r="L485" s="481"/>
      <c r="M485" s="481"/>
      <c r="N485" s="482"/>
      <c r="O485" s="491"/>
      <c r="P485" s="476">
        <f>SUM(C485:O486)</f>
        <v>10350</v>
      </c>
    </row>
    <row r="486" spans="1:16">
      <c r="A486" s="468"/>
      <c r="B486" s="471"/>
      <c r="C486" s="482"/>
      <c r="D486" s="482"/>
      <c r="E486" s="482"/>
      <c r="F486" s="482"/>
      <c r="G486" s="482"/>
      <c r="H486" s="482"/>
      <c r="I486" s="482"/>
      <c r="J486" s="482"/>
      <c r="K486" s="482"/>
      <c r="L486" s="482"/>
      <c r="M486" s="482"/>
      <c r="N486" s="482"/>
      <c r="O486" s="492"/>
      <c r="P486" s="445"/>
    </row>
    <row r="487" spans="1:16">
      <c r="A487" s="468"/>
      <c r="B487" s="86" t="s">
        <v>363</v>
      </c>
      <c r="C487" s="97">
        <v>45688</v>
      </c>
      <c r="D487" s="65">
        <v>45716</v>
      </c>
      <c r="E487" s="65">
        <v>45747</v>
      </c>
      <c r="F487" s="65">
        <v>45777</v>
      </c>
      <c r="G487" s="65">
        <v>45807</v>
      </c>
      <c r="H487" s="65">
        <v>45838</v>
      </c>
      <c r="I487" s="65">
        <v>45870</v>
      </c>
      <c r="J487" s="65">
        <v>45898</v>
      </c>
      <c r="K487" s="65">
        <v>45961</v>
      </c>
      <c r="L487" s="65"/>
      <c r="M487" s="65"/>
      <c r="N487" s="65"/>
      <c r="O487" s="54"/>
      <c r="P487" s="101"/>
    </row>
    <row r="488" spans="1:16">
      <c r="A488" s="478"/>
      <c r="B488" s="76" t="s">
        <v>377</v>
      </c>
      <c r="C488" s="73" t="s">
        <v>384</v>
      </c>
      <c r="D488" s="54" t="s">
        <v>384</v>
      </c>
      <c r="E488" s="54" t="s">
        <v>384</v>
      </c>
      <c r="F488" s="54" t="s">
        <v>384</v>
      </c>
      <c r="G488" s="54" t="s">
        <v>384</v>
      </c>
      <c r="H488" s="54" t="s">
        <v>384</v>
      </c>
      <c r="I488" s="54" t="s">
        <v>384</v>
      </c>
      <c r="J488" s="54" t="s">
        <v>384</v>
      </c>
      <c r="K488" s="54" t="s">
        <v>384</v>
      </c>
      <c r="L488" s="54"/>
      <c r="M488" s="54"/>
      <c r="N488" s="54"/>
      <c r="O488" s="54"/>
      <c r="P488" s="101"/>
    </row>
    <row r="489" spans="1:16">
      <c r="A489" s="470">
        <v>251</v>
      </c>
      <c r="B489" s="497" t="s">
        <v>991</v>
      </c>
      <c r="C489" s="487">
        <v>160</v>
      </c>
      <c r="D489" s="486">
        <v>160</v>
      </c>
      <c r="E489" s="487">
        <v>160</v>
      </c>
      <c r="F489" s="487">
        <v>160</v>
      </c>
      <c r="G489" s="487">
        <v>160</v>
      </c>
      <c r="H489" s="487">
        <v>160</v>
      </c>
      <c r="I489" s="487">
        <v>160</v>
      </c>
      <c r="J489" s="487">
        <v>160</v>
      </c>
      <c r="K489" s="487">
        <v>160</v>
      </c>
      <c r="L489" s="487"/>
      <c r="M489" s="487"/>
      <c r="N489" s="487"/>
      <c r="O489" s="487"/>
      <c r="P489" s="493">
        <f>SUM(C489:O490)</f>
        <v>1440</v>
      </c>
    </row>
    <row r="490" spans="1:16">
      <c r="A490" s="496"/>
      <c r="B490" s="542"/>
      <c r="C490" s="488"/>
      <c r="D490" s="486"/>
      <c r="E490" s="488"/>
      <c r="F490" s="488"/>
      <c r="G490" s="488"/>
      <c r="H490" s="488"/>
      <c r="I490" s="488"/>
      <c r="J490" s="488"/>
      <c r="K490" s="488"/>
      <c r="L490" s="488"/>
      <c r="M490" s="488"/>
      <c r="N490" s="488"/>
      <c r="O490" s="488"/>
      <c r="P490" s="494"/>
    </row>
    <row r="491" spans="1:16">
      <c r="A491" s="496"/>
      <c r="B491" s="82" t="s">
        <v>363</v>
      </c>
      <c r="C491" s="64">
        <v>45698</v>
      </c>
      <c r="D491" s="65">
        <v>45726</v>
      </c>
      <c r="E491" s="65">
        <v>45770</v>
      </c>
      <c r="F491" s="65">
        <v>45800</v>
      </c>
      <c r="G491" s="65">
        <v>45831</v>
      </c>
      <c r="H491" s="65">
        <v>45866</v>
      </c>
      <c r="I491" s="65">
        <v>45901</v>
      </c>
      <c r="J491" s="65">
        <v>45925</v>
      </c>
      <c r="K491" s="65">
        <v>45959</v>
      </c>
      <c r="L491" s="65"/>
      <c r="M491" s="65"/>
      <c r="N491" s="65"/>
      <c r="O491" s="54"/>
      <c r="P491" s="101"/>
    </row>
    <row r="492" spans="1:16">
      <c r="A492" s="471"/>
      <c r="B492" s="84" t="s">
        <v>377</v>
      </c>
      <c r="C492" s="54" t="s">
        <v>386</v>
      </c>
      <c r="D492" s="54" t="s">
        <v>386</v>
      </c>
      <c r="E492" s="54" t="s">
        <v>386</v>
      </c>
      <c r="F492" s="54" t="s">
        <v>386</v>
      </c>
      <c r="G492" s="54" t="s">
        <v>386</v>
      </c>
      <c r="H492" s="54" t="s">
        <v>384</v>
      </c>
      <c r="I492" s="54" t="s">
        <v>386</v>
      </c>
      <c r="J492" s="54" t="s">
        <v>386</v>
      </c>
      <c r="K492" s="54" t="s">
        <v>1997</v>
      </c>
      <c r="L492" s="54"/>
      <c r="M492" s="54"/>
      <c r="N492" s="54"/>
      <c r="O492" s="54"/>
      <c r="P492" s="101"/>
    </row>
    <row r="493" spans="1:16">
      <c r="A493" s="467">
        <v>254</v>
      </c>
      <c r="B493" s="470" t="s">
        <v>1342</v>
      </c>
      <c r="C493" s="479"/>
      <c r="D493" s="479"/>
      <c r="E493" s="479"/>
      <c r="F493" s="479"/>
      <c r="G493" s="479"/>
      <c r="H493" s="479">
        <v>320</v>
      </c>
      <c r="I493" s="479"/>
      <c r="J493" s="479">
        <v>320</v>
      </c>
      <c r="K493" s="479">
        <v>320</v>
      </c>
      <c r="L493" s="479">
        <v>320</v>
      </c>
      <c r="M493" s="479"/>
      <c r="N493" s="479"/>
      <c r="O493" s="479"/>
      <c r="P493" s="476">
        <f>SUM(C493:O494)</f>
        <v>1280</v>
      </c>
    </row>
    <row r="494" spans="1:16">
      <c r="A494" s="468"/>
      <c r="B494" s="471"/>
      <c r="C494" s="480"/>
      <c r="D494" s="480"/>
      <c r="E494" s="480"/>
      <c r="F494" s="480"/>
      <c r="G494" s="480"/>
      <c r="H494" s="480"/>
      <c r="I494" s="480"/>
      <c r="J494" s="480"/>
      <c r="K494" s="480"/>
      <c r="L494" s="480"/>
      <c r="M494" s="480"/>
      <c r="N494" s="480"/>
      <c r="O494" s="480"/>
      <c r="P494" s="445"/>
    </row>
    <row r="495" spans="1:16">
      <c r="A495" s="468"/>
      <c r="B495" s="87" t="s">
        <v>363</v>
      </c>
      <c r="C495" s="65"/>
      <c r="D495" s="65"/>
      <c r="E495" s="65"/>
      <c r="F495" s="65"/>
      <c r="G495" s="65"/>
      <c r="H495" s="65">
        <v>45841</v>
      </c>
      <c r="I495" s="65"/>
      <c r="J495" s="65">
        <v>45903</v>
      </c>
      <c r="K495" s="65">
        <v>45932</v>
      </c>
      <c r="L495" s="65">
        <v>45971</v>
      </c>
      <c r="M495" s="65"/>
      <c r="N495" s="65"/>
      <c r="O495" s="65"/>
      <c r="P495" s="101"/>
    </row>
    <row r="496" spans="1:16">
      <c r="A496" s="501"/>
      <c r="B496" s="86" t="s">
        <v>377</v>
      </c>
      <c r="C496" s="73"/>
      <c r="D496" s="54"/>
      <c r="E496" s="54"/>
      <c r="F496" s="54"/>
      <c r="G496" s="54"/>
      <c r="H496" s="54" t="s">
        <v>384</v>
      </c>
      <c r="I496" s="54"/>
      <c r="J496" s="54" t="s">
        <v>384</v>
      </c>
      <c r="K496" s="54" t="s">
        <v>384</v>
      </c>
      <c r="L496" s="54" t="s">
        <v>384</v>
      </c>
      <c r="M496" s="54"/>
      <c r="N496" s="54"/>
      <c r="O496" s="54"/>
      <c r="P496" s="101"/>
    </row>
    <row r="497" spans="1:16" ht="15" customHeight="1">
      <c r="A497" s="467">
        <v>255</v>
      </c>
      <c r="B497" s="470" t="s">
        <v>1809</v>
      </c>
      <c r="C497" s="479">
        <v>340</v>
      </c>
      <c r="D497" s="479"/>
      <c r="E497" s="479"/>
      <c r="F497" s="479"/>
      <c r="G497" s="479"/>
      <c r="H497" s="479"/>
      <c r="I497" s="479"/>
      <c r="J497" s="479"/>
      <c r="K497" s="479"/>
      <c r="L497" s="479"/>
      <c r="M497" s="479"/>
      <c r="N497" s="479"/>
      <c r="O497" s="479"/>
      <c r="P497" s="476">
        <f>SUM(C497:O498)</f>
        <v>340</v>
      </c>
    </row>
    <row r="498" spans="1:16">
      <c r="A498" s="468"/>
      <c r="B498" s="471"/>
      <c r="C498" s="480"/>
      <c r="D498" s="480"/>
      <c r="E498" s="480"/>
      <c r="F498" s="480"/>
      <c r="G498" s="480"/>
      <c r="H498" s="480"/>
      <c r="I498" s="480"/>
      <c r="J498" s="480"/>
      <c r="K498" s="480"/>
      <c r="L498" s="480"/>
      <c r="M498" s="480"/>
      <c r="N498" s="480"/>
      <c r="O498" s="480"/>
      <c r="P498" s="445"/>
    </row>
    <row r="499" spans="1:16">
      <c r="A499" s="468"/>
      <c r="B499" s="87" t="s">
        <v>363</v>
      </c>
      <c r="C499" s="65">
        <v>45708</v>
      </c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1"/>
    </row>
    <row r="500" spans="1:16">
      <c r="A500" s="501"/>
      <c r="B500" s="86" t="s">
        <v>377</v>
      </c>
      <c r="C500" s="73" t="s">
        <v>384</v>
      </c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101"/>
    </row>
    <row r="501" spans="1:16" ht="15" customHeight="1">
      <c r="A501" s="467">
        <v>259</v>
      </c>
      <c r="B501" s="470" t="s">
        <v>106</v>
      </c>
      <c r="C501" s="479"/>
      <c r="D501" s="479"/>
      <c r="E501" s="479"/>
      <c r="F501" s="479"/>
      <c r="G501" s="479"/>
      <c r="H501" s="479"/>
      <c r="I501" s="479"/>
      <c r="J501" s="479"/>
      <c r="K501" s="479"/>
      <c r="L501" s="479"/>
      <c r="M501" s="479"/>
      <c r="N501" s="479"/>
      <c r="O501" s="479"/>
      <c r="P501" s="476">
        <f>SUM(C501:O502)</f>
        <v>0</v>
      </c>
    </row>
    <row r="502" spans="1:16">
      <c r="A502" s="468"/>
      <c r="B502" s="471"/>
      <c r="C502" s="480"/>
      <c r="D502" s="480"/>
      <c r="E502" s="480"/>
      <c r="F502" s="480"/>
      <c r="G502" s="480"/>
      <c r="H502" s="480"/>
      <c r="I502" s="480"/>
      <c r="J502" s="480"/>
      <c r="K502" s="480"/>
      <c r="L502" s="480"/>
      <c r="M502" s="480"/>
      <c r="N502" s="480"/>
      <c r="O502" s="480"/>
      <c r="P502" s="445"/>
    </row>
    <row r="503" spans="1:16">
      <c r="A503" s="468"/>
      <c r="B503" s="87" t="s">
        <v>363</v>
      </c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1"/>
    </row>
    <row r="504" spans="1:16">
      <c r="A504" s="501"/>
      <c r="B504" s="86" t="s">
        <v>377</v>
      </c>
      <c r="C504" s="73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101"/>
    </row>
    <row r="505" spans="1:16">
      <c r="A505" s="467">
        <v>260</v>
      </c>
      <c r="B505" s="470" t="s">
        <v>1085</v>
      </c>
      <c r="C505" s="480"/>
      <c r="D505" s="482"/>
      <c r="E505" s="482"/>
      <c r="F505" s="482"/>
      <c r="G505" s="473">
        <v>445</v>
      </c>
      <c r="H505" s="473">
        <v>445</v>
      </c>
      <c r="I505" s="473">
        <v>445</v>
      </c>
      <c r="J505" s="473">
        <v>445</v>
      </c>
      <c r="K505" s="482"/>
      <c r="L505" s="482"/>
      <c r="M505" s="482"/>
      <c r="N505" s="482"/>
      <c r="O505" s="491"/>
      <c r="P505" s="476">
        <f>SUM(C505:O506)</f>
        <v>1780</v>
      </c>
    </row>
    <row r="506" spans="1:16">
      <c r="A506" s="468"/>
      <c r="B506" s="471"/>
      <c r="C506" s="480"/>
      <c r="D506" s="482"/>
      <c r="E506" s="482"/>
      <c r="F506" s="482"/>
      <c r="G506" s="473"/>
      <c r="H506" s="473"/>
      <c r="I506" s="473"/>
      <c r="J506" s="473"/>
      <c r="K506" s="482"/>
      <c r="L506" s="482"/>
      <c r="M506" s="482"/>
      <c r="N506" s="482"/>
      <c r="O506" s="492"/>
      <c r="P506" s="445"/>
    </row>
    <row r="507" spans="1:16">
      <c r="A507" s="468"/>
      <c r="B507" s="86" t="s">
        <v>363</v>
      </c>
      <c r="C507" s="97"/>
      <c r="D507" s="65"/>
      <c r="E507" s="54"/>
      <c r="F507" s="54"/>
      <c r="G507" s="65">
        <v>45779</v>
      </c>
      <c r="H507" s="65">
        <v>45810</v>
      </c>
      <c r="I507" s="65">
        <v>45839</v>
      </c>
      <c r="J507" s="65">
        <v>45938</v>
      </c>
      <c r="K507" s="54"/>
      <c r="L507" s="54"/>
      <c r="M507" s="54"/>
      <c r="N507" s="54"/>
      <c r="O507" s="54"/>
      <c r="P507" s="101"/>
    </row>
    <row r="508" spans="1:16">
      <c r="A508" s="478"/>
      <c r="B508" s="76" t="s">
        <v>377</v>
      </c>
      <c r="C508" s="73"/>
      <c r="D508" s="54"/>
      <c r="E508" s="54"/>
      <c r="F508" s="54"/>
      <c r="G508" s="54" t="s">
        <v>384</v>
      </c>
      <c r="H508" s="64" t="s">
        <v>384</v>
      </c>
      <c r="I508" s="54" t="s">
        <v>384</v>
      </c>
      <c r="J508" s="54" t="s">
        <v>384</v>
      </c>
      <c r="K508" s="54"/>
      <c r="L508" s="54"/>
      <c r="M508" s="54"/>
      <c r="N508" s="54"/>
      <c r="O508" s="54"/>
      <c r="P508" s="101"/>
    </row>
    <row r="509" spans="1:16">
      <c r="A509" s="467">
        <v>261</v>
      </c>
      <c r="B509" s="470" t="s">
        <v>253</v>
      </c>
      <c r="C509" s="479"/>
      <c r="D509" s="482"/>
      <c r="E509" s="479">
        <v>430</v>
      </c>
      <c r="F509" s="481">
        <v>430</v>
      </c>
      <c r="G509" s="481">
        <v>430</v>
      </c>
      <c r="H509" s="473">
        <v>430</v>
      </c>
      <c r="I509" s="473">
        <v>430</v>
      </c>
      <c r="J509" s="482"/>
      <c r="K509" s="486"/>
      <c r="L509" s="486">
        <v>430</v>
      </c>
      <c r="M509" s="486">
        <v>430</v>
      </c>
      <c r="N509" s="486">
        <v>430</v>
      </c>
      <c r="O509" s="487"/>
      <c r="P509" s="476">
        <f>SUM(C509:O510)</f>
        <v>3440</v>
      </c>
    </row>
    <row r="510" spans="1:16">
      <c r="A510" s="468"/>
      <c r="B510" s="471"/>
      <c r="C510" s="480"/>
      <c r="D510" s="482"/>
      <c r="E510" s="480"/>
      <c r="F510" s="482"/>
      <c r="G510" s="482"/>
      <c r="H510" s="473"/>
      <c r="I510" s="473"/>
      <c r="J510" s="482"/>
      <c r="K510" s="486"/>
      <c r="L510" s="486"/>
      <c r="M510" s="486"/>
      <c r="N510" s="486"/>
      <c r="O510" s="488"/>
      <c r="P510" s="445"/>
    </row>
    <row r="511" spans="1:16">
      <c r="A511" s="468"/>
      <c r="B511" s="76" t="s">
        <v>363</v>
      </c>
      <c r="C511" s="97"/>
      <c r="D511" s="65"/>
      <c r="E511" s="97">
        <v>45805</v>
      </c>
      <c r="F511" s="65">
        <v>45805</v>
      </c>
      <c r="G511" s="65">
        <v>45824</v>
      </c>
      <c r="H511" s="65">
        <v>45847</v>
      </c>
      <c r="I511" s="65">
        <v>45877</v>
      </c>
      <c r="J511" s="65"/>
      <c r="K511" s="65"/>
      <c r="L511" s="65">
        <v>45974</v>
      </c>
      <c r="M511" s="65">
        <v>46009</v>
      </c>
      <c r="N511" s="65">
        <v>46009</v>
      </c>
      <c r="O511" s="54"/>
      <c r="P511" s="101"/>
    </row>
    <row r="512" spans="1:16">
      <c r="A512" s="501"/>
      <c r="B512" s="76" t="s">
        <v>377</v>
      </c>
      <c r="C512" s="73"/>
      <c r="D512" s="54"/>
      <c r="E512" s="73" t="s">
        <v>386</v>
      </c>
      <c r="F512" s="54" t="s">
        <v>386</v>
      </c>
      <c r="G512" s="54" t="s">
        <v>386</v>
      </c>
      <c r="H512" s="54" t="s">
        <v>386</v>
      </c>
      <c r="I512" s="118" t="s">
        <v>386</v>
      </c>
      <c r="J512" s="118"/>
      <c r="K512" s="118"/>
      <c r="L512" s="118" t="s">
        <v>386</v>
      </c>
      <c r="M512" s="54" t="s">
        <v>386</v>
      </c>
      <c r="N512" s="54" t="s">
        <v>386</v>
      </c>
      <c r="O512" s="54"/>
      <c r="P512" s="101"/>
    </row>
    <row r="513" spans="1:16" ht="15" customHeight="1">
      <c r="A513" s="467">
        <v>263</v>
      </c>
      <c r="B513" s="470" t="s">
        <v>254</v>
      </c>
      <c r="C513" s="479">
        <v>550</v>
      </c>
      <c r="D513" s="483">
        <v>550</v>
      </c>
      <c r="E513" s="483">
        <v>550</v>
      </c>
      <c r="F513" s="483">
        <v>550</v>
      </c>
      <c r="G513" s="481">
        <v>550</v>
      </c>
      <c r="H513" s="537">
        <v>550</v>
      </c>
      <c r="I513" s="539">
        <v>550</v>
      </c>
      <c r="J513" s="539">
        <v>550</v>
      </c>
      <c r="K513" s="539">
        <v>550</v>
      </c>
      <c r="L513" s="541">
        <v>550</v>
      </c>
      <c r="M513" s="499">
        <v>550</v>
      </c>
      <c r="N513" s="486">
        <v>550</v>
      </c>
      <c r="O513" s="487"/>
      <c r="P513" s="476">
        <f>SUM(C513:O514)</f>
        <v>6600</v>
      </c>
    </row>
    <row r="514" spans="1:16">
      <c r="A514" s="468"/>
      <c r="B514" s="471"/>
      <c r="C514" s="480"/>
      <c r="D514" s="484"/>
      <c r="E514" s="484"/>
      <c r="F514" s="484"/>
      <c r="G514" s="482"/>
      <c r="H514" s="538"/>
      <c r="I514" s="540"/>
      <c r="J514" s="540"/>
      <c r="K514" s="540"/>
      <c r="L514" s="541"/>
      <c r="M514" s="499"/>
      <c r="N514" s="486"/>
      <c r="O514" s="488"/>
      <c r="P514" s="445"/>
    </row>
    <row r="515" spans="1:16">
      <c r="A515" s="468"/>
      <c r="B515" s="92" t="s">
        <v>363</v>
      </c>
      <c r="C515" s="97">
        <v>45705</v>
      </c>
      <c r="D515" s="65">
        <v>45727</v>
      </c>
      <c r="E515" s="65">
        <v>45751</v>
      </c>
      <c r="F515" s="65">
        <v>45800</v>
      </c>
      <c r="G515" s="65">
        <v>45817</v>
      </c>
      <c r="H515" s="65">
        <v>45845</v>
      </c>
      <c r="I515" s="105">
        <v>45896</v>
      </c>
      <c r="J515" s="105">
        <v>45911</v>
      </c>
      <c r="K515" s="105">
        <v>45938</v>
      </c>
      <c r="L515" s="105">
        <v>45968</v>
      </c>
      <c r="M515" s="65">
        <v>46006</v>
      </c>
      <c r="N515" s="65">
        <v>46006</v>
      </c>
      <c r="O515" s="64"/>
      <c r="P515" s="101"/>
    </row>
    <row r="516" spans="1:16">
      <c r="A516" s="478"/>
      <c r="B516" s="76" t="s">
        <v>377</v>
      </c>
      <c r="C516" s="73" t="s">
        <v>386</v>
      </c>
      <c r="D516" s="54" t="s">
        <v>386</v>
      </c>
      <c r="E516" s="54" t="s">
        <v>386</v>
      </c>
      <c r="F516" s="54" t="s">
        <v>386</v>
      </c>
      <c r="G516" s="54" t="s">
        <v>386</v>
      </c>
      <c r="H516" s="54" t="s">
        <v>386</v>
      </c>
      <c r="I516" s="54" t="s">
        <v>1997</v>
      </c>
      <c r="J516" s="54" t="s">
        <v>386</v>
      </c>
      <c r="K516" s="54" t="s">
        <v>386</v>
      </c>
      <c r="L516" s="54" t="s">
        <v>386</v>
      </c>
      <c r="M516" s="54" t="s">
        <v>386</v>
      </c>
      <c r="N516" s="54" t="s">
        <v>386</v>
      </c>
      <c r="O516" s="54"/>
      <c r="P516" s="101"/>
    </row>
    <row r="517" spans="1:16">
      <c r="A517" s="467">
        <v>265</v>
      </c>
      <c r="B517" s="470" t="s">
        <v>1810</v>
      </c>
      <c r="C517" s="486"/>
      <c r="D517" s="486"/>
      <c r="E517" s="486"/>
      <c r="F517" s="486">
        <v>160</v>
      </c>
      <c r="G517" s="486">
        <v>160</v>
      </c>
      <c r="H517" s="486">
        <v>160</v>
      </c>
      <c r="I517" s="486">
        <v>160</v>
      </c>
      <c r="J517" s="486">
        <v>160</v>
      </c>
      <c r="K517" s="486">
        <v>160</v>
      </c>
      <c r="L517" s="486"/>
      <c r="M517" s="486"/>
      <c r="N517" s="486"/>
      <c r="O517" s="487"/>
      <c r="P517" s="476">
        <f>SUM(C517:O518)</f>
        <v>960</v>
      </c>
    </row>
    <row r="518" spans="1:16">
      <c r="A518" s="468"/>
      <c r="B518" s="471"/>
      <c r="C518" s="486"/>
      <c r="D518" s="486"/>
      <c r="E518" s="486"/>
      <c r="F518" s="486"/>
      <c r="G518" s="486"/>
      <c r="H518" s="486"/>
      <c r="I518" s="486"/>
      <c r="J518" s="486"/>
      <c r="K518" s="486"/>
      <c r="L518" s="486"/>
      <c r="M518" s="486"/>
      <c r="N518" s="486"/>
      <c r="O518" s="488"/>
      <c r="P518" s="445"/>
    </row>
    <row r="519" spans="1:16">
      <c r="A519" s="468"/>
      <c r="B519" s="86" t="s">
        <v>363</v>
      </c>
      <c r="C519" s="97"/>
      <c r="D519" s="97"/>
      <c r="E519" s="97"/>
      <c r="F519" s="97">
        <v>45748</v>
      </c>
      <c r="G519" s="97">
        <v>45779</v>
      </c>
      <c r="H519" s="97">
        <v>45811</v>
      </c>
      <c r="I519" s="65">
        <v>45839</v>
      </c>
      <c r="J519" s="65">
        <v>45897</v>
      </c>
      <c r="K519" s="65">
        <v>45975</v>
      </c>
      <c r="L519" s="54"/>
      <c r="M519" s="54"/>
      <c r="N519" s="54"/>
      <c r="O519" s="54"/>
      <c r="P519" s="101"/>
    </row>
    <row r="520" spans="1:16">
      <c r="A520" s="478"/>
      <c r="B520" s="76" t="s">
        <v>377</v>
      </c>
      <c r="C520" s="73"/>
      <c r="D520" s="54"/>
      <c r="E520" s="54"/>
      <c r="F520" s="54" t="s">
        <v>384</v>
      </c>
      <c r="G520" s="54" t="s">
        <v>384</v>
      </c>
      <c r="H520" s="54" t="s">
        <v>384</v>
      </c>
      <c r="I520" s="54" t="s">
        <v>384</v>
      </c>
      <c r="J520" s="54" t="s">
        <v>384</v>
      </c>
      <c r="K520" s="54" t="s">
        <v>384</v>
      </c>
      <c r="L520" s="54"/>
      <c r="M520" s="54"/>
      <c r="N520" s="54"/>
      <c r="O520" s="54"/>
      <c r="P520" s="101"/>
    </row>
    <row r="521" spans="1:16" ht="15" customHeight="1">
      <c r="A521" s="467">
        <v>271</v>
      </c>
      <c r="B521" s="533" t="s">
        <v>258</v>
      </c>
      <c r="C521" s="481">
        <v>340</v>
      </c>
      <c r="D521" s="481">
        <v>340</v>
      </c>
      <c r="E521" s="481">
        <v>340</v>
      </c>
      <c r="F521" s="481">
        <v>340</v>
      </c>
      <c r="G521" s="481">
        <v>340</v>
      </c>
      <c r="H521" s="481">
        <v>340</v>
      </c>
      <c r="I521" s="482"/>
      <c r="J521" s="482"/>
      <c r="K521" s="482"/>
      <c r="L521" s="482"/>
      <c r="M521" s="482"/>
      <c r="N521" s="482"/>
      <c r="O521" s="491"/>
      <c r="P521" s="476">
        <f>SUM(C521:O522)</f>
        <v>2040</v>
      </c>
    </row>
    <row r="522" spans="1:16">
      <c r="A522" s="468"/>
      <c r="B522" s="533"/>
      <c r="C522" s="482"/>
      <c r="D522" s="482"/>
      <c r="E522" s="482"/>
      <c r="F522" s="482"/>
      <c r="G522" s="482"/>
      <c r="H522" s="482"/>
      <c r="I522" s="482"/>
      <c r="J522" s="482"/>
      <c r="K522" s="482"/>
      <c r="L522" s="482"/>
      <c r="M522" s="482"/>
      <c r="N522" s="482"/>
      <c r="O522" s="492"/>
      <c r="P522" s="445"/>
    </row>
    <row r="523" spans="1:16">
      <c r="A523" s="468"/>
      <c r="B523" s="86" t="s">
        <v>363</v>
      </c>
      <c r="C523" s="97">
        <v>45890</v>
      </c>
      <c r="D523" s="97">
        <v>45890</v>
      </c>
      <c r="E523" s="97">
        <v>45890</v>
      </c>
      <c r="F523" s="97">
        <v>45890</v>
      </c>
      <c r="G523" s="97">
        <v>45890</v>
      </c>
      <c r="H523" s="97">
        <v>45845</v>
      </c>
      <c r="I523" s="54"/>
      <c r="J523" s="54"/>
      <c r="K523" s="54"/>
      <c r="L523" s="54"/>
      <c r="M523" s="54"/>
      <c r="N523" s="54"/>
      <c r="O523" s="54"/>
      <c r="P523" s="101"/>
    </row>
    <row r="524" spans="1:16">
      <c r="A524" s="478"/>
      <c r="B524" s="86" t="s">
        <v>377</v>
      </c>
      <c r="C524" s="73" t="s">
        <v>384</v>
      </c>
      <c r="D524" s="54" t="s">
        <v>384</v>
      </c>
      <c r="E524" s="54" t="s">
        <v>384</v>
      </c>
      <c r="F524" s="54" t="s">
        <v>384</v>
      </c>
      <c r="G524" s="54" t="s">
        <v>384</v>
      </c>
      <c r="H524" s="54" t="s">
        <v>384</v>
      </c>
      <c r="I524" s="54"/>
      <c r="J524" s="54"/>
      <c r="K524" s="54"/>
      <c r="L524" s="54"/>
      <c r="M524" s="54"/>
      <c r="N524" s="54"/>
      <c r="O524" s="54"/>
      <c r="P524" s="101"/>
    </row>
    <row r="525" spans="1:16">
      <c r="A525" s="467">
        <v>272</v>
      </c>
      <c r="B525" s="533" t="s">
        <v>1738</v>
      </c>
      <c r="C525" s="481"/>
      <c r="D525" s="481"/>
      <c r="E525" s="481"/>
      <c r="F525" s="481">
        <v>400</v>
      </c>
      <c r="G525" s="481">
        <v>400</v>
      </c>
      <c r="H525" s="473">
        <v>400</v>
      </c>
      <c r="I525" s="473">
        <v>400</v>
      </c>
      <c r="J525" s="473">
        <v>400</v>
      </c>
      <c r="K525" s="486">
        <v>400</v>
      </c>
      <c r="L525" s="486">
        <v>400</v>
      </c>
      <c r="M525" s="486"/>
      <c r="N525" s="486">
        <v>300</v>
      </c>
      <c r="O525" s="491"/>
      <c r="P525" s="476">
        <f>SUM(C525:O526)</f>
        <v>3100</v>
      </c>
    </row>
    <row r="526" spans="1:16">
      <c r="A526" s="468"/>
      <c r="B526" s="533"/>
      <c r="C526" s="482"/>
      <c r="D526" s="482"/>
      <c r="E526" s="482"/>
      <c r="F526" s="482"/>
      <c r="G526" s="482"/>
      <c r="H526" s="473"/>
      <c r="I526" s="473"/>
      <c r="J526" s="473"/>
      <c r="K526" s="486"/>
      <c r="L526" s="486"/>
      <c r="M526" s="486"/>
      <c r="N526" s="486"/>
      <c r="O526" s="492"/>
      <c r="P526" s="445"/>
    </row>
    <row r="527" spans="1:16">
      <c r="A527" s="468"/>
      <c r="B527" s="86" t="s">
        <v>363</v>
      </c>
      <c r="C527" s="97"/>
      <c r="D527" s="97"/>
      <c r="E527" s="97"/>
      <c r="F527" s="97">
        <v>45791</v>
      </c>
      <c r="G527" s="97">
        <v>45825</v>
      </c>
      <c r="H527" s="97">
        <v>45852</v>
      </c>
      <c r="I527" s="65">
        <v>45883</v>
      </c>
      <c r="J527" s="65">
        <v>45915</v>
      </c>
      <c r="K527" s="65">
        <v>45946</v>
      </c>
      <c r="L527" s="65">
        <v>45973</v>
      </c>
      <c r="M527" s="54"/>
      <c r="N527" s="65">
        <v>45973</v>
      </c>
      <c r="O527" s="54"/>
      <c r="P527" s="101"/>
    </row>
    <row r="528" spans="1:16">
      <c r="A528" s="478"/>
      <c r="B528" s="86" t="s">
        <v>377</v>
      </c>
      <c r="C528" s="73"/>
      <c r="D528" s="54"/>
      <c r="E528" s="54"/>
      <c r="F528" s="54" t="s">
        <v>384</v>
      </c>
      <c r="G528" s="54" t="s">
        <v>384</v>
      </c>
      <c r="H528" s="54" t="s">
        <v>384</v>
      </c>
      <c r="I528" s="54" t="s">
        <v>384</v>
      </c>
      <c r="J528" s="54" t="s">
        <v>384</v>
      </c>
      <c r="K528" s="54" t="s">
        <v>384</v>
      </c>
      <c r="L528" s="54" t="s">
        <v>384</v>
      </c>
      <c r="M528" s="54"/>
      <c r="N528" s="54" t="s">
        <v>384</v>
      </c>
      <c r="O528" s="54"/>
      <c r="P528" s="101"/>
    </row>
    <row r="529" spans="1:16" ht="15" customHeight="1">
      <c r="A529" s="534">
        <v>274</v>
      </c>
      <c r="B529" s="536" t="s">
        <v>352</v>
      </c>
      <c r="C529" s="479">
        <v>1730</v>
      </c>
      <c r="D529" s="481">
        <v>1730</v>
      </c>
      <c r="E529" s="481">
        <v>1730</v>
      </c>
      <c r="F529" s="481"/>
      <c r="G529" s="481"/>
      <c r="H529" s="481"/>
      <c r="I529" s="481"/>
      <c r="J529" s="481"/>
      <c r="K529" s="481"/>
      <c r="L529" s="481"/>
      <c r="M529" s="482"/>
      <c r="N529" s="482"/>
      <c r="O529" s="491"/>
      <c r="P529" s="476">
        <f>SUM(C529:O530)</f>
        <v>5190</v>
      </c>
    </row>
    <row r="530" spans="1:16">
      <c r="A530" s="535"/>
      <c r="B530" s="536"/>
      <c r="C530" s="480"/>
      <c r="D530" s="482"/>
      <c r="E530" s="482"/>
      <c r="F530" s="482"/>
      <c r="G530" s="482"/>
      <c r="H530" s="482"/>
      <c r="I530" s="482"/>
      <c r="J530" s="482"/>
      <c r="K530" s="482"/>
      <c r="L530" s="482"/>
      <c r="M530" s="482"/>
      <c r="N530" s="482"/>
      <c r="O530" s="492"/>
      <c r="P530" s="445"/>
    </row>
    <row r="531" spans="1:16">
      <c r="A531" s="535"/>
      <c r="B531" s="76" t="s">
        <v>363</v>
      </c>
      <c r="C531" s="97">
        <v>45723</v>
      </c>
      <c r="D531" s="65">
        <v>45791</v>
      </c>
      <c r="E531" s="65">
        <v>45843</v>
      </c>
      <c r="F531" s="65"/>
      <c r="G531" s="65"/>
      <c r="H531" s="65"/>
      <c r="I531" s="65"/>
      <c r="J531" s="65"/>
      <c r="K531" s="65"/>
      <c r="L531" s="65"/>
      <c r="M531" s="54"/>
      <c r="N531" s="54"/>
      <c r="O531" s="54"/>
      <c r="P531" s="101"/>
    </row>
    <row r="532" spans="1:16">
      <c r="A532" s="501"/>
      <c r="B532" s="77" t="s">
        <v>377</v>
      </c>
      <c r="C532" s="73" t="s">
        <v>384</v>
      </c>
      <c r="D532" s="54" t="s">
        <v>384</v>
      </c>
      <c r="E532" s="54" t="s">
        <v>384</v>
      </c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101"/>
    </row>
    <row r="533" spans="1:16">
      <c r="A533" s="467">
        <v>276</v>
      </c>
      <c r="B533" s="470" t="s">
        <v>353</v>
      </c>
      <c r="C533" s="472">
        <v>460</v>
      </c>
      <c r="D533" s="473">
        <v>460</v>
      </c>
      <c r="E533" s="473">
        <v>460</v>
      </c>
      <c r="F533" s="473">
        <v>460</v>
      </c>
      <c r="G533" s="473">
        <v>460</v>
      </c>
      <c r="H533" s="473">
        <v>460</v>
      </c>
      <c r="I533" s="473">
        <v>460</v>
      </c>
      <c r="J533" s="473">
        <v>460</v>
      </c>
      <c r="K533" s="473">
        <v>460</v>
      </c>
      <c r="L533" s="473">
        <v>460</v>
      </c>
      <c r="M533" s="473">
        <v>460</v>
      </c>
      <c r="N533" s="473"/>
      <c r="O533" s="474"/>
      <c r="P533" s="476">
        <f>SUM(C533:O534)</f>
        <v>5060</v>
      </c>
    </row>
    <row r="534" spans="1:16">
      <c r="A534" s="468"/>
      <c r="B534" s="471"/>
      <c r="C534" s="472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5"/>
      <c r="P534" s="445"/>
    </row>
    <row r="535" spans="1:16">
      <c r="A535" s="468"/>
      <c r="B535" s="76" t="s">
        <v>363</v>
      </c>
      <c r="C535" s="97">
        <v>45721</v>
      </c>
      <c r="D535" s="65">
        <v>45744</v>
      </c>
      <c r="E535" s="65">
        <v>45773</v>
      </c>
      <c r="F535" s="65">
        <v>45797</v>
      </c>
      <c r="G535" s="65">
        <v>45831</v>
      </c>
      <c r="H535" s="65">
        <v>45884</v>
      </c>
      <c r="I535" s="65">
        <v>45884</v>
      </c>
      <c r="J535" s="65">
        <v>45919</v>
      </c>
      <c r="K535" s="65">
        <v>45958</v>
      </c>
      <c r="L535" s="65">
        <v>45958</v>
      </c>
      <c r="M535" s="65">
        <v>45996</v>
      </c>
      <c r="N535" s="54"/>
      <c r="O535" s="54"/>
      <c r="P535" s="101"/>
    </row>
    <row r="536" spans="1:16">
      <c r="A536" s="478"/>
      <c r="B536" s="82" t="s">
        <v>377</v>
      </c>
      <c r="C536" s="54" t="s">
        <v>1486</v>
      </c>
      <c r="D536" s="54" t="s">
        <v>1486</v>
      </c>
      <c r="E536" s="54" t="s">
        <v>1486</v>
      </c>
      <c r="F536" s="54" t="s">
        <v>1486</v>
      </c>
      <c r="G536" s="54" t="s">
        <v>1486</v>
      </c>
      <c r="H536" s="54" t="s">
        <v>1486</v>
      </c>
      <c r="I536" s="54" t="s">
        <v>1486</v>
      </c>
      <c r="J536" s="54" t="s">
        <v>1486</v>
      </c>
      <c r="K536" s="54" t="s">
        <v>1486</v>
      </c>
      <c r="L536" s="54" t="s">
        <v>1486</v>
      </c>
      <c r="M536" s="54" t="s">
        <v>1486</v>
      </c>
      <c r="N536" s="54"/>
      <c r="O536" s="54"/>
      <c r="P536" s="101"/>
    </row>
    <row r="537" spans="1:16">
      <c r="A537" s="467">
        <v>279</v>
      </c>
      <c r="B537" s="470" t="s">
        <v>286</v>
      </c>
      <c r="C537" s="479">
        <v>230</v>
      </c>
      <c r="D537" s="481">
        <v>230</v>
      </c>
      <c r="E537" s="481">
        <v>230</v>
      </c>
      <c r="F537" s="481">
        <v>230</v>
      </c>
      <c r="G537" s="481">
        <v>230</v>
      </c>
      <c r="H537" s="481">
        <v>230</v>
      </c>
      <c r="I537" s="481">
        <v>230</v>
      </c>
      <c r="J537" s="481">
        <v>230</v>
      </c>
      <c r="K537" s="481">
        <v>480</v>
      </c>
      <c r="L537" s="481">
        <v>480</v>
      </c>
      <c r="M537" s="481"/>
      <c r="N537" s="481"/>
      <c r="O537" s="491"/>
      <c r="P537" s="476">
        <f>SUM(C537:O538)</f>
        <v>2800</v>
      </c>
    </row>
    <row r="538" spans="1:16">
      <c r="A538" s="468"/>
      <c r="B538" s="496"/>
      <c r="C538" s="480"/>
      <c r="D538" s="482"/>
      <c r="E538" s="482"/>
      <c r="F538" s="482"/>
      <c r="G538" s="482"/>
      <c r="H538" s="482"/>
      <c r="I538" s="482"/>
      <c r="J538" s="482"/>
      <c r="K538" s="482"/>
      <c r="L538" s="482"/>
      <c r="M538" s="482"/>
      <c r="N538" s="482"/>
      <c r="O538" s="492"/>
      <c r="P538" s="445"/>
    </row>
    <row r="539" spans="1:16">
      <c r="A539" s="468"/>
      <c r="B539" s="86" t="s">
        <v>363</v>
      </c>
      <c r="C539" s="97">
        <v>45699</v>
      </c>
      <c r="D539" s="65">
        <v>45727</v>
      </c>
      <c r="E539" s="65">
        <v>45755</v>
      </c>
      <c r="F539" s="65">
        <v>45789</v>
      </c>
      <c r="G539" s="65">
        <v>45817</v>
      </c>
      <c r="H539" s="65">
        <v>45847</v>
      </c>
      <c r="I539" s="65">
        <v>45876</v>
      </c>
      <c r="J539" s="65">
        <v>45909</v>
      </c>
      <c r="K539" s="65">
        <v>45945</v>
      </c>
      <c r="L539" s="65">
        <v>45971</v>
      </c>
      <c r="M539" s="65"/>
      <c r="N539" s="65"/>
      <c r="O539" s="54"/>
      <c r="P539" s="101"/>
    </row>
    <row r="540" spans="1:16">
      <c r="A540" s="478"/>
      <c r="B540" s="86" t="s">
        <v>377</v>
      </c>
      <c r="C540" s="73" t="s">
        <v>384</v>
      </c>
      <c r="D540" s="54" t="s">
        <v>384</v>
      </c>
      <c r="E540" s="54" t="s">
        <v>384</v>
      </c>
      <c r="F540" s="54" t="s">
        <v>384</v>
      </c>
      <c r="G540" s="54" t="s">
        <v>384</v>
      </c>
      <c r="H540" s="54" t="s">
        <v>384</v>
      </c>
      <c r="I540" s="54" t="s">
        <v>384</v>
      </c>
      <c r="J540" s="54" t="s">
        <v>384</v>
      </c>
      <c r="K540" s="54" t="s">
        <v>384</v>
      </c>
      <c r="L540" s="54" t="s">
        <v>384</v>
      </c>
      <c r="M540" s="54"/>
      <c r="N540" s="54"/>
      <c r="O540" s="54"/>
      <c r="P540" s="101"/>
    </row>
    <row r="541" spans="1:16">
      <c r="A541" s="485">
        <v>280</v>
      </c>
      <c r="B541" s="470" t="s">
        <v>262</v>
      </c>
      <c r="C541" s="479">
        <v>530</v>
      </c>
      <c r="D541" s="481">
        <v>530</v>
      </c>
      <c r="E541" s="481">
        <v>530</v>
      </c>
      <c r="F541" s="481">
        <v>530</v>
      </c>
      <c r="G541" s="481">
        <v>530</v>
      </c>
      <c r="H541" s="481">
        <v>530</v>
      </c>
      <c r="I541" s="481">
        <v>530</v>
      </c>
      <c r="J541" s="481">
        <v>530</v>
      </c>
      <c r="K541" s="481">
        <v>530</v>
      </c>
      <c r="L541" s="482"/>
      <c r="M541" s="482"/>
      <c r="N541" s="482"/>
      <c r="O541" s="491"/>
      <c r="P541" s="476">
        <f>SUM(C541:O542)</f>
        <v>4770</v>
      </c>
    </row>
    <row r="542" spans="1:16">
      <c r="A542" s="468"/>
      <c r="B542" s="471"/>
      <c r="C542" s="480"/>
      <c r="D542" s="482"/>
      <c r="E542" s="482"/>
      <c r="F542" s="482"/>
      <c r="G542" s="482"/>
      <c r="H542" s="482"/>
      <c r="I542" s="482"/>
      <c r="J542" s="482"/>
      <c r="K542" s="482"/>
      <c r="L542" s="482"/>
      <c r="M542" s="482"/>
      <c r="N542" s="482"/>
      <c r="O542" s="492"/>
      <c r="P542" s="445"/>
    </row>
    <row r="543" spans="1:16">
      <c r="A543" s="468"/>
      <c r="B543" s="86" t="s">
        <v>363</v>
      </c>
      <c r="C543" s="97">
        <v>45763</v>
      </c>
      <c r="D543" s="65">
        <v>45763</v>
      </c>
      <c r="E543" s="65">
        <v>45784</v>
      </c>
      <c r="F543" s="65">
        <v>45784</v>
      </c>
      <c r="G543" s="65">
        <v>45842</v>
      </c>
      <c r="H543" s="65">
        <v>45873</v>
      </c>
      <c r="I543" s="65">
        <v>45903</v>
      </c>
      <c r="J543" s="65">
        <v>45966</v>
      </c>
      <c r="K543" s="65">
        <v>45966</v>
      </c>
      <c r="L543" s="64"/>
      <c r="M543" s="64"/>
      <c r="N543" s="64"/>
      <c r="O543" s="64"/>
      <c r="P543" s="101"/>
    </row>
    <row r="544" spans="1:16">
      <c r="A544" s="501"/>
      <c r="B544" s="76" t="s">
        <v>377</v>
      </c>
      <c r="C544" s="73" t="s">
        <v>1755</v>
      </c>
      <c r="D544" s="54" t="s">
        <v>1278</v>
      </c>
      <c r="E544" s="54" t="s">
        <v>1278</v>
      </c>
      <c r="F544" s="54" t="s">
        <v>1278</v>
      </c>
      <c r="G544" s="54" t="s">
        <v>386</v>
      </c>
      <c r="H544" s="54" t="s">
        <v>386</v>
      </c>
      <c r="I544" s="54" t="s">
        <v>386</v>
      </c>
      <c r="J544" s="54" t="s">
        <v>384</v>
      </c>
      <c r="K544" s="54" t="s">
        <v>384</v>
      </c>
      <c r="L544" s="54"/>
      <c r="M544" s="54"/>
      <c r="N544" s="54"/>
      <c r="O544" s="66"/>
      <c r="P544" s="101"/>
    </row>
    <row r="545" spans="1:16" ht="15" customHeight="1">
      <c r="A545" s="467">
        <v>281</v>
      </c>
      <c r="B545" s="470" t="s">
        <v>583</v>
      </c>
      <c r="C545" s="479"/>
      <c r="D545" s="481"/>
      <c r="E545" s="481">
        <v>240</v>
      </c>
      <c r="F545" s="481"/>
      <c r="G545" s="481"/>
      <c r="H545" s="481"/>
      <c r="I545" s="481"/>
      <c r="J545" s="481"/>
      <c r="K545" s="481"/>
      <c r="L545" s="483"/>
      <c r="M545" s="482"/>
      <c r="N545" s="482"/>
      <c r="O545" s="491"/>
      <c r="P545" s="476">
        <f>SUM(C545:O546)</f>
        <v>240</v>
      </c>
    </row>
    <row r="546" spans="1:16">
      <c r="A546" s="468"/>
      <c r="B546" s="471"/>
      <c r="C546" s="480"/>
      <c r="D546" s="482"/>
      <c r="E546" s="482"/>
      <c r="F546" s="482"/>
      <c r="G546" s="482"/>
      <c r="H546" s="482"/>
      <c r="I546" s="482"/>
      <c r="J546" s="482"/>
      <c r="K546" s="482"/>
      <c r="L546" s="484"/>
      <c r="M546" s="482"/>
      <c r="N546" s="482"/>
      <c r="O546" s="492"/>
      <c r="P546" s="445"/>
    </row>
    <row r="547" spans="1:16">
      <c r="A547" s="468"/>
      <c r="B547" s="76" t="s">
        <v>363</v>
      </c>
      <c r="C547" s="97"/>
      <c r="D547" s="65"/>
      <c r="E547" s="65">
        <v>45757</v>
      </c>
      <c r="F547" s="65"/>
      <c r="G547" s="65"/>
      <c r="H547" s="65"/>
      <c r="I547" s="65"/>
      <c r="J547" s="65"/>
      <c r="K547" s="66"/>
      <c r="L547" s="65"/>
      <c r="M547" s="65"/>
      <c r="N547" s="54"/>
      <c r="O547" s="64"/>
      <c r="P547" s="101"/>
    </row>
    <row r="548" spans="1:16">
      <c r="A548" s="478"/>
      <c r="B548" s="87" t="s">
        <v>377</v>
      </c>
      <c r="C548" s="54"/>
      <c r="D548" s="54"/>
      <c r="E548" s="54" t="s">
        <v>386</v>
      </c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101"/>
    </row>
    <row r="549" spans="1:16" ht="15" customHeight="1">
      <c r="A549" s="467">
        <v>288</v>
      </c>
      <c r="B549" s="470" t="s">
        <v>120</v>
      </c>
      <c r="C549" s="479">
        <v>520</v>
      </c>
      <c r="D549" s="479">
        <v>520</v>
      </c>
      <c r="E549" s="479">
        <v>520</v>
      </c>
      <c r="F549" s="479">
        <v>520</v>
      </c>
      <c r="G549" s="481">
        <v>520</v>
      </c>
      <c r="H549" s="481">
        <v>520</v>
      </c>
      <c r="I549" s="481">
        <v>520</v>
      </c>
      <c r="J549" s="481">
        <v>520</v>
      </c>
      <c r="K549" s="481">
        <v>520</v>
      </c>
      <c r="L549" s="481">
        <v>520</v>
      </c>
      <c r="M549" s="482"/>
      <c r="N549" s="482"/>
      <c r="O549" s="491"/>
      <c r="P549" s="476">
        <f>SUM(C549:O550)</f>
        <v>5200</v>
      </c>
    </row>
    <row r="550" spans="1:16" ht="21" customHeight="1">
      <c r="A550" s="468"/>
      <c r="B550" s="471"/>
      <c r="C550" s="480"/>
      <c r="D550" s="480"/>
      <c r="E550" s="480"/>
      <c r="F550" s="480"/>
      <c r="G550" s="482"/>
      <c r="H550" s="482"/>
      <c r="I550" s="482"/>
      <c r="J550" s="482"/>
      <c r="K550" s="482"/>
      <c r="L550" s="482"/>
      <c r="M550" s="482"/>
      <c r="N550" s="482"/>
      <c r="O550" s="492"/>
      <c r="P550" s="445"/>
    </row>
    <row r="551" spans="1:16">
      <c r="A551" s="468"/>
      <c r="B551" s="86" t="s">
        <v>363</v>
      </c>
      <c r="C551" s="97">
        <v>45706</v>
      </c>
      <c r="D551" s="65">
        <v>45741</v>
      </c>
      <c r="E551" s="65">
        <v>45772</v>
      </c>
      <c r="F551" s="65">
        <v>45800</v>
      </c>
      <c r="G551" s="65">
        <v>45847</v>
      </c>
      <c r="H551" s="65">
        <v>45897</v>
      </c>
      <c r="I551" s="65">
        <v>45926</v>
      </c>
      <c r="J551" s="65">
        <v>45926</v>
      </c>
      <c r="K551" s="65">
        <v>45961</v>
      </c>
      <c r="L551" s="65">
        <v>45994</v>
      </c>
      <c r="M551" s="64"/>
      <c r="N551" s="64"/>
      <c r="O551" s="64"/>
      <c r="P551" s="101"/>
    </row>
    <row r="552" spans="1:16">
      <c r="A552" s="501"/>
      <c r="B552" s="76" t="s">
        <v>377</v>
      </c>
      <c r="C552" s="73" t="s">
        <v>386</v>
      </c>
      <c r="D552" s="54" t="s">
        <v>386</v>
      </c>
      <c r="E552" s="54" t="s">
        <v>386</v>
      </c>
      <c r="F552" s="54" t="s">
        <v>386</v>
      </c>
      <c r="G552" s="54" t="s">
        <v>386</v>
      </c>
      <c r="H552" s="54" t="s">
        <v>386</v>
      </c>
      <c r="I552" s="54" t="s">
        <v>386</v>
      </c>
      <c r="J552" s="54" t="s">
        <v>386</v>
      </c>
      <c r="K552" s="54" t="s">
        <v>386</v>
      </c>
      <c r="L552" s="54" t="s">
        <v>386</v>
      </c>
      <c r="M552" s="54"/>
      <c r="N552" s="54"/>
      <c r="O552" s="54"/>
      <c r="P552" s="101"/>
    </row>
    <row r="553" spans="1:16">
      <c r="A553" s="467">
        <v>289</v>
      </c>
      <c r="B553" s="470" t="s">
        <v>1811</v>
      </c>
      <c r="C553" s="479"/>
      <c r="D553" s="479"/>
      <c r="E553" s="479"/>
      <c r="F553" s="479"/>
      <c r="G553" s="479"/>
      <c r="H553" s="482"/>
      <c r="I553" s="482"/>
      <c r="J553" s="482"/>
      <c r="K553" s="482"/>
      <c r="L553" s="482"/>
      <c r="M553" s="482"/>
      <c r="N553" s="482"/>
      <c r="O553" s="491"/>
      <c r="P553" s="476">
        <f>SUM(C553:O554)</f>
        <v>0</v>
      </c>
    </row>
    <row r="554" spans="1:16">
      <c r="A554" s="468"/>
      <c r="B554" s="471"/>
      <c r="C554" s="480"/>
      <c r="D554" s="480"/>
      <c r="E554" s="480"/>
      <c r="F554" s="480"/>
      <c r="G554" s="480"/>
      <c r="H554" s="482"/>
      <c r="I554" s="482"/>
      <c r="J554" s="482"/>
      <c r="K554" s="482"/>
      <c r="L554" s="482"/>
      <c r="M554" s="482"/>
      <c r="N554" s="482"/>
      <c r="O554" s="492"/>
      <c r="P554" s="445"/>
    </row>
    <row r="555" spans="1:16">
      <c r="A555" s="468"/>
      <c r="B555" s="76" t="s">
        <v>363</v>
      </c>
      <c r="C555" s="97"/>
      <c r="D555" s="65"/>
      <c r="E555" s="65"/>
      <c r="F555" s="65"/>
      <c r="G555" s="65"/>
      <c r="H555" s="54"/>
      <c r="I555" s="54"/>
      <c r="J555" s="54"/>
      <c r="K555" s="54"/>
      <c r="L555" s="54"/>
      <c r="M555" s="54"/>
      <c r="N555" s="54"/>
      <c r="O555" s="54"/>
      <c r="P555" s="101"/>
    </row>
    <row r="556" spans="1:16">
      <c r="A556" s="478"/>
      <c r="B556" s="77" t="s">
        <v>377</v>
      </c>
      <c r="C556" s="73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101"/>
    </row>
    <row r="557" spans="1:16" ht="15" customHeight="1">
      <c r="A557" s="467">
        <v>290</v>
      </c>
      <c r="B557" s="470" t="s">
        <v>1669</v>
      </c>
      <c r="C557" s="479">
        <v>495</v>
      </c>
      <c r="D557" s="481">
        <v>495</v>
      </c>
      <c r="E557" s="481">
        <v>495</v>
      </c>
      <c r="F557" s="481">
        <v>495</v>
      </c>
      <c r="G557" s="500">
        <v>495</v>
      </c>
      <c r="H557" s="481">
        <v>495</v>
      </c>
      <c r="I557" s="481">
        <v>495</v>
      </c>
      <c r="J557" s="481"/>
      <c r="K557" s="481"/>
      <c r="L557" s="481"/>
      <c r="M557" s="481"/>
      <c r="N557" s="481"/>
      <c r="O557" s="491"/>
      <c r="P557" s="476">
        <f>SUM(C557:O558)</f>
        <v>3465</v>
      </c>
    </row>
    <row r="558" spans="1:16">
      <c r="A558" s="468"/>
      <c r="B558" s="471"/>
      <c r="C558" s="480"/>
      <c r="D558" s="482"/>
      <c r="E558" s="482"/>
      <c r="F558" s="482"/>
      <c r="G558" s="482"/>
      <c r="H558" s="482"/>
      <c r="I558" s="482"/>
      <c r="J558" s="482"/>
      <c r="K558" s="482"/>
      <c r="L558" s="482"/>
      <c r="M558" s="482"/>
      <c r="N558" s="482"/>
      <c r="O558" s="492"/>
      <c r="P558" s="445"/>
    </row>
    <row r="559" spans="1:16">
      <c r="A559" s="468"/>
      <c r="B559" s="76" t="s">
        <v>363</v>
      </c>
      <c r="C559" s="97">
        <v>45709</v>
      </c>
      <c r="D559" s="65">
        <v>45735</v>
      </c>
      <c r="E559" s="65">
        <v>45799</v>
      </c>
      <c r="F559" s="65">
        <v>45799</v>
      </c>
      <c r="G559" s="65">
        <v>45855</v>
      </c>
      <c r="H559" s="65">
        <v>45887</v>
      </c>
      <c r="I559" s="65">
        <v>45980</v>
      </c>
      <c r="J559" s="65"/>
      <c r="K559" s="65"/>
      <c r="L559" s="65"/>
      <c r="M559" s="65"/>
      <c r="N559" s="65"/>
      <c r="O559" s="54"/>
      <c r="P559" s="101"/>
    </row>
    <row r="560" spans="1:16">
      <c r="A560" s="478"/>
      <c r="B560" s="76" t="s">
        <v>377</v>
      </c>
      <c r="C560" s="73" t="s">
        <v>384</v>
      </c>
      <c r="D560" s="54" t="s">
        <v>384</v>
      </c>
      <c r="E560" s="54" t="s">
        <v>384</v>
      </c>
      <c r="F560" s="54" t="s">
        <v>384</v>
      </c>
      <c r="G560" s="54" t="s">
        <v>384</v>
      </c>
      <c r="H560" s="54" t="s">
        <v>384</v>
      </c>
      <c r="I560" s="54" t="s">
        <v>384</v>
      </c>
      <c r="J560" s="54"/>
      <c r="K560" s="54"/>
      <c r="L560" s="54"/>
      <c r="M560" s="54"/>
      <c r="N560" s="54"/>
      <c r="O560" s="54"/>
      <c r="P560" s="101"/>
    </row>
    <row r="561" spans="1:16" ht="15" customHeight="1">
      <c r="A561" s="467">
        <v>293</v>
      </c>
      <c r="B561" s="470" t="s">
        <v>2045</v>
      </c>
      <c r="C561" s="479"/>
      <c r="D561" s="479"/>
      <c r="E561" s="479"/>
      <c r="F561" s="479"/>
      <c r="G561" s="479"/>
      <c r="H561" s="482"/>
      <c r="I561" s="482"/>
      <c r="J561" s="482"/>
      <c r="K561" s="482"/>
      <c r="L561" s="482"/>
      <c r="M561" s="482"/>
      <c r="N561" s="482"/>
      <c r="O561" s="491"/>
      <c r="P561" s="476">
        <f>SUM(C561:O562)</f>
        <v>0</v>
      </c>
    </row>
    <row r="562" spans="1:16">
      <c r="A562" s="468"/>
      <c r="B562" s="471"/>
      <c r="C562" s="480"/>
      <c r="D562" s="480"/>
      <c r="E562" s="480"/>
      <c r="F562" s="480"/>
      <c r="G562" s="480"/>
      <c r="H562" s="482"/>
      <c r="I562" s="482"/>
      <c r="J562" s="482"/>
      <c r="K562" s="482"/>
      <c r="L562" s="482"/>
      <c r="M562" s="482"/>
      <c r="N562" s="482"/>
      <c r="O562" s="492"/>
      <c r="P562" s="445"/>
    </row>
    <row r="563" spans="1:16">
      <c r="A563" s="468"/>
      <c r="B563" s="76" t="s">
        <v>363</v>
      </c>
      <c r="C563" s="97"/>
      <c r="D563" s="65"/>
      <c r="E563" s="65"/>
      <c r="F563" s="65"/>
      <c r="G563" s="65"/>
      <c r="H563" s="54"/>
      <c r="I563" s="54"/>
      <c r="J563" s="54"/>
      <c r="K563" s="54"/>
      <c r="L563" s="54"/>
      <c r="M563" s="54"/>
      <c r="N563" s="54"/>
      <c r="O563" s="54"/>
      <c r="P563" s="101"/>
    </row>
    <row r="564" spans="1:16">
      <c r="A564" s="478"/>
      <c r="B564" s="77" t="s">
        <v>377</v>
      </c>
      <c r="C564" s="73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101"/>
    </row>
    <row r="565" spans="1:16" ht="15" customHeight="1">
      <c r="A565" s="467">
        <v>296</v>
      </c>
      <c r="B565" s="470" t="s">
        <v>355</v>
      </c>
      <c r="C565" s="479">
        <v>350</v>
      </c>
      <c r="D565" s="481">
        <v>350</v>
      </c>
      <c r="E565" s="481">
        <v>350</v>
      </c>
      <c r="F565" s="481">
        <v>350</v>
      </c>
      <c r="G565" s="481">
        <v>350</v>
      </c>
      <c r="H565" s="481">
        <v>350</v>
      </c>
      <c r="I565" s="481">
        <v>350</v>
      </c>
      <c r="J565" s="481">
        <v>250</v>
      </c>
      <c r="K565" s="486">
        <v>250</v>
      </c>
      <c r="L565" s="486">
        <v>250</v>
      </c>
      <c r="M565" s="486">
        <v>250</v>
      </c>
      <c r="N565" s="486">
        <v>300</v>
      </c>
      <c r="O565" s="487">
        <v>250</v>
      </c>
      <c r="P565" s="476">
        <f>SUM(C565:O566)</f>
        <v>4000</v>
      </c>
    </row>
    <row r="566" spans="1:16">
      <c r="A566" s="468"/>
      <c r="B566" s="471"/>
      <c r="C566" s="480"/>
      <c r="D566" s="482"/>
      <c r="E566" s="482"/>
      <c r="F566" s="482"/>
      <c r="G566" s="482"/>
      <c r="H566" s="482"/>
      <c r="I566" s="482"/>
      <c r="J566" s="482"/>
      <c r="K566" s="486"/>
      <c r="L566" s="486"/>
      <c r="M566" s="486"/>
      <c r="N566" s="486"/>
      <c r="O566" s="488"/>
      <c r="P566" s="445"/>
    </row>
    <row r="567" spans="1:16">
      <c r="A567" s="468"/>
      <c r="B567" s="86" t="s">
        <v>363</v>
      </c>
      <c r="C567" s="97">
        <v>45706</v>
      </c>
      <c r="D567" s="65">
        <v>45754</v>
      </c>
      <c r="E567" s="65">
        <v>45754</v>
      </c>
      <c r="F567" s="65">
        <v>45793</v>
      </c>
      <c r="G567" s="65">
        <v>45840</v>
      </c>
      <c r="H567" s="65">
        <v>45840</v>
      </c>
      <c r="I567" s="65">
        <v>45863</v>
      </c>
      <c r="J567" s="65">
        <v>46000</v>
      </c>
      <c r="K567" s="65">
        <v>46000</v>
      </c>
      <c r="L567" s="65">
        <v>46000</v>
      </c>
      <c r="M567" s="65">
        <v>46000</v>
      </c>
      <c r="N567" s="65">
        <v>46000</v>
      </c>
      <c r="O567" s="65">
        <v>46000</v>
      </c>
      <c r="P567" s="101"/>
    </row>
    <row r="568" spans="1:16">
      <c r="A568" s="478"/>
      <c r="B568" s="76" t="s">
        <v>377</v>
      </c>
      <c r="C568" s="73" t="s">
        <v>386</v>
      </c>
      <c r="D568" s="54" t="s">
        <v>386</v>
      </c>
      <c r="E568" s="54" t="s">
        <v>386</v>
      </c>
      <c r="F568" s="54" t="s">
        <v>386</v>
      </c>
      <c r="G568" s="54" t="s">
        <v>386</v>
      </c>
      <c r="H568" s="54" t="s">
        <v>386</v>
      </c>
      <c r="I568" s="54" t="s">
        <v>386</v>
      </c>
      <c r="J568" s="54" t="s">
        <v>386</v>
      </c>
      <c r="K568" s="54" t="s">
        <v>386</v>
      </c>
      <c r="L568" s="54" t="s">
        <v>386</v>
      </c>
      <c r="M568" s="54" t="s">
        <v>386</v>
      </c>
      <c r="N568" s="54" t="s">
        <v>386</v>
      </c>
      <c r="O568" s="54" t="s">
        <v>386</v>
      </c>
      <c r="P568" s="101"/>
    </row>
    <row r="569" spans="1:16">
      <c r="A569" s="467">
        <v>297</v>
      </c>
      <c r="B569" s="470" t="s">
        <v>142</v>
      </c>
      <c r="C569" s="479">
        <v>340</v>
      </c>
      <c r="D569" s="481">
        <v>340</v>
      </c>
      <c r="E569" s="481">
        <v>340</v>
      </c>
      <c r="F569" s="481">
        <v>340</v>
      </c>
      <c r="G569" s="481">
        <v>340</v>
      </c>
      <c r="H569" s="481">
        <v>340</v>
      </c>
      <c r="I569" s="481">
        <v>340</v>
      </c>
      <c r="J569" s="481">
        <v>340</v>
      </c>
      <c r="K569" s="481">
        <v>340</v>
      </c>
      <c r="L569" s="481">
        <v>340</v>
      </c>
      <c r="M569" s="481"/>
      <c r="N569" s="481"/>
      <c r="O569" s="491"/>
      <c r="P569" s="476">
        <f>SUM(C569:O570)</f>
        <v>3400</v>
      </c>
    </row>
    <row r="570" spans="1:16">
      <c r="A570" s="468"/>
      <c r="B570" s="471"/>
      <c r="C570" s="480"/>
      <c r="D570" s="482"/>
      <c r="E570" s="482"/>
      <c r="F570" s="482"/>
      <c r="G570" s="482"/>
      <c r="H570" s="482"/>
      <c r="I570" s="482"/>
      <c r="J570" s="482"/>
      <c r="K570" s="482"/>
      <c r="L570" s="482"/>
      <c r="M570" s="482"/>
      <c r="N570" s="482"/>
      <c r="O570" s="492"/>
      <c r="P570" s="445"/>
    </row>
    <row r="571" spans="1:16">
      <c r="A571" s="468"/>
      <c r="B571" s="74" t="s">
        <v>363</v>
      </c>
      <c r="C571" s="97">
        <v>45694</v>
      </c>
      <c r="D571" s="65">
        <v>45729</v>
      </c>
      <c r="E571" s="65">
        <v>45757</v>
      </c>
      <c r="F571" s="65">
        <v>45790</v>
      </c>
      <c r="G571" s="65">
        <v>45820</v>
      </c>
      <c r="H571" s="65">
        <v>45845</v>
      </c>
      <c r="I571" s="65">
        <v>45883</v>
      </c>
      <c r="J571" s="65">
        <v>45908</v>
      </c>
      <c r="K571" s="65">
        <v>45940</v>
      </c>
      <c r="L571" s="65">
        <v>45967</v>
      </c>
      <c r="M571" s="65"/>
      <c r="N571" s="65"/>
      <c r="O571" s="54"/>
      <c r="P571" s="101"/>
    </row>
    <row r="572" spans="1:16">
      <c r="A572" s="501"/>
      <c r="B572" s="85" t="s">
        <v>377</v>
      </c>
      <c r="C572" s="73" t="s">
        <v>384</v>
      </c>
      <c r="D572" s="54" t="s">
        <v>384</v>
      </c>
      <c r="E572" s="54" t="s">
        <v>384</v>
      </c>
      <c r="F572" s="54" t="s">
        <v>384</v>
      </c>
      <c r="G572" s="54" t="s">
        <v>384</v>
      </c>
      <c r="H572" s="54" t="s">
        <v>384</v>
      </c>
      <c r="I572" s="54" t="s">
        <v>384</v>
      </c>
      <c r="J572" s="54" t="s">
        <v>384</v>
      </c>
      <c r="K572" s="54" t="s">
        <v>384</v>
      </c>
      <c r="L572" s="54" t="s">
        <v>384</v>
      </c>
      <c r="M572" s="54"/>
      <c r="N572" s="54"/>
      <c r="O572" s="54"/>
      <c r="P572" s="101"/>
    </row>
    <row r="573" spans="1:16">
      <c r="A573" s="467">
        <v>298</v>
      </c>
      <c r="B573" s="470" t="s">
        <v>269</v>
      </c>
      <c r="C573" s="479">
        <v>600</v>
      </c>
      <c r="D573" s="479">
        <v>600</v>
      </c>
      <c r="E573" s="479">
        <v>600</v>
      </c>
      <c r="F573" s="481">
        <v>600</v>
      </c>
      <c r="G573" s="473">
        <v>600</v>
      </c>
      <c r="H573" s="473">
        <v>600</v>
      </c>
      <c r="I573" s="473">
        <v>600</v>
      </c>
      <c r="J573" s="481"/>
      <c r="K573" s="481">
        <v>600</v>
      </c>
      <c r="L573" s="481">
        <v>600</v>
      </c>
      <c r="M573" s="481"/>
      <c r="N573" s="482"/>
      <c r="O573" s="491"/>
      <c r="P573" s="476">
        <f>SUM(C573:O574)</f>
        <v>5400</v>
      </c>
    </row>
    <row r="574" spans="1:16">
      <c r="A574" s="468"/>
      <c r="B574" s="471"/>
      <c r="C574" s="480"/>
      <c r="D574" s="480"/>
      <c r="E574" s="480"/>
      <c r="F574" s="482"/>
      <c r="G574" s="473"/>
      <c r="H574" s="473"/>
      <c r="I574" s="473"/>
      <c r="J574" s="482"/>
      <c r="K574" s="482"/>
      <c r="L574" s="482"/>
      <c r="M574" s="482"/>
      <c r="N574" s="482"/>
      <c r="O574" s="492"/>
      <c r="P574" s="445"/>
    </row>
    <row r="575" spans="1:16">
      <c r="A575" s="468"/>
      <c r="B575" s="86" t="s">
        <v>363</v>
      </c>
      <c r="C575" s="97">
        <v>45701</v>
      </c>
      <c r="D575" s="65">
        <v>45733</v>
      </c>
      <c r="E575" s="65">
        <v>45764</v>
      </c>
      <c r="F575" s="65">
        <v>45792</v>
      </c>
      <c r="G575" s="65">
        <v>45859</v>
      </c>
      <c r="H575" s="65">
        <v>45859</v>
      </c>
      <c r="I575" s="65">
        <v>45883</v>
      </c>
      <c r="J575" s="65"/>
      <c r="K575" s="65">
        <v>45951</v>
      </c>
      <c r="L575" s="65">
        <v>45967</v>
      </c>
      <c r="M575" s="65"/>
      <c r="N575" s="65"/>
      <c r="O575" s="54"/>
      <c r="P575" s="101"/>
    </row>
    <row r="576" spans="1:16">
      <c r="A576" s="478"/>
      <c r="B576" s="76" t="s">
        <v>377</v>
      </c>
      <c r="C576" s="73" t="s">
        <v>384</v>
      </c>
      <c r="D576" s="54" t="s">
        <v>384</v>
      </c>
      <c r="E576" s="54" t="s">
        <v>384</v>
      </c>
      <c r="F576" s="54" t="s">
        <v>384</v>
      </c>
      <c r="G576" s="54" t="s">
        <v>384</v>
      </c>
      <c r="H576" s="54" t="s">
        <v>384</v>
      </c>
      <c r="I576" s="54" t="s">
        <v>384</v>
      </c>
      <c r="J576" s="54"/>
      <c r="K576" s="54" t="s">
        <v>384</v>
      </c>
      <c r="L576" s="54" t="s">
        <v>384</v>
      </c>
      <c r="M576" s="54"/>
      <c r="N576" s="54"/>
      <c r="O576" s="54"/>
      <c r="P576" s="101"/>
    </row>
    <row r="577" spans="1:16" ht="15" customHeight="1">
      <c r="A577" s="467">
        <v>303</v>
      </c>
      <c r="B577" s="470" t="s">
        <v>1867</v>
      </c>
      <c r="C577" s="480"/>
      <c r="D577" s="482"/>
      <c r="E577" s="482"/>
      <c r="F577" s="482"/>
      <c r="G577" s="482"/>
      <c r="H577" s="482"/>
      <c r="I577" s="473"/>
      <c r="J577" s="473">
        <v>360</v>
      </c>
      <c r="K577" s="473">
        <v>360</v>
      </c>
      <c r="L577" s="482">
        <v>360</v>
      </c>
      <c r="M577" s="482"/>
      <c r="N577" s="482"/>
      <c r="O577" s="491"/>
      <c r="P577" s="476">
        <f>SUM(C577:O578)</f>
        <v>1080</v>
      </c>
    </row>
    <row r="578" spans="1:16">
      <c r="A578" s="468"/>
      <c r="B578" s="471"/>
      <c r="C578" s="480"/>
      <c r="D578" s="482"/>
      <c r="E578" s="482"/>
      <c r="F578" s="482"/>
      <c r="G578" s="482"/>
      <c r="H578" s="482"/>
      <c r="I578" s="473"/>
      <c r="J578" s="473"/>
      <c r="K578" s="473"/>
      <c r="L578" s="482"/>
      <c r="M578" s="482"/>
      <c r="N578" s="482"/>
      <c r="O578" s="492"/>
      <c r="P578" s="445"/>
    </row>
    <row r="579" spans="1:16">
      <c r="A579" s="468"/>
      <c r="B579" s="86" t="s">
        <v>363</v>
      </c>
      <c r="C579" s="73"/>
      <c r="D579" s="54"/>
      <c r="E579" s="54"/>
      <c r="F579" s="54"/>
      <c r="G579" s="54"/>
      <c r="H579" s="54"/>
      <c r="I579" s="54"/>
      <c r="J579" s="65">
        <v>45912</v>
      </c>
      <c r="K579" s="65">
        <v>45936</v>
      </c>
      <c r="L579" s="65">
        <v>45967</v>
      </c>
      <c r="M579" s="54"/>
      <c r="N579" s="54"/>
      <c r="O579" s="54"/>
      <c r="P579" s="101"/>
    </row>
    <row r="580" spans="1:16">
      <c r="A580" s="478"/>
      <c r="B580" s="76" t="s">
        <v>377</v>
      </c>
      <c r="C580" s="73"/>
      <c r="D580" s="54"/>
      <c r="E580" s="54"/>
      <c r="F580" s="54"/>
      <c r="G580" s="54"/>
      <c r="H580" s="54"/>
      <c r="I580" s="54"/>
      <c r="J580" s="54" t="s">
        <v>384</v>
      </c>
      <c r="K580" s="54" t="s">
        <v>384</v>
      </c>
      <c r="L580" s="54" t="s">
        <v>384</v>
      </c>
      <c r="M580" s="54"/>
      <c r="N580" s="54"/>
      <c r="O580" s="54"/>
      <c r="P580" s="101"/>
    </row>
    <row r="581" spans="1:16" ht="15" customHeight="1">
      <c r="A581" s="485">
        <v>304</v>
      </c>
      <c r="B581" s="470" t="s">
        <v>2057</v>
      </c>
      <c r="C581" s="480"/>
      <c r="D581" s="482"/>
      <c r="E581" s="482"/>
      <c r="F581" s="482"/>
      <c r="G581" s="482"/>
      <c r="H581" s="482"/>
      <c r="I581" s="482"/>
      <c r="J581" s="473"/>
      <c r="K581" s="473">
        <v>340</v>
      </c>
      <c r="L581" s="482">
        <v>340</v>
      </c>
      <c r="M581" s="482"/>
      <c r="N581" s="482"/>
      <c r="O581" s="491"/>
      <c r="P581" s="476">
        <f>SUM(C581:O582)</f>
        <v>680</v>
      </c>
    </row>
    <row r="582" spans="1:16">
      <c r="A582" s="468"/>
      <c r="B582" s="471"/>
      <c r="C582" s="480"/>
      <c r="D582" s="482"/>
      <c r="E582" s="482"/>
      <c r="F582" s="482"/>
      <c r="G582" s="482"/>
      <c r="H582" s="482"/>
      <c r="I582" s="482"/>
      <c r="J582" s="473"/>
      <c r="K582" s="473"/>
      <c r="L582" s="482"/>
      <c r="M582" s="482"/>
      <c r="N582" s="482"/>
      <c r="O582" s="492"/>
      <c r="P582" s="445"/>
    </row>
    <row r="583" spans="1:16">
      <c r="A583" s="468"/>
      <c r="B583" s="86" t="s">
        <v>363</v>
      </c>
      <c r="C583" s="73"/>
      <c r="D583" s="54"/>
      <c r="E583" s="54"/>
      <c r="F583" s="54"/>
      <c r="G583" s="54"/>
      <c r="H583" s="54"/>
      <c r="I583" s="54"/>
      <c r="J583" s="54"/>
      <c r="K583" s="65">
        <v>45936</v>
      </c>
      <c r="L583" s="65">
        <v>45971</v>
      </c>
      <c r="M583" s="54"/>
      <c r="N583" s="54"/>
      <c r="O583" s="54"/>
      <c r="P583" s="101"/>
    </row>
    <row r="584" spans="1:16">
      <c r="A584" s="501"/>
      <c r="B584" s="76" t="s">
        <v>377</v>
      </c>
      <c r="C584" s="73"/>
      <c r="D584" s="54"/>
      <c r="E584" s="54"/>
      <c r="F584" s="54"/>
      <c r="G584" s="54"/>
      <c r="H584" s="54"/>
      <c r="I584" s="54"/>
      <c r="J584" s="54"/>
      <c r="K584" s="54" t="s">
        <v>384</v>
      </c>
      <c r="L584" s="54" t="s">
        <v>384</v>
      </c>
      <c r="M584" s="54"/>
      <c r="N584" s="54"/>
      <c r="O584" s="54"/>
      <c r="P584" s="101"/>
    </row>
    <row r="585" spans="1:16" ht="15" customHeight="1">
      <c r="A585" s="467">
        <v>306</v>
      </c>
      <c r="B585" s="470" t="s">
        <v>2168</v>
      </c>
      <c r="C585" s="499"/>
      <c r="D585" s="486"/>
      <c r="E585" s="486"/>
      <c r="F585" s="486"/>
      <c r="G585" s="486"/>
      <c r="H585" s="486"/>
      <c r="I585" s="486"/>
      <c r="J585" s="486">
        <v>400</v>
      </c>
      <c r="K585" s="486">
        <v>400</v>
      </c>
      <c r="L585" s="486">
        <v>400</v>
      </c>
      <c r="M585" s="486">
        <v>400</v>
      </c>
      <c r="N585" s="486"/>
      <c r="O585" s="487"/>
      <c r="P585" s="476">
        <f>SUM(C585:O586)</f>
        <v>1600</v>
      </c>
    </row>
    <row r="586" spans="1:16">
      <c r="A586" s="468"/>
      <c r="B586" s="471"/>
      <c r="C586" s="499"/>
      <c r="D586" s="486"/>
      <c r="E586" s="486"/>
      <c r="F586" s="486"/>
      <c r="G586" s="486"/>
      <c r="H586" s="486"/>
      <c r="I586" s="486"/>
      <c r="J586" s="486"/>
      <c r="K586" s="486"/>
      <c r="L586" s="486"/>
      <c r="M586" s="486"/>
      <c r="N586" s="486"/>
      <c r="O586" s="488"/>
      <c r="P586" s="445"/>
    </row>
    <row r="587" spans="1:16">
      <c r="A587" s="468"/>
      <c r="B587" s="86" t="s">
        <v>363</v>
      </c>
      <c r="C587" s="73"/>
      <c r="D587" s="54"/>
      <c r="E587" s="54"/>
      <c r="F587" s="54"/>
      <c r="G587" s="54"/>
      <c r="H587" s="54"/>
      <c r="I587" s="54"/>
      <c r="J587" s="65">
        <v>45882</v>
      </c>
      <c r="K587" s="65">
        <v>45904</v>
      </c>
      <c r="L587" s="65">
        <v>45936</v>
      </c>
      <c r="M587" s="65">
        <v>45968</v>
      </c>
      <c r="N587" s="54"/>
      <c r="O587" s="54"/>
      <c r="P587" s="101"/>
    </row>
    <row r="588" spans="1:16">
      <c r="A588" s="478"/>
      <c r="B588" s="76" t="s">
        <v>377</v>
      </c>
      <c r="C588" s="73"/>
      <c r="D588" s="54"/>
      <c r="E588" s="54"/>
      <c r="F588" s="54"/>
      <c r="G588" s="54"/>
      <c r="H588" s="54"/>
      <c r="I588" s="54"/>
      <c r="J588" s="54" t="s">
        <v>384</v>
      </c>
      <c r="K588" s="54" t="s">
        <v>384</v>
      </c>
      <c r="L588" s="54" t="s">
        <v>384</v>
      </c>
      <c r="M588" s="54" t="s">
        <v>384</v>
      </c>
      <c r="N588" s="54"/>
      <c r="O588" s="54"/>
      <c r="P588" s="101"/>
    </row>
    <row r="589" spans="1:16" ht="15" customHeight="1">
      <c r="A589" s="467">
        <v>309</v>
      </c>
      <c r="B589" s="470" t="s">
        <v>2059</v>
      </c>
      <c r="C589" s="499"/>
      <c r="D589" s="486"/>
      <c r="E589" s="486"/>
      <c r="F589" s="486"/>
      <c r="G589" s="486"/>
      <c r="H589" s="486"/>
      <c r="I589" s="486"/>
      <c r="J589" s="486">
        <v>280</v>
      </c>
      <c r="K589" s="486">
        <v>280</v>
      </c>
      <c r="L589" s="486">
        <v>280</v>
      </c>
      <c r="M589" s="486">
        <v>280</v>
      </c>
      <c r="N589" s="486">
        <v>116.65</v>
      </c>
      <c r="O589" s="487"/>
      <c r="P589" s="476">
        <f>SUM(C589:O590)</f>
        <v>1236.6500000000001</v>
      </c>
    </row>
    <row r="590" spans="1:16">
      <c r="A590" s="468"/>
      <c r="B590" s="471"/>
      <c r="C590" s="499"/>
      <c r="D590" s="486"/>
      <c r="E590" s="486"/>
      <c r="F590" s="486"/>
      <c r="G590" s="486"/>
      <c r="H590" s="486"/>
      <c r="I590" s="486"/>
      <c r="J590" s="486"/>
      <c r="K590" s="486"/>
      <c r="L590" s="486"/>
      <c r="M590" s="486"/>
      <c r="N590" s="486"/>
      <c r="O590" s="488"/>
      <c r="P590" s="445"/>
    </row>
    <row r="591" spans="1:16">
      <c r="A591" s="468"/>
      <c r="B591" s="86" t="s">
        <v>363</v>
      </c>
      <c r="C591" s="73"/>
      <c r="D591" s="54"/>
      <c r="E591" s="54"/>
      <c r="F591" s="54"/>
      <c r="G591" s="54"/>
      <c r="H591" s="54"/>
      <c r="I591" s="54"/>
      <c r="J591" s="65">
        <v>45898</v>
      </c>
      <c r="K591" s="65">
        <v>45930</v>
      </c>
      <c r="L591" s="65">
        <v>45961</v>
      </c>
      <c r="M591" s="65">
        <v>45988</v>
      </c>
      <c r="N591" s="65">
        <v>45988</v>
      </c>
      <c r="O591" s="54"/>
      <c r="P591" s="101"/>
    </row>
    <row r="592" spans="1:16">
      <c r="A592" s="478"/>
      <c r="B592" s="76" t="s">
        <v>377</v>
      </c>
      <c r="C592" s="73"/>
      <c r="D592" s="54"/>
      <c r="E592" s="54"/>
      <c r="F592" s="54"/>
      <c r="G592" s="54"/>
      <c r="H592" s="54"/>
      <c r="I592" s="54"/>
      <c r="J592" s="54" t="s">
        <v>384</v>
      </c>
      <c r="K592" s="54" t="s">
        <v>384</v>
      </c>
      <c r="L592" s="54" t="s">
        <v>384</v>
      </c>
      <c r="M592" s="54" t="s">
        <v>384</v>
      </c>
      <c r="N592" s="54" t="s">
        <v>384</v>
      </c>
      <c r="O592" s="54"/>
      <c r="P592" s="101"/>
    </row>
    <row r="593" spans="1:16" ht="15" customHeight="1">
      <c r="A593" s="530">
        <v>314</v>
      </c>
      <c r="B593" s="489" t="s">
        <v>791</v>
      </c>
      <c r="C593" s="483">
        <v>250</v>
      </c>
      <c r="D593" s="483">
        <v>250</v>
      </c>
      <c r="E593" s="483">
        <v>250</v>
      </c>
      <c r="F593" s="483">
        <v>250</v>
      </c>
      <c r="G593" s="483">
        <v>250</v>
      </c>
      <c r="H593" s="483">
        <v>250</v>
      </c>
      <c r="I593" s="483">
        <v>250</v>
      </c>
      <c r="J593" s="483">
        <v>250</v>
      </c>
      <c r="K593" s="483">
        <v>250</v>
      </c>
      <c r="L593" s="487">
        <v>250</v>
      </c>
      <c r="M593" s="487">
        <v>250</v>
      </c>
      <c r="N593" s="487">
        <v>250</v>
      </c>
      <c r="O593" s="487"/>
      <c r="P593" s="476">
        <f>SUM(C593:O594)</f>
        <v>3000</v>
      </c>
    </row>
    <row r="594" spans="1:16">
      <c r="A594" s="531"/>
      <c r="B594" s="490"/>
      <c r="C594" s="492"/>
      <c r="D594" s="492"/>
      <c r="E594" s="492"/>
      <c r="F594" s="492"/>
      <c r="G594" s="492"/>
      <c r="H594" s="492"/>
      <c r="I594" s="492"/>
      <c r="J594" s="492"/>
      <c r="K594" s="492"/>
      <c r="L594" s="488"/>
      <c r="M594" s="488"/>
      <c r="N594" s="488"/>
      <c r="O594" s="488"/>
      <c r="P594" s="445"/>
    </row>
    <row r="595" spans="1:16">
      <c r="A595" s="531"/>
      <c r="B595" s="81" t="s">
        <v>363</v>
      </c>
      <c r="C595" s="97">
        <v>45708</v>
      </c>
      <c r="D595" s="65">
        <v>45723</v>
      </c>
      <c r="E595" s="65">
        <v>45751</v>
      </c>
      <c r="F595" s="65">
        <v>45785</v>
      </c>
      <c r="G595" s="65">
        <v>45826</v>
      </c>
      <c r="H595" s="65">
        <v>45845</v>
      </c>
      <c r="I595" s="65">
        <v>45875</v>
      </c>
      <c r="J595" s="65">
        <v>45905</v>
      </c>
      <c r="K595" s="65">
        <v>45936</v>
      </c>
      <c r="L595" s="65">
        <v>45974</v>
      </c>
      <c r="M595" s="65">
        <v>46013</v>
      </c>
      <c r="N595" s="65">
        <v>46013</v>
      </c>
      <c r="O595" s="64"/>
      <c r="P595" s="101"/>
    </row>
    <row r="596" spans="1:16">
      <c r="A596" s="532"/>
      <c r="B596" s="81" t="s">
        <v>377</v>
      </c>
      <c r="C596" s="73" t="s">
        <v>386</v>
      </c>
      <c r="D596" s="54" t="s">
        <v>386</v>
      </c>
      <c r="E596" s="54" t="s">
        <v>386</v>
      </c>
      <c r="F596" s="54" t="s">
        <v>386</v>
      </c>
      <c r="G596" s="65" t="s">
        <v>386</v>
      </c>
      <c r="H596" s="54" t="s">
        <v>386</v>
      </c>
      <c r="I596" s="54" t="s">
        <v>386</v>
      </c>
      <c r="J596" s="54" t="s">
        <v>386</v>
      </c>
      <c r="K596" s="54" t="s">
        <v>386</v>
      </c>
      <c r="L596" s="54" t="s">
        <v>386</v>
      </c>
      <c r="M596" s="54" t="s">
        <v>386</v>
      </c>
      <c r="N596" s="54" t="s">
        <v>386</v>
      </c>
      <c r="O596" s="54"/>
      <c r="P596" s="101"/>
    </row>
    <row r="597" spans="1:16" ht="15" customHeight="1">
      <c r="A597" s="485">
        <v>315</v>
      </c>
      <c r="B597" s="470" t="s">
        <v>356</v>
      </c>
      <c r="C597" s="528">
        <v>340</v>
      </c>
      <c r="D597" s="481">
        <v>340</v>
      </c>
      <c r="E597" s="481">
        <v>340</v>
      </c>
      <c r="F597" s="481">
        <v>340</v>
      </c>
      <c r="G597" s="481">
        <v>340</v>
      </c>
      <c r="H597" s="481">
        <v>340</v>
      </c>
      <c r="I597" s="473"/>
      <c r="J597" s="473">
        <v>340</v>
      </c>
      <c r="K597" s="473">
        <v>340</v>
      </c>
      <c r="L597" s="473">
        <v>340</v>
      </c>
      <c r="M597" s="473">
        <v>340</v>
      </c>
      <c r="N597" s="473"/>
      <c r="O597" s="491"/>
      <c r="P597" s="476">
        <f>SUM(C597:O598)</f>
        <v>3400</v>
      </c>
    </row>
    <row r="598" spans="1:16">
      <c r="A598" s="468"/>
      <c r="B598" s="471"/>
      <c r="C598" s="529"/>
      <c r="D598" s="482"/>
      <c r="E598" s="482"/>
      <c r="F598" s="482"/>
      <c r="G598" s="482"/>
      <c r="H598" s="482"/>
      <c r="I598" s="473"/>
      <c r="J598" s="473"/>
      <c r="K598" s="473"/>
      <c r="L598" s="473"/>
      <c r="M598" s="473"/>
      <c r="N598" s="473"/>
      <c r="O598" s="492"/>
      <c r="P598" s="445"/>
    </row>
    <row r="599" spans="1:16">
      <c r="A599" s="468"/>
      <c r="B599" s="86" t="s">
        <v>363</v>
      </c>
      <c r="C599" s="97">
        <v>45792</v>
      </c>
      <c r="D599" s="65">
        <v>45792</v>
      </c>
      <c r="E599" s="65">
        <v>45792</v>
      </c>
      <c r="F599" s="66">
        <v>45883</v>
      </c>
      <c r="G599" s="65">
        <v>45883</v>
      </c>
      <c r="H599" s="65">
        <v>45883</v>
      </c>
      <c r="I599" s="65"/>
      <c r="J599" s="65">
        <v>46000</v>
      </c>
      <c r="K599" s="65">
        <v>46000</v>
      </c>
      <c r="L599" s="65">
        <v>46000</v>
      </c>
      <c r="M599" s="65">
        <v>46000</v>
      </c>
      <c r="N599" s="54"/>
      <c r="O599" s="54"/>
      <c r="P599" s="101"/>
    </row>
    <row r="600" spans="1:16">
      <c r="A600" s="478"/>
      <c r="B600" s="76" t="s">
        <v>377</v>
      </c>
      <c r="C600" s="73" t="s">
        <v>385</v>
      </c>
      <c r="D600" s="64" t="s">
        <v>385</v>
      </c>
      <c r="E600" s="54" t="s">
        <v>385</v>
      </c>
      <c r="F600" s="54" t="s">
        <v>385</v>
      </c>
      <c r="G600" s="54" t="s">
        <v>385</v>
      </c>
      <c r="H600" s="54" t="s">
        <v>385</v>
      </c>
      <c r="I600" s="54"/>
      <c r="J600" s="54" t="s">
        <v>385</v>
      </c>
      <c r="K600" s="54" t="s">
        <v>385</v>
      </c>
      <c r="L600" s="54" t="s">
        <v>385</v>
      </c>
      <c r="M600" s="54" t="s">
        <v>385</v>
      </c>
      <c r="N600" s="54"/>
      <c r="O600" s="54"/>
      <c r="P600" s="101"/>
    </row>
    <row r="601" spans="1:16" ht="15" customHeight="1">
      <c r="A601" s="485">
        <v>319</v>
      </c>
      <c r="B601" s="470" t="s">
        <v>357</v>
      </c>
      <c r="C601" s="479">
        <v>330</v>
      </c>
      <c r="D601" s="479">
        <v>330</v>
      </c>
      <c r="E601" s="479">
        <v>330</v>
      </c>
      <c r="F601" s="479">
        <v>330</v>
      </c>
      <c r="G601" s="481">
        <v>330</v>
      </c>
      <c r="H601" s="481">
        <v>330</v>
      </c>
      <c r="I601" s="481">
        <v>330</v>
      </c>
      <c r="J601" s="481">
        <v>330</v>
      </c>
      <c r="K601" s="481">
        <v>330</v>
      </c>
      <c r="L601" s="481"/>
      <c r="M601" s="482"/>
      <c r="N601" s="482"/>
      <c r="O601" s="491"/>
      <c r="P601" s="476">
        <f>SUM(C601:O602)</f>
        <v>2970</v>
      </c>
    </row>
    <row r="602" spans="1:16">
      <c r="A602" s="468"/>
      <c r="B602" s="471"/>
      <c r="C602" s="480"/>
      <c r="D602" s="480"/>
      <c r="E602" s="480"/>
      <c r="F602" s="480"/>
      <c r="G602" s="482"/>
      <c r="H602" s="482"/>
      <c r="I602" s="482"/>
      <c r="J602" s="482"/>
      <c r="K602" s="482"/>
      <c r="L602" s="482"/>
      <c r="M602" s="482"/>
      <c r="N602" s="482"/>
      <c r="O602" s="492"/>
      <c r="P602" s="445"/>
    </row>
    <row r="603" spans="1:16">
      <c r="A603" s="468"/>
      <c r="B603" s="86" t="s">
        <v>363</v>
      </c>
      <c r="C603" s="97">
        <v>45705</v>
      </c>
      <c r="D603" s="65">
        <v>45728</v>
      </c>
      <c r="E603" s="65">
        <v>45759</v>
      </c>
      <c r="F603" s="65">
        <v>45789</v>
      </c>
      <c r="G603" s="65">
        <v>45833</v>
      </c>
      <c r="H603" s="65">
        <v>45888</v>
      </c>
      <c r="I603" s="65">
        <v>45890</v>
      </c>
      <c r="J603" s="65">
        <v>45917</v>
      </c>
      <c r="K603" s="65">
        <v>45940</v>
      </c>
      <c r="L603" s="65"/>
      <c r="M603" s="65"/>
      <c r="N603" s="54"/>
      <c r="O603" s="64"/>
      <c r="P603" s="101"/>
    </row>
    <row r="604" spans="1:16">
      <c r="A604" s="501"/>
      <c r="B604" s="76" t="s">
        <v>377</v>
      </c>
      <c r="C604" s="73" t="s">
        <v>384</v>
      </c>
      <c r="D604" s="54" t="s">
        <v>384</v>
      </c>
      <c r="E604" s="54" t="s">
        <v>384</v>
      </c>
      <c r="F604" s="54" t="s">
        <v>384</v>
      </c>
      <c r="G604" s="54" t="s">
        <v>384</v>
      </c>
      <c r="H604" s="54" t="s">
        <v>384</v>
      </c>
      <c r="I604" s="54" t="s">
        <v>384</v>
      </c>
      <c r="J604" s="54" t="s">
        <v>384</v>
      </c>
      <c r="K604" s="54" t="s">
        <v>384</v>
      </c>
      <c r="L604" s="54"/>
      <c r="M604" s="54"/>
      <c r="N604" s="54"/>
      <c r="O604" s="54"/>
      <c r="P604" s="101"/>
    </row>
    <row r="605" spans="1:16" ht="15" customHeight="1">
      <c r="A605" s="467">
        <v>343</v>
      </c>
      <c r="B605" s="470" t="s">
        <v>2058</v>
      </c>
      <c r="C605" s="480"/>
      <c r="D605" s="482"/>
      <c r="E605" s="482"/>
      <c r="F605" s="482"/>
      <c r="G605" s="482"/>
      <c r="H605" s="482"/>
      <c r="I605" s="482"/>
      <c r="J605" s="482"/>
      <c r="K605" s="482"/>
      <c r="L605" s="482">
        <v>370</v>
      </c>
      <c r="M605" s="482"/>
      <c r="N605" s="482"/>
      <c r="O605" s="491"/>
      <c r="P605" s="476">
        <f>SUM(C605:O606)</f>
        <v>370</v>
      </c>
    </row>
    <row r="606" spans="1:16">
      <c r="A606" s="468"/>
      <c r="B606" s="471"/>
      <c r="C606" s="480"/>
      <c r="D606" s="482"/>
      <c r="E606" s="482"/>
      <c r="F606" s="482"/>
      <c r="G606" s="482"/>
      <c r="H606" s="482"/>
      <c r="I606" s="482"/>
      <c r="J606" s="482"/>
      <c r="K606" s="482"/>
      <c r="L606" s="482"/>
      <c r="M606" s="482"/>
      <c r="N606" s="482"/>
      <c r="O606" s="492"/>
      <c r="P606" s="445"/>
    </row>
    <row r="607" spans="1:16">
      <c r="A607" s="468"/>
      <c r="B607" s="86" t="s">
        <v>363</v>
      </c>
      <c r="C607" s="73"/>
      <c r="D607" s="54"/>
      <c r="E607" s="54"/>
      <c r="F607" s="54"/>
      <c r="G607" s="54"/>
      <c r="H607" s="54"/>
      <c r="I607" s="54"/>
      <c r="J607" s="54"/>
      <c r="K607" s="54"/>
      <c r="L607" s="65">
        <v>45982</v>
      </c>
      <c r="M607" s="54"/>
      <c r="N607" s="54"/>
      <c r="O607" s="54"/>
      <c r="P607" s="101"/>
    </row>
    <row r="608" spans="1:16">
      <c r="A608" s="478"/>
      <c r="B608" s="76" t="s">
        <v>377</v>
      </c>
      <c r="C608" s="73"/>
      <c r="D608" s="54"/>
      <c r="E608" s="54"/>
      <c r="F608" s="54"/>
      <c r="G608" s="54"/>
      <c r="H608" s="54"/>
      <c r="I608" s="54"/>
      <c r="J608" s="54"/>
      <c r="K608" s="54"/>
      <c r="L608" s="54" t="s">
        <v>384</v>
      </c>
      <c r="M608" s="54"/>
      <c r="N608" s="54"/>
      <c r="O608" s="54"/>
      <c r="P608" s="101"/>
    </row>
    <row r="609" spans="1:16">
      <c r="A609" s="467">
        <v>344</v>
      </c>
      <c r="B609" s="470" t="s">
        <v>273</v>
      </c>
      <c r="C609" s="479">
        <v>520</v>
      </c>
      <c r="D609" s="481" t="s">
        <v>1750</v>
      </c>
      <c r="E609" s="481">
        <v>520</v>
      </c>
      <c r="F609" s="481">
        <v>520</v>
      </c>
      <c r="G609" s="481">
        <v>520</v>
      </c>
      <c r="H609" s="481">
        <v>520</v>
      </c>
      <c r="I609" s="481">
        <v>520</v>
      </c>
      <c r="J609" s="481">
        <v>520</v>
      </c>
      <c r="K609" s="481">
        <v>520</v>
      </c>
      <c r="L609" s="481">
        <v>520</v>
      </c>
      <c r="M609" s="481"/>
      <c r="N609" s="481"/>
      <c r="O609" s="491"/>
      <c r="P609" s="476">
        <f>SUM(C609:O610)</f>
        <v>4680</v>
      </c>
    </row>
    <row r="610" spans="1:16">
      <c r="A610" s="468"/>
      <c r="B610" s="496"/>
      <c r="C610" s="480"/>
      <c r="D610" s="482"/>
      <c r="E610" s="482"/>
      <c r="F610" s="482"/>
      <c r="G610" s="482"/>
      <c r="H610" s="482"/>
      <c r="I610" s="482"/>
      <c r="J610" s="482"/>
      <c r="K610" s="482"/>
      <c r="L610" s="482"/>
      <c r="M610" s="482"/>
      <c r="N610" s="482"/>
      <c r="O610" s="492"/>
      <c r="P610" s="445"/>
    </row>
    <row r="611" spans="1:16">
      <c r="A611" s="468"/>
      <c r="B611" s="86" t="s">
        <v>363</v>
      </c>
      <c r="C611" s="97">
        <v>45695</v>
      </c>
      <c r="D611" s="65">
        <v>45726</v>
      </c>
      <c r="E611" s="65">
        <v>45757</v>
      </c>
      <c r="F611" s="65">
        <v>45785</v>
      </c>
      <c r="G611" s="65">
        <v>45811</v>
      </c>
      <c r="H611" s="65">
        <v>45846</v>
      </c>
      <c r="I611" s="65">
        <v>45875</v>
      </c>
      <c r="J611" s="65">
        <v>45908</v>
      </c>
      <c r="K611" s="65">
        <v>45945</v>
      </c>
      <c r="L611" s="65">
        <v>45971</v>
      </c>
      <c r="M611" s="65"/>
      <c r="N611" s="65"/>
      <c r="O611" s="54"/>
      <c r="P611" s="101"/>
    </row>
    <row r="612" spans="1:16">
      <c r="A612" s="478"/>
      <c r="B612" s="76" t="s">
        <v>377</v>
      </c>
      <c r="C612" s="73" t="s">
        <v>384</v>
      </c>
      <c r="D612" s="54" t="s">
        <v>384</v>
      </c>
      <c r="E612" s="54" t="s">
        <v>384</v>
      </c>
      <c r="F612" s="54" t="s">
        <v>371</v>
      </c>
      <c r="G612" s="54" t="s">
        <v>384</v>
      </c>
      <c r="H612" s="54" t="s">
        <v>384</v>
      </c>
      <c r="I612" s="54" t="s">
        <v>384</v>
      </c>
      <c r="J612" s="54" t="s">
        <v>384</v>
      </c>
      <c r="K612" s="54" t="s">
        <v>384</v>
      </c>
      <c r="L612" s="54" t="s">
        <v>384</v>
      </c>
      <c r="M612" s="54"/>
      <c r="N612" s="54"/>
      <c r="O612" s="54"/>
      <c r="P612" s="101"/>
    </row>
    <row r="613" spans="1:16" ht="25.5" customHeight="1">
      <c r="A613" s="467">
        <v>349</v>
      </c>
      <c r="B613" s="470" t="s">
        <v>2165</v>
      </c>
      <c r="C613" s="479"/>
      <c r="D613" s="481"/>
      <c r="E613" s="479"/>
      <c r="F613" s="481" t="s">
        <v>2208</v>
      </c>
      <c r="G613" s="479"/>
      <c r="H613" s="481"/>
      <c r="I613" s="479"/>
      <c r="J613" s="481"/>
      <c r="K613" s="479">
        <v>290</v>
      </c>
      <c r="L613" s="481">
        <v>290</v>
      </c>
      <c r="M613" s="479">
        <v>290</v>
      </c>
      <c r="N613" s="479">
        <v>72</v>
      </c>
      <c r="O613" s="483"/>
      <c r="P613" s="477">
        <f>SUM(C613:O614)</f>
        <v>942</v>
      </c>
    </row>
    <row r="614" spans="1:16">
      <c r="A614" s="468"/>
      <c r="B614" s="471"/>
      <c r="C614" s="480"/>
      <c r="D614" s="482"/>
      <c r="E614" s="480"/>
      <c r="F614" s="482"/>
      <c r="G614" s="480"/>
      <c r="H614" s="482"/>
      <c r="I614" s="480"/>
      <c r="J614" s="482"/>
      <c r="K614" s="480"/>
      <c r="L614" s="482"/>
      <c r="M614" s="480"/>
      <c r="N614" s="480"/>
      <c r="O614" s="484"/>
      <c r="P614" s="477"/>
    </row>
    <row r="615" spans="1:16">
      <c r="A615" s="468"/>
      <c r="B615" s="76" t="s">
        <v>363</v>
      </c>
      <c r="C615" s="97"/>
      <c r="D615" s="65"/>
      <c r="E615" s="97"/>
      <c r="F615" s="65"/>
      <c r="G615" s="97"/>
      <c r="H615" s="65"/>
      <c r="I615" s="97"/>
      <c r="J615" s="65"/>
      <c r="K615" s="97">
        <v>45936</v>
      </c>
      <c r="L615" s="65">
        <v>45974</v>
      </c>
      <c r="M615" s="97">
        <v>45996</v>
      </c>
      <c r="N615" s="97">
        <v>45996</v>
      </c>
      <c r="O615" s="65"/>
      <c r="P615" s="101"/>
    </row>
    <row r="616" spans="1:16">
      <c r="A616" s="478"/>
      <c r="B616" s="76" t="s">
        <v>377</v>
      </c>
      <c r="C616" s="426"/>
      <c r="D616" s="425"/>
      <c r="E616" s="73"/>
      <c r="F616" s="54"/>
      <c r="G616" s="73"/>
      <c r="H616" s="54"/>
      <c r="I616" s="73"/>
      <c r="J616" s="54"/>
      <c r="K616" s="73" t="s">
        <v>386</v>
      </c>
      <c r="L616" s="54" t="s">
        <v>386</v>
      </c>
      <c r="M616" s="73" t="s">
        <v>386</v>
      </c>
      <c r="N616" s="73" t="s">
        <v>386</v>
      </c>
      <c r="O616" s="54"/>
      <c r="P616" s="101"/>
    </row>
    <row r="617" spans="1:16" ht="15" customHeight="1">
      <c r="A617" s="485">
        <v>451</v>
      </c>
      <c r="B617" s="470" t="s">
        <v>360</v>
      </c>
      <c r="C617" s="472"/>
      <c r="D617" s="473">
        <v>140</v>
      </c>
      <c r="E617" s="479"/>
      <c r="F617" s="481">
        <v>140</v>
      </c>
      <c r="G617" s="479">
        <v>140</v>
      </c>
      <c r="H617" s="481">
        <v>140</v>
      </c>
      <c r="I617" s="482"/>
      <c r="J617" s="482"/>
      <c r="K617" s="481">
        <v>140</v>
      </c>
      <c r="L617" s="481"/>
      <c r="M617" s="481"/>
      <c r="N617" s="481"/>
      <c r="O617" s="491"/>
      <c r="P617" s="476">
        <f>SUM(C617:O618)</f>
        <v>700</v>
      </c>
    </row>
    <row r="618" spans="1:16">
      <c r="A618" s="468"/>
      <c r="B618" s="471"/>
      <c r="C618" s="472"/>
      <c r="D618" s="473"/>
      <c r="E618" s="480"/>
      <c r="F618" s="482"/>
      <c r="G618" s="480"/>
      <c r="H618" s="482"/>
      <c r="I618" s="482"/>
      <c r="J618" s="482"/>
      <c r="K618" s="482"/>
      <c r="L618" s="482"/>
      <c r="M618" s="482"/>
      <c r="N618" s="482"/>
      <c r="O618" s="492"/>
      <c r="P618" s="445"/>
    </row>
    <row r="619" spans="1:16">
      <c r="A619" s="468"/>
      <c r="B619" s="76" t="s">
        <v>363</v>
      </c>
      <c r="C619" s="97"/>
      <c r="D619" s="65">
        <v>45722</v>
      </c>
      <c r="E619" s="65"/>
      <c r="F619" s="65">
        <v>45783</v>
      </c>
      <c r="G619" s="65">
        <v>45811</v>
      </c>
      <c r="H619" s="65">
        <v>45875</v>
      </c>
      <c r="I619" s="65"/>
      <c r="J619" s="65"/>
      <c r="K619" s="65">
        <v>45933</v>
      </c>
      <c r="L619" s="65"/>
      <c r="M619" s="65"/>
      <c r="N619" s="65"/>
      <c r="O619" s="64"/>
      <c r="P619" s="101"/>
    </row>
    <row r="620" spans="1:16">
      <c r="A620" s="478"/>
      <c r="B620" s="77" t="s">
        <v>377</v>
      </c>
      <c r="C620" s="73"/>
      <c r="D620" s="54" t="s">
        <v>386</v>
      </c>
      <c r="E620" s="54"/>
      <c r="F620" s="54" t="s">
        <v>386</v>
      </c>
      <c r="G620" s="54" t="s">
        <v>386</v>
      </c>
      <c r="H620" s="54" t="s">
        <v>386</v>
      </c>
      <c r="I620" s="54"/>
      <c r="J620" s="54"/>
      <c r="K620" s="54" t="s">
        <v>386</v>
      </c>
      <c r="L620" s="54"/>
      <c r="M620" s="54"/>
      <c r="N620" s="54"/>
      <c r="O620" s="54"/>
      <c r="P620" s="101"/>
    </row>
    <row r="621" spans="1:16" s="101" customFormat="1" ht="26.25" customHeight="1">
      <c r="A621" s="468">
        <v>605</v>
      </c>
      <c r="B621" s="470" t="s">
        <v>361</v>
      </c>
      <c r="C621" s="473"/>
      <c r="D621" s="473">
        <v>250</v>
      </c>
      <c r="E621" s="481">
        <v>250</v>
      </c>
      <c r="F621" s="481">
        <v>250</v>
      </c>
      <c r="G621" s="481">
        <v>250</v>
      </c>
      <c r="H621" s="481">
        <v>250</v>
      </c>
      <c r="I621" s="481">
        <v>250</v>
      </c>
      <c r="J621" s="481">
        <v>250</v>
      </c>
      <c r="K621" s="486">
        <v>250</v>
      </c>
      <c r="L621" s="486">
        <v>250</v>
      </c>
      <c r="M621" s="486">
        <v>250</v>
      </c>
      <c r="N621" s="486">
        <v>250</v>
      </c>
      <c r="O621" s="487"/>
      <c r="P621" s="476">
        <f>SUM(C621:O622)</f>
        <v>2750</v>
      </c>
    </row>
    <row r="622" spans="1:16">
      <c r="A622" s="468"/>
      <c r="B622" s="471"/>
      <c r="C622" s="473"/>
      <c r="D622" s="473"/>
      <c r="E622" s="482"/>
      <c r="F622" s="482"/>
      <c r="G622" s="482"/>
      <c r="H622" s="482"/>
      <c r="I622" s="482"/>
      <c r="J622" s="482"/>
      <c r="K622" s="486"/>
      <c r="L622" s="486"/>
      <c r="M622" s="486"/>
      <c r="N622" s="486"/>
      <c r="O622" s="488"/>
      <c r="P622" s="445"/>
    </row>
    <row r="623" spans="1:16">
      <c r="A623" s="468"/>
      <c r="B623" s="86" t="s">
        <v>363</v>
      </c>
      <c r="C623" s="97"/>
      <c r="D623" s="65">
        <v>45727</v>
      </c>
      <c r="E623" s="65">
        <v>45756</v>
      </c>
      <c r="F623" s="65">
        <v>45791</v>
      </c>
      <c r="G623" s="65">
        <v>45813</v>
      </c>
      <c r="H623" s="65">
        <v>45847</v>
      </c>
      <c r="I623" s="65">
        <v>45883</v>
      </c>
      <c r="J623" s="65">
        <v>45912</v>
      </c>
      <c r="K623" s="65">
        <v>45937</v>
      </c>
      <c r="L623" s="65">
        <v>45967</v>
      </c>
      <c r="M623" s="65">
        <v>46002</v>
      </c>
      <c r="N623" s="65">
        <v>46002</v>
      </c>
      <c r="O623" s="64"/>
      <c r="P623" s="101"/>
    </row>
    <row r="624" spans="1:16" ht="15" customHeight="1">
      <c r="A624" s="478"/>
      <c r="B624" s="76" t="s">
        <v>377</v>
      </c>
      <c r="C624" s="73"/>
      <c r="D624" s="54" t="s">
        <v>385</v>
      </c>
      <c r="E624" s="54" t="s">
        <v>385</v>
      </c>
      <c r="F624" s="54" t="s">
        <v>385</v>
      </c>
      <c r="G624" s="54" t="s">
        <v>385</v>
      </c>
      <c r="H624" s="54" t="s">
        <v>385</v>
      </c>
      <c r="I624" s="54" t="s">
        <v>385</v>
      </c>
      <c r="J624" s="54" t="s">
        <v>385</v>
      </c>
      <c r="K624" s="54" t="s">
        <v>385</v>
      </c>
      <c r="L624" s="54" t="s">
        <v>385</v>
      </c>
      <c r="M624" s="54" t="s">
        <v>385</v>
      </c>
      <c r="N624" s="54" t="s">
        <v>385</v>
      </c>
      <c r="O624" s="54"/>
      <c r="P624" s="101"/>
    </row>
    <row r="625" spans="1:16" ht="25.5" customHeight="1">
      <c r="A625" s="467">
        <v>615</v>
      </c>
      <c r="B625" s="470" t="s">
        <v>2164</v>
      </c>
      <c r="C625" s="479"/>
      <c r="D625" s="481"/>
      <c r="E625" s="479"/>
      <c r="F625" s="481"/>
      <c r="G625" s="479"/>
      <c r="H625" s="481"/>
      <c r="I625" s="479"/>
      <c r="J625" s="481"/>
      <c r="K625" s="479"/>
      <c r="L625" s="481">
        <v>290</v>
      </c>
      <c r="M625" s="479">
        <v>290</v>
      </c>
      <c r="N625" s="479">
        <v>72</v>
      </c>
      <c r="O625" s="483"/>
      <c r="P625" s="477">
        <f>SUM(C625:O626)</f>
        <v>652</v>
      </c>
    </row>
    <row r="626" spans="1:16">
      <c r="A626" s="468"/>
      <c r="B626" s="471"/>
      <c r="C626" s="480"/>
      <c r="D626" s="482"/>
      <c r="E626" s="480"/>
      <c r="F626" s="482"/>
      <c r="G626" s="480"/>
      <c r="H626" s="482"/>
      <c r="I626" s="480"/>
      <c r="J626" s="482"/>
      <c r="K626" s="480"/>
      <c r="L626" s="482"/>
      <c r="M626" s="480"/>
      <c r="N626" s="480"/>
      <c r="O626" s="484"/>
      <c r="P626" s="477"/>
    </row>
    <row r="627" spans="1:16">
      <c r="A627" s="468"/>
      <c r="B627" s="76" t="s">
        <v>363</v>
      </c>
      <c r="C627" s="97"/>
      <c r="D627" s="65"/>
      <c r="E627" s="97"/>
      <c r="F627" s="65"/>
      <c r="G627" s="97"/>
      <c r="H627" s="65"/>
      <c r="I627" s="97"/>
      <c r="J627" s="65"/>
      <c r="K627" s="97"/>
      <c r="L627" s="65">
        <v>45966</v>
      </c>
      <c r="M627" s="97">
        <v>45994</v>
      </c>
      <c r="N627" s="97">
        <v>45994</v>
      </c>
      <c r="O627" s="65"/>
      <c r="P627" s="101"/>
    </row>
    <row r="628" spans="1:16" ht="18.75" customHeight="1">
      <c r="A628" s="478"/>
      <c r="B628" s="76" t="s">
        <v>377</v>
      </c>
      <c r="C628" s="73"/>
      <c r="D628" s="54"/>
      <c r="E628" s="73"/>
      <c r="F628" s="54"/>
      <c r="G628" s="73"/>
      <c r="H628" s="54"/>
      <c r="I628" s="73"/>
      <c r="J628" s="54"/>
      <c r="K628" s="73"/>
      <c r="L628" s="54" t="s">
        <v>386</v>
      </c>
      <c r="M628" s="73" t="s">
        <v>386</v>
      </c>
      <c r="N628" s="73" t="s">
        <v>386</v>
      </c>
      <c r="O628" s="54"/>
      <c r="P628" s="101"/>
    </row>
    <row r="629" spans="1:16" ht="25.5" customHeight="1">
      <c r="A629" s="467">
        <v>620</v>
      </c>
      <c r="B629" s="470"/>
      <c r="C629" s="479"/>
      <c r="D629" s="481"/>
      <c r="E629" s="479"/>
      <c r="F629" s="481"/>
      <c r="G629" s="479"/>
      <c r="H629" s="481"/>
      <c r="I629" s="479"/>
      <c r="J629" s="481"/>
      <c r="K629" s="479"/>
      <c r="L629" s="481"/>
      <c r="M629" s="479"/>
      <c r="N629" s="479"/>
      <c r="O629" s="483"/>
      <c r="P629" s="477">
        <f>SUM(C629:O630)</f>
        <v>0</v>
      </c>
    </row>
    <row r="630" spans="1:16">
      <c r="A630" s="468"/>
      <c r="B630" s="471"/>
      <c r="C630" s="480"/>
      <c r="D630" s="482"/>
      <c r="E630" s="480"/>
      <c r="F630" s="482"/>
      <c r="G630" s="480"/>
      <c r="H630" s="482"/>
      <c r="I630" s="480"/>
      <c r="J630" s="482"/>
      <c r="K630" s="480"/>
      <c r="L630" s="482"/>
      <c r="M630" s="480"/>
      <c r="N630" s="480"/>
      <c r="O630" s="484"/>
      <c r="P630" s="477"/>
    </row>
    <row r="631" spans="1:16">
      <c r="A631" s="468"/>
      <c r="B631" s="76"/>
      <c r="C631" s="97"/>
      <c r="D631" s="65"/>
      <c r="E631" s="97"/>
      <c r="F631" s="65"/>
      <c r="G631" s="97"/>
      <c r="H631" s="65"/>
      <c r="I631" s="97"/>
      <c r="J631" s="65"/>
      <c r="K631" s="97"/>
      <c r="L631" s="65"/>
      <c r="M631" s="97"/>
      <c r="N631" s="97"/>
      <c r="O631" s="65"/>
      <c r="P631" s="101"/>
    </row>
    <row r="632" spans="1:16">
      <c r="A632" s="478"/>
      <c r="B632" s="76"/>
      <c r="C632" s="73"/>
      <c r="D632" s="54"/>
      <c r="E632" s="73"/>
      <c r="F632" s="54"/>
      <c r="G632" s="73"/>
      <c r="H632" s="54"/>
      <c r="I632" s="73"/>
      <c r="J632" s="54"/>
      <c r="K632" s="73"/>
      <c r="L632" s="54"/>
      <c r="M632" s="73"/>
      <c r="N632" s="73"/>
      <c r="O632" s="54"/>
      <c r="P632" s="101"/>
    </row>
    <row r="633" spans="1:16" ht="25.5" customHeight="1">
      <c r="A633" s="467">
        <v>723</v>
      </c>
      <c r="B633" s="470" t="s">
        <v>2197</v>
      </c>
      <c r="C633" s="479"/>
      <c r="D633" s="481"/>
      <c r="E633" s="479">
        <v>300</v>
      </c>
      <c r="F633" s="481">
        <v>300</v>
      </c>
      <c r="G633" s="479">
        <v>300</v>
      </c>
      <c r="H633" s="481">
        <v>300</v>
      </c>
      <c r="I633" s="479">
        <v>300</v>
      </c>
      <c r="J633" s="481">
        <v>300</v>
      </c>
      <c r="K633" s="479">
        <v>300</v>
      </c>
      <c r="L633" s="481">
        <v>300</v>
      </c>
      <c r="M633" s="479"/>
      <c r="N633" s="479"/>
      <c r="O633" s="483"/>
      <c r="P633" s="477">
        <f>SUM(C633:O634)</f>
        <v>2400</v>
      </c>
    </row>
    <row r="634" spans="1:16">
      <c r="A634" s="468"/>
      <c r="B634" s="471"/>
      <c r="C634" s="480"/>
      <c r="D634" s="482"/>
      <c r="E634" s="480"/>
      <c r="F634" s="482"/>
      <c r="G634" s="480"/>
      <c r="H634" s="482"/>
      <c r="I634" s="480"/>
      <c r="J634" s="482"/>
      <c r="K634" s="480"/>
      <c r="L634" s="482"/>
      <c r="M634" s="480"/>
      <c r="N634" s="480"/>
      <c r="O634" s="484"/>
      <c r="P634" s="477"/>
    </row>
    <row r="635" spans="1:16">
      <c r="A635" s="468"/>
      <c r="B635" s="76" t="s">
        <v>363</v>
      </c>
      <c r="C635" s="97"/>
      <c r="D635" s="65"/>
      <c r="E635" s="97">
        <v>45769</v>
      </c>
      <c r="F635" s="65">
        <v>45769</v>
      </c>
      <c r="G635" s="97">
        <v>45826</v>
      </c>
      <c r="H635" s="65">
        <v>45826</v>
      </c>
      <c r="I635" s="97">
        <v>45867</v>
      </c>
      <c r="J635" s="65">
        <v>45957</v>
      </c>
      <c r="K635" s="97">
        <v>45957</v>
      </c>
      <c r="L635" s="65">
        <v>45957</v>
      </c>
      <c r="M635" s="97"/>
      <c r="N635" s="97"/>
      <c r="O635" s="65"/>
      <c r="P635" s="101"/>
    </row>
    <row r="636" spans="1:16">
      <c r="A636" s="478"/>
      <c r="B636" s="76" t="s">
        <v>377</v>
      </c>
      <c r="C636" s="73"/>
      <c r="D636" s="54"/>
      <c r="E636" s="73" t="s">
        <v>384</v>
      </c>
      <c r="F636" s="54" t="s">
        <v>384</v>
      </c>
      <c r="G636" s="73" t="s">
        <v>384</v>
      </c>
      <c r="H636" s="54" t="s">
        <v>384</v>
      </c>
      <c r="I636" s="73" t="s">
        <v>384</v>
      </c>
      <c r="J636" s="54" t="s">
        <v>384</v>
      </c>
      <c r="K636" s="73" t="s">
        <v>384</v>
      </c>
      <c r="L636" s="54" t="s">
        <v>384</v>
      </c>
      <c r="M636" s="73"/>
      <c r="N636" s="73"/>
      <c r="O636" s="54"/>
      <c r="P636" s="101"/>
    </row>
    <row r="637" spans="1:16" ht="25.5" customHeight="1">
      <c r="A637" s="467">
        <v>740</v>
      </c>
      <c r="B637" s="470" t="s">
        <v>136</v>
      </c>
      <c r="C637" s="479"/>
      <c r="D637" s="481"/>
      <c r="E637" s="479"/>
      <c r="F637" s="481"/>
      <c r="G637" s="479"/>
      <c r="H637" s="481"/>
      <c r="I637" s="479"/>
      <c r="J637" s="481"/>
      <c r="K637" s="479"/>
      <c r="L637" s="481"/>
      <c r="M637" s="479"/>
      <c r="N637" s="479"/>
      <c r="O637" s="483"/>
      <c r="P637" s="477">
        <f>SUM(C637:O638)</f>
        <v>0</v>
      </c>
    </row>
    <row r="638" spans="1:16">
      <c r="A638" s="468"/>
      <c r="B638" s="471"/>
      <c r="C638" s="480"/>
      <c r="D638" s="482"/>
      <c r="E638" s="480"/>
      <c r="F638" s="482"/>
      <c r="G638" s="480"/>
      <c r="H638" s="482"/>
      <c r="I638" s="480"/>
      <c r="J638" s="482"/>
      <c r="K638" s="480"/>
      <c r="L638" s="482"/>
      <c r="M638" s="480"/>
      <c r="N638" s="480"/>
      <c r="O638" s="484"/>
      <c r="P638" s="477"/>
    </row>
    <row r="639" spans="1:16">
      <c r="A639" s="468"/>
      <c r="B639" s="76" t="s">
        <v>363</v>
      </c>
      <c r="C639" s="97"/>
      <c r="D639" s="65"/>
      <c r="E639" s="97"/>
      <c r="F639" s="65"/>
      <c r="G639" s="97"/>
      <c r="H639" s="65"/>
      <c r="I639" s="97"/>
      <c r="J639" s="65"/>
      <c r="K639" s="97"/>
      <c r="L639" s="65"/>
      <c r="M639" s="97"/>
      <c r="N639" s="97"/>
      <c r="O639" s="65"/>
      <c r="P639" s="101"/>
    </row>
    <row r="640" spans="1:16">
      <c r="A640" s="478"/>
      <c r="B640" s="76" t="s">
        <v>377</v>
      </c>
      <c r="C640" s="73"/>
      <c r="D640" s="54"/>
      <c r="E640" s="73"/>
      <c r="F640" s="54"/>
      <c r="G640" s="73"/>
      <c r="H640" s="54"/>
      <c r="I640" s="73"/>
      <c r="J640" s="54"/>
      <c r="K640" s="73"/>
      <c r="L640" s="54"/>
      <c r="M640" s="73"/>
      <c r="N640" s="73"/>
      <c r="O640" s="54"/>
      <c r="P640" s="101"/>
    </row>
    <row r="641" spans="1:16" ht="15" customHeight="1" thickBot="1">
      <c r="A641" s="511"/>
      <c r="B641" s="511"/>
      <c r="C641" s="514" t="s">
        <v>387</v>
      </c>
      <c r="D641" s="515"/>
      <c r="E641" s="515"/>
      <c r="F641" s="516"/>
      <c r="G641" s="523"/>
      <c r="H641" s="523"/>
      <c r="I641" s="523"/>
      <c r="J641" s="523"/>
      <c r="K641" s="523"/>
      <c r="L641" s="523"/>
      <c r="M641" s="523"/>
      <c r="N641" s="523"/>
      <c r="O641" s="525"/>
      <c r="P641" s="527">
        <f>SUM(C641:O642)</f>
        <v>0</v>
      </c>
    </row>
    <row r="642" spans="1:16" ht="15.75" thickBot="1">
      <c r="A642" s="512"/>
      <c r="B642" s="512"/>
      <c r="C642" s="517"/>
      <c r="D642" s="518"/>
      <c r="E642" s="518"/>
      <c r="F642" s="519"/>
      <c r="G642" s="524"/>
      <c r="H642" s="524"/>
      <c r="I642" s="524"/>
      <c r="J642" s="524"/>
      <c r="K642" s="524"/>
      <c r="L642" s="524"/>
      <c r="M642" s="524"/>
      <c r="N642" s="524"/>
      <c r="O642" s="526"/>
      <c r="P642" s="527"/>
    </row>
    <row r="643" spans="1:16" ht="15.75" thickBot="1">
      <c r="A643" s="512"/>
      <c r="B643" s="120"/>
      <c r="C643" s="517"/>
      <c r="D643" s="518"/>
      <c r="E643" s="518"/>
      <c r="F643" s="519"/>
      <c r="G643" s="121"/>
      <c r="H643" s="121"/>
      <c r="I643" s="121"/>
      <c r="J643" s="121"/>
      <c r="K643" s="121"/>
      <c r="L643" s="121"/>
      <c r="M643" s="121"/>
      <c r="N643" s="121"/>
      <c r="O643" s="242"/>
      <c r="P643" s="243"/>
    </row>
    <row r="644" spans="1:16">
      <c r="A644" s="513"/>
      <c r="B644" s="123"/>
      <c r="C644" s="520"/>
      <c r="D644" s="521"/>
      <c r="E644" s="521"/>
      <c r="F644" s="522"/>
      <c r="G644" s="124"/>
      <c r="H644" s="124"/>
      <c r="I644" s="124"/>
      <c r="J644" s="124"/>
      <c r="K644" s="124"/>
      <c r="L644" s="124"/>
      <c r="M644" s="124"/>
      <c r="N644" s="124"/>
      <c r="O644" s="244"/>
      <c r="P644" s="243"/>
    </row>
    <row r="645" spans="1:16" ht="17.25" customHeight="1">
      <c r="A645" s="467"/>
      <c r="B645" s="506" t="s">
        <v>388</v>
      </c>
      <c r="C645" s="508"/>
      <c r="D645" s="502"/>
      <c r="E645" s="502"/>
      <c r="F645" s="502"/>
      <c r="G645" s="502"/>
      <c r="H645" s="502"/>
      <c r="I645" s="502"/>
      <c r="J645" s="502"/>
      <c r="K645" s="502"/>
      <c r="L645" s="502"/>
      <c r="M645" s="502"/>
      <c r="N645" s="502"/>
      <c r="O645" s="510"/>
      <c r="P645" s="477">
        <f>SUM(C645:O646)</f>
        <v>0</v>
      </c>
    </row>
    <row r="646" spans="1:16">
      <c r="A646" s="468"/>
      <c r="B646" s="507"/>
      <c r="C646" s="509"/>
      <c r="D646" s="503"/>
      <c r="E646" s="503"/>
      <c r="F646" s="503"/>
      <c r="G646" s="503"/>
      <c r="H646" s="503"/>
      <c r="I646" s="503"/>
      <c r="J646" s="503"/>
      <c r="K646" s="503"/>
      <c r="L646" s="503"/>
      <c r="M646" s="503"/>
      <c r="N646" s="503"/>
      <c r="O646" s="502"/>
      <c r="P646" s="477"/>
    </row>
    <row r="647" spans="1:16">
      <c r="A647" s="468"/>
      <c r="B647" s="81" t="s">
        <v>363</v>
      </c>
      <c r="C647" s="72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101"/>
    </row>
    <row r="648" spans="1:16">
      <c r="A648" s="478"/>
      <c r="B648" s="76" t="s">
        <v>377</v>
      </c>
      <c r="C648" s="73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101"/>
    </row>
    <row r="649" spans="1:16" ht="15" customHeight="1">
      <c r="A649" s="485">
        <v>719</v>
      </c>
      <c r="B649" s="470" t="s">
        <v>996</v>
      </c>
      <c r="C649" s="480"/>
      <c r="D649" s="482"/>
      <c r="E649" s="482"/>
      <c r="F649" s="482"/>
      <c r="G649" s="482"/>
      <c r="H649" s="482"/>
      <c r="I649" s="482"/>
      <c r="J649" s="482"/>
      <c r="K649" s="482"/>
      <c r="L649" s="482"/>
      <c r="M649" s="482"/>
      <c r="N649" s="482"/>
      <c r="O649" s="491"/>
      <c r="P649" s="477">
        <f>SUM(C649:O650)</f>
        <v>0</v>
      </c>
    </row>
    <row r="650" spans="1:16">
      <c r="A650" s="468"/>
      <c r="B650" s="471"/>
      <c r="C650" s="480"/>
      <c r="D650" s="482"/>
      <c r="E650" s="482"/>
      <c r="F650" s="482"/>
      <c r="G650" s="482"/>
      <c r="H650" s="482"/>
      <c r="I650" s="482"/>
      <c r="J650" s="482"/>
      <c r="K650" s="482"/>
      <c r="L650" s="482"/>
      <c r="M650" s="482"/>
      <c r="N650" s="482"/>
      <c r="O650" s="492"/>
      <c r="P650" s="477"/>
    </row>
    <row r="651" spans="1:16">
      <c r="A651" s="468"/>
      <c r="B651" s="76" t="s">
        <v>363</v>
      </c>
      <c r="C651" s="97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101"/>
    </row>
    <row r="652" spans="1:16">
      <c r="A652" s="501"/>
      <c r="B652" s="92" t="s">
        <v>377</v>
      </c>
      <c r="C652" s="98"/>
      <c r="D652" s="118"/>
      <c r="E652" s="118"/>
      <c r="F652" s="118"/>
      <c r="G652" s="118"/>
      <c r="H652" s="118"/>
      <c r="I652" s="118"/>
      <c r="J652" s="118"/>
      <c r="K652" s="118"/>
      <c r="L652" s="118"/>
      <c r="M652" s="118"/>
      <c r="N652" s="118"/>
      <c r="O652" s="118"/>
      <c r="P652" s="101"/>
    </row>
    <row r="653" spans="1:16" ht="15" customHeight="1">
      <c r="A653" s="470">
        <v>904</v>
      </c>
      <c r="B653" s="489" t="s">
        <v>997</v>
      </c>
      <c r="C653" s="480"/>
      <c r="D653" s="482"/>
      <c r="E653" s="482"/>
      <c r="F653" s="482"/>
      <c r="G653" s="482"/>
      <c r="H653" s="482"/>
      <c r="I653" s="482"/>
      <c r="J653" s="482"/>
      <c r="K653" s="482"/>
      <c r="L653" s="482"/>
      <c r="M653" s="482"/>
      <c r="N653" s="482"/>
      <c r="O653" s="491"/>
      <c r="P653" s="477">
        <f>SUM(C653:O654)</f>
        <v>0</v>
      </c>
    </row>
    <row r="654" spans="1:16">
      <c r="A654" s="496"/>
      <c r="B654" s="490"/>
      <c r="C654" s="480"/>
      <c r="D654" s="482"/>
      <c r="E654" s="482"/>
      <c r="F654" s="482"/>
      <c r="G654" s="482"/>
      <c r="H654" s="482"/>
      <c r="I654" s="482"/>
      <c r="J654" s="482"/>
      <c r="K654" s="482"/>
      <c r="L654" s="482"/>
      <c r="M654" s="482"/>
      <c r="N654" s="482"/>
      <c r="O654" s="492"/>
      <c r="P654" s="477"/>
    </row>
    <row r="655" spans="1:16">
      <c r="A655" s="496"/>
      <c r="B655" s="78" t="s">
        <v>363</v>
      </c>
      <c r="C655" s="97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101"/>
    </row>
    <row r="656" spans="1:16">
      <c r="A656" s="471"/>
      <c r="B656" s="80" t="s">
        <v>377</v>
      </c>
      <c r="C656" s="98"/>
      <c r="D656" s="118"/>
      <c r="E656" s="118"/>
      <c r="F656" s="118"/>
      <c r="G656" s="118"/>
      <c r="H656" s="118"/>
      <c r="I656" s="118"/>
      <c r="J656" s="118"/>
      <c r="K656" s="118"/>
      <c r="L656" s="118"/>
      <c r="M656" s="118"/>
      <c r="N656" s="118"/>
      <c r="O656" s="118"/>
      <c r="P656" s="101"/>
    </row>
    <row r="657" spans="1:16" ht="15" customHeight="1">
      <c r="A657" s="470">
        <v>239</v>
      </c>
      <c r="B657" s="489" t="s">
        <v>1021</v>
      </c>
      <c r="C657" s="480"/>
      <c r="D657" s="482"/>
      <c r="E657" s="482"/>
      <c r="F657" s="482"/>
      <c r="G657" s="482"/>
      <c r="H657" s="482"/>
      <c r="I657" s="482"/>
      <c r="J657" s="482"/>
      <c r="K657" s="482"/>
      <c r="L657" s="482"/>
      <c r="M657" s="482"/>
      <c r="N657" s="482"/>
      <c r="O657" s="491"/>
      <c r="P657" s="477">
        <f>SUM(C657:O658)</f>
        <v>0</v>
      </c>
    </row>
    <row r="658" spans="1:16">
      <c r="A658" s="496"/>
      <c r="B658" s="490"/>
      <c r="C658" s="480"/>
      <c r="D658" s="482"/>
      <c r="E658" s="482"/>
      <c r="F658" s="482"/>
      <c r="G658" s="482"/>
      <c r="H658" s="482"/>
      <c r="I658" s="482"/>
      <c r="J658" s="482"/>
      <c r="K658" s="482"/>
      <c r="L658" s="482"/>
      <c r="M658" s="482"/>
      <c r="N658" s="482"/>
      <c r="O658" s="492"/>
      <c r="P658" s="477"/>
    </row>
    <row r="659" spans="1:16">
      <c r="A659" s="496"/>
      <c r="B659" s="78" t="s">
        <v>363</v>
      </c>
      <c r="C659" s="97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101"/>
    </row>
    <row r="660" spans="1:16">
      <c r="A660" s="471"/>
      <c r="B660" s="80" t="s">
        <v>377</v>
      </c>
      <c r="C660" s="98"/>
      <c r="D660" s="118"/>
      <c r="E660" s="118"/>
      <c r="F660" s="118"/>
      <c r="G660" s="118"/>
      <c r="H660" s="118"/>
      <c r="I660" s="118"/>
      <c r="J660" s="118"/>
      <c r="K660" s="118"/>
      <c r="L660" s="118"/>
      <c r="M660" s="118"/>
      <c r="N660" s="118"/>
      <c r="O660" s="118"/>
      <c r="P660" s="101"/>
    </row>
    <row r="661" spans="1:16" ht="15" customHeight="1">
      <c r="A661" s="470">
        <v>703</v>
      </c>
      <c r="B661" s="489" t="s">
        <v>1078</v>
      </c>
      <c r="C661" s="480"/>
      <c r="D661" s="482"/>
      <c r="E661" s="482"/>
      <c r="F661" s="482"/>
      <c r="G661" s="482"/>
      <c r="H661" s="482"/>
      <c r="I661" s="482"/>
      <c r="J661" s="482"/>
      <c r="K661" s="482"/>
      <c r="L661" s="482"/>
      <c r="M661" s="482"/>
      <c r="N661" s="482"/>
      <c r="O661" s="491"/>
      <c r="P661" s="477">
        <f>SUM(C661:O662)</f>
        <v>0</v>
      </c>
    </row>
    <row r="662" spans="1:16">
      <c r="A662" s="496"/>
      <c r="B662" s="490"/>
      <c r="C662" s="480"/>
      <c r="D662" s="482"/>
      <c r="E662" s="482"/>
      <c r="F662" s="482"/>
      <c r="G662" s="482"/>
      <c r="H662" s="482"/>
      <c r="I662" s="482"/>
      <c r="J662" s="482"/>
      <c r="K662" s="482"/>
      <c r="L662" s="482"/>
      <c r="M662" s="482"/>
      <c r="N662" s="482"/>
      <c r="O662" s="492"/>
      <c r="P662" s="477"/>
    </row>
    <row r="663" spans="1:16">
      <c r="A663" s="496"/>
      <c r="B663" s="78" t="s">
        <v>363</v>
      </c>
      <c r="C663" s="97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101"/>
    </row>
    <row r="664" spans="1:16">
      <c r="A664" s="471"/>
      <c r="B664" s="80" t="s">
        <v>377</v>
      </c>
      <c r="C664" s="98"/>
      <c r="D664" s="118"/>
      <c r="E664" s="118"/>
      <c r="F664" s="118"/>
      <c r="G664" s="118"/>
      <c r="H664" s="118"/>
      <c r="I664" s="118"/>
      <c r="J664" s="118"/>
      <c r="K664" s="118"/>
      <c r="L664" s="118"/>
      <c r="M664" s="118"/>
      <c r="N664" s="118"/>
      <c r="O664" s="118"/>
      <c r="P664" s="101"/>
    </row>
    <row r="665" spans="1:16" ht="15" customHeight="1">
      <c r="A665" s="470">
        <v>705</v>
      </c>
      <c r="B665" s="489" t="s">
        <v>1309</v>
      </c>
      <c r="C665" s="480"/>
      <c r="D665" s="482"/>
      <c r="E665" s="480"/>
      <c r="F665" s="482"/>
      <c r="G665" s="480"/>
      <c r="H665" s="482"/>
      <c r="I665" s="480"/>
      <c r="J665" s="482"/>
      <c r="K665" s="480"/>
      <c r="L665" s="482"/>
      <c r="M665" s="480"/>
      <c r="N665" s="482"/>
      <c r="O665" s="480"/>
      <c r="P665" s="477">
        <f>SUM(C665:O666)</f>
        <v>0</v>
      </c>
    </row>
    <row r="666" spans="1:16">
      <c r="A666" s="496"/>
      <c r="B666" s="490"/>
      <c r="C666" s="480"/>
      <c r="D666" s="482"/>
      <c r="E666" s="480"/>
      <c r="F666" s="482"/>
      <c r="G666" s="480"/>
      <c r="H666" s="482"/>
      <c r="I666" s="480"/>
      <c r="J666" s="482"/>
      <c r="K666" s="480"/>
      <c r="L666" s="482"/>
      <c r="M666" s="480"/>
      <c r="N666" s="482"/>
      <c r="O666" s="480"/>
      <c r="P666" s="477"/>
    </row>
    <row r="667" spans="1:16">
      <c r="A667" s="496"/>
      <c r="B667" s="78" t="s">
        <v>363</v>
      </c>
      <c r="C667" s="97"/>
      <c r="D667" s="65"/>
      <c r="E667" s="97"/>
      <c r="F667" s="65"/>
      <c r="G667" s="97"/>
      <c r="H667" s="65"/>
      <c r="I667" s="97"/>
      <c r="J667" s="65"/>
      <c r="K667" s="97"/>
      <c r="L667" s="65"/>
      <c r="M667" s="97"/>
      <c r="N667" s="65"/>
      <c r="O667" s="97"/>
      <c r="P667" s="101"/>
    </row>
    <row r="668" spans="1:16">
      <c r="A668" s="471"/>
      <c r="B668" s="80" t="s">
        <v>377</v>
      </c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101"/>
    </row>
    <row r="669" spans="1:16" ht="15" customHeight="1">
      <c r="A669" s="470"/>
      <c r="B669" s="489" t="s">
        <v>1099</v>
      </c>
      <c r="C669" s="480"/>
      <c r="D669" s="482"/>
      <c r="E669" s="482"/>
      <c r="F669" s="482"/>
      <c r="G669" s="482"/>
      <c r="H669" s="482"/>
      <c r="I669" s="482"/>
      <c r="J669" s="482"/>
      <c r="K669" s="482"/>
      <c r="L669" s="482"/>
      <c r="M669" s="482"/>
      <c r="N669" s="482"/>
      <c r="O669" s="491"/>
      <c r="P669" s="477">
        <f>SUM(C669:O670)</f>
        <v>0</v>
      </c>
    </row>
    <row r="670" spans="1:16">
      <c r="A670" s="496"/>
      <c r="B670" s="490"/>
      <c r="C670" s="480"/>
      <c r="D670" s="482"/>
      <c r="E670" s="482"/>
      <c r="F670" s="482"/>
      <c r="G670" s="482"/>
      <c r="H670" s="482"/>
      <c r="I670" s="482"/>
      <c r="J670" s="482"/>
      <c r="K670" s="482"/>
      <c r="L670" s="482"/>
      <c r="M670" s="482"/>
      <c r="N670" s="482"/>
      <c r="O670" s="492"/>
      <c r="P670" s="477"/>
    </row>
    <row r="671" spans="1:16">
      <c r="A671" s="496"/>
      <c r="B671" s="78" t="s">
        <v>363</v>
      </c>
      <c r="C671" s="97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101"/>
    </row>
    <row r="672" spans="1:16">
      <c r="A672" s="471"/>
      <c r="B672" s="80" t="s">
        <v>377</v>
      </c>
      <c r="C672" s="98"/>
      <c r="D672" s="118"/>
      <c r="E672" s="118"/>
      <c r="F672" s="118"/>
      <c r="G672" s="118"/>
      <c r="H672" s="118"/>
      <c r="I672" s="118"/>
      <c r="J672" s="118"/>
      <c r="K672" s="118"/>
      <c r="L672" s="118"/>
      <c r="M672" s="118"/>
      <c r="N672" s="118"/>
      <c r="O672" s="118"/>
      <c r="P672" s="101"/>
    </row>
    <row r="673" spans="1:16" ht="15" customHeight="1">
      <c r="A673" s="467"/>
      <c r="B673" s="506" t="s">
        <v>1007</v>
      </c>
      <c r="C673" s="508"/>
      <c r="D673" s="502"/>
      <c r="E673" s="502"/>
      <c r="F673" s="502"/>
      <c r="G673" s="502"/>
      <c r="H673" s="502"/>
      <c r="I673" s="502"/>
      <c r="J673" s="502"/>
      <c r="K673" s="502"/>
      <c r="L673" s="502"/>
      <c r="M673" s="502"/>
      <c r="N673" s="502"/>
      <c r="O673" s="505"/>
      <c r="P673" s="477">
        <f>SUM(C673:O674)</f>
        <v>0</v>
      </c>
    </row>
    <row r="674" spans="1:16">
      <c r="A674" s="468"/>
      <c r="B674" s="507"/>
      <c r="C674" s="509"/>
      <c r="D674" s="503"/>
      <c r="E674" s="503"/>
      <c r="F674" s="503"/>
      <c r="G674" s="503"/>
      <c r="H674" s="503"/>
      <c r="I674" s="503"/>
      <c r="J674" s="503"/>
      <c r="K674" s="503"/>
      <c r="L674" s="503"/>
      <c r="M674" s="503"/>
      <c r="N674" s="503"/>
      <c r="O674" s="502"/>
      <c r="P674" s="477"/>
    </row>
    <row r="675" spans="1:16">
      <c r="A675" s="468"/>
      <c r="B675" s="81" t="s">
        <v>363</v>
      </c>
      <c r="C675" s="72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101"/>
    </row>
    <row r="676" spans="1:16">
      <c r="A676" s="478"/>
      <c r="B676" s="76" t="s">
        <v>377</v>
      </c>
      <c r="C676" s="73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101"/>
    </row>
    <row r="677" spans="1:16" ht="15" customHeight="1">
      <c r="A677" s="467">
        <v>715</v>
      </c>
      <c r="B677" s="506" t="s">
        <v>362</v>
      </c>
      <c r="C677" s="508"/>
      <c r="D677" s="502"/>
      <c r="E677" s="502"/>
      <c r="F677" s="502"/>
      <c r="G677" s="502"/>
      <c r="H677" s="502"/>
      <c r="I677" s="502"/>
      <c r="J677" s="502"/>
      <c r="K677" s="502"/>
      <c r="L677" s="502"/>
      <c r="M677" s="502"/>
      <c r="N677" s="502"/>
      <c r="O677" s="504"/>
      <c r="P677" s="477">
        <f>SUM(C677:O678)</f>
        <v>0</v>
      </c>
    </row>
    <row r="678" spans="1:16">
      <c r="A678" s="468"/>
      <c r="B678" s="507"/>
      <c r="C678" s="509"/>
      <c r="D678" s="503"/>
      <c r="E678" s="503"/>
      <c r="F678" s="503"/>
      <c r="G678" s="503"/>
      <c r="H678" s="503"/>
      <c r="I678" s="503"/>
      <c r="J678" s="503"/>
      <c r="K678" s="503"/>
      <c r="L678" s="503"/>
      <c r="M678" s="503"/>
      <c r="N678" s="503"/>
      <c r="O678" s="502"/>
      <c r="P678" s="477"/>
    </row>
    <row r="679" spans="1:16">
      <c r="A679" s="468"/>
      <c r="B679" s="81" t="s">
        <v>363</v>
      </c>
      <c r="C679" s="72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101"/>
    </row>
    <row r="680" spans="1:16">
      <c r="A680" s="478"/>
      <c r="B680" s="76" t="s">
        <v>377</v>
      </c>
      <c r="C680" s="73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101"/>
    </row>
    <row r="681" spans="1:16">
      <c r="A681" s="467"/>
      <c r="B681" s="506" t="s">
        <v>1582</v>
      </c>
      <c r="C681" s="508"/>
      <c r="D681" s="502"/>
      <c r="E681" s="502"/>
      <c r="F681" s="502"/>
      <c r="G681" s="502"/>
      <c r="H681" s="502"/>
      <c r="I681" s="502"/>
      <c r="J681" s="502"/>
      <c r="K681" s="502"/>
      <c r="L681" s="502"/>
      <c r="M681" s="502"/>
      <c r="N681" s="502"/>
      <c r="O681" s="504"/>
      <c r="P681" s="477">
        <f>SUM(C681:O682)</f>
        <v>0</v>
      </c>
    </row>
    <row r="682" spans="1:16">
      <c r="A682" s="468"/>
      <c r="B682" s="507"/>
      <c r="C682" s="509"/>
      <c r="D682" s="503"/>
      <c r="E682" s="503"/>
      <c r="F682" s="503"/>
      <c r="G682" s="503"/>
      <c r="H682" s="503"/>
      <c r="I682" s="503"/>
      <c r="J682" s="503"/>
      <c r="K682" s="503"/>
      <c r="L682" s="503"/>
      <c r="M682" s="503"/>
      <c r="N682" s="503"/>
      <c r="O682" s="502"/>
      <c r="P682" s="477"/>
    </row>
    <row r="683" spans="1:16">
      <c r="A683" s="468"/>
      <c r="B683" s="81" t="s">
        <v>363</v>
      </c>
      <c r="C683" s="72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101"/>
    </row>
    <row r="684" spans="1:16">
      <c r="A684" s="478"/>
      <c r="B684" s="76" t="s">
        <v>377</v>
      </c>
      <c r="C684" s="73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101"/>
    </row>
  </sheetData>
  <mergeCells count="2686">
    <mergeCell ref="O605:O606"/>
    <mergeCell ref="P605:P606"/>
    <mergeCell ref="A589:A592"/>
    <mergeCell ref="B589:B590"/>
    <mergeCell ref="C589:C590"/>
    <mergeCell ref="D589:D590"/>
    <mergeCell ref="E589:E590"/>
    <mergeCell ref="F589:F590"/>
    <mergeCell ref="G589:G590"/>
    <mergeCell ref="H589:H590"/>
    <mergeCell ref="I589:I590"/>
    <mergeCell ref="J589:J590"/>
    <mergeCell ref="K589:K590"/>
    <mergeCell ref="L589:L590"/>
    <mergeCell ref="M589:M590"/>
    <mergeCell ref="N589:N590"/>
    <mergeCell ref="O589:O590"/>
    <mergeCell ref="P589:P590"/>
    <mergeCell ref="E601:E602"/>
    <mergeCell ref="F601:F602"/>
    <mergeCell ref="G597:G598"/>
    <mergeCell ref="H597:H598"/>
    <mergeCell ref="I597:I598"/>
    <mergeCell ref="J597:J598"/>
    <mergeCell ref="K597:K598"/>
    <mergeCell ref="L597:L598"/>
    <mergeCell ref="K605:K606"/>
    <mergeCell ref="L605:L606"/>
    <mergeCell ref="M605:M606"/>
    <mergeCell ref="N605:N606"/>
    <mergeCell ref="C601:C602"/>
    <mergeCell ref="D601:D602"/>
    <mergeCell ref="A581:A584"/>
    <mergeCell ref="B581:B582"/>
    <mergeCell ref="C581:C582"/>
    <mergeCell ref="D581:D582"/>
    <mergeCell ref="E581:E582"/>
    <mergeCell ref="F581:F582"/>
    <mergeCell ref="G581:G582"/>
    <mergeCell ref="H581:H582"/>
    <mergeCell ref="I581:I582"/>
    <mergeCell ref="J581:J582"/>
    <mergeCell ref="K581:K582"/>
    <mergeCell ref="L581:L582"/>
    <mergeCell ref="M581:M582"/>
    <mergeCell ref="N581:N582"/>
    <mergeCell ref="O581:O582"/>
    <mergeCell ref="P581:P582"/>
    <mergeCell ref="A585:A588"/>
    <mergeCell ref="B585:B586"/>
    <mergeCell ref="C585:C586"/>
    <mergeCell ref="D585:D586"/>
    <mergeCell ref="E585:E586"/>
    <mergeCell ref="F585:F586"/>
    <mergeCell ref="G585:G586"/>
    <mergeCell ref="H585:H586"/>
    <mergeCell ref="I585:I586"/>
    <mergeCell ref="J585:J586"/>
    <mergeCell ref="K585:K586"/>
    <mergeCell ref="L585:L586"/>
    <mergeCell ref="M585:M586"/>
    <mergeCell ref="N585:N586"/>
    <mergeCell ref="O585:O586"/>
    <mergeCell ref="P585:P586"/>
    <mergeCell ref="A577:A580"/>
    <mergeCell ref="B577:B578"/>
    <mergeCell ref="C577:C578"/>
    <mergeCell ref="D577:D578"/>
    <mergeCell ref="E577:E578"/>
    <mergeCell ref="F577:F578"/>
    <mergeCell ref="G577:G578"/>
    <mergeCell ref="H577:H578"/>
    <mergeCell ref="I577:I578"/>
    <mergeCell ref="J577:J578"/>
    <mergeCell ref="K577:K578"/>
    <mergeCell ref="L577:L578"/>
    <mergeCell ref="M577:M578"/>
    <mergeCell ref="N577:N578"/>
    <mergeCell ref="O577:O578"/>
    <mergeCell ref="P577:P578"/>
    <mergeCell ref="A525:A528"/>
    <mergeCell ref="B525:B526"/>
    <mergeCell ref="C525:C526"/>
    <mergeCell ref="D525:D526"/>
    <mergeCell ref="E525:E526"/>
    <mergeCell ref="F525:F526"/>
    <mergeCell ref="G525:G526"/>
    <mergeCell ref="H525:H526"/>
    <mergeCell ref="I525:I526"/>
    <mergeCell ref="J525:J526"/>
    <mergeCell ref="K525:K526"/>
    <mergeCell ref="L525:L526"/>
    <mergeCell ref="M525:M526"/>
    <mergeCell ref="N525:N526"/>
    <mergeCell ref="O525:O526"/>
    <mergeCell ref="P525:P526"/>
    <mergeCell ref="C497:C498"/>
    <mergeCell ref="D497:D498"/>
    <mergeCell ref="M505:M506"/>
    <mergeCell ref="N505:N506"/>
    <mergeCell ref="O505:O506"/>
    <mergeCell ref="M501:M502"/>
    <mergeCell ref="N501:N502"/>
    <mergeCell ref="O501:O502"/>
    <mergeCell ref="D505:D506"/>
    <mergeCell ref="E505:E506"/>
    <mergeCell ref="F505:F506"/>
    <mergeCell ref="C501:C502"/>
    <mergeCell ref="D501:D502"/>
    <mergeCell ref="E501:E502"/>
    <mergeCell ref="F501:F502"/>
    <mergeCell ref="A509:A512"/>
    <mergeCell ref="B509:B510"/>
    <mergeCell ref="C509:C510"/>
    <mergeCell ref="D509:D510"/>
    <mergeCell ref="E509:E510"/>
    <mergeCell ref="F509:F510"/>
    <mergeCell ref="G505:G506"/>
    <mergeCell ref="H505:H506"/>
    <mergeCell ref="I505:I506"/>
    <mergeCell ref="J505:J506"/>
    <mergeCell ref="K505:K506"/>
    <mergeCell ref="L505:L506"/>
    <mergeCell ref="B453:B454"/>
    <mergeCell ref="C453:C454"/>
    <mergeCell ref="D453:D454"/>
    <mergeCell ref="E453:E454"/>
    <mergeCell ref="F453:F454"/>
    <mergeCell ref="G453:G454"/>
    <mergeCell ref="H453:H454"/>
    <mergeCell ref="I453:I454"/>
    <mergeCell ref="J453:J454"/>
    <mergeCell ref="K453:K454"/>
    <mergeCell ref="L453:L454"/>
    <mergeCell ref="M453:M454"/>
    <mergeCell ref="N453:N454"/>
    <mergeCell ref="O453:O454"/>
    <mergeCell ref="P453:P454"/>
    <mergeCell ref="N509:N510"/>
    <mergeCell ref="O509:O510"/>
    <mergeCell ref="P509:P510"/>
    <mergeCell ref="E493:E494"/>
    <mergeCell ref="F493:F494"/>
    <mergeCell ref="G493:G494"/>
    <mergeCell ref="H493:H494"/>
    <mergeCell ref="I493:I494"/>
    <mergeCell ref="J493:J494"/>
    <mergeCell ref="K493:K494"/>
    <mergeCell ref="L493:L494"/>
    <mergeCell ref="M493:M494"/>
    <mergeCell ref="N493:N494"/>
    <mergeCell ref="O493:O494"/>
    <mergeCell ref="N497:N498"/>
    <mergeCell ref="P497:P498"/>
    <mergeCell ref="B497:B498"/>
    <mergeCell ref="B513:B514"/>
    <mergeCell ref="C513:C514"/>
    <mergeCell ref="D513:D514"/>
    <mergeCell ref="E513:E514"/>
    <mergeCell ref="F513:F514"/>
    <mergeCell ref="G509:G510"/>
    <mergeCell ref="H509:H510"/>
    <mergeCell ref="I509:I510"/>
    <mergeCell ref="J509:J510"/>
    <mergeCell ref="K509:K510"/>
    <mergeCell ref="L509:L510"/>
    <mergeCell ref="P234:P235"/>
    <mergeCell ref="A493:A496"/>
    <mergeCell ref="G420:G421"/>
    <mergeCell ref="H420:H421"/>
    <mergeCell ref="I420:I421"/>
    <mergeCell ref="J420:J421"/>
    <mergeCell ref="K420:K421"/>
    <mergeCell ref="L420:L421"/>
    <mergeCell ref="A420:A423"/>
    <mergeCell ref="B420:B421"/>
    <mergeCell ref="C420:C421"/>
    <mergeCell ref="D420:D421"/>
    <mergeCell ref="E420:E421"/>
    <mergeCell ref="F420:F421"/>
    <mergeCell ref="M437:M438"/>
    <mergeCell ref="N437:N438"/>
    <mergeCell ref="O437:O438"/>
    <mergeCell ref="B493:B494"/>
    <mergeCell ref="C493:C494"/>
    <mergeCell ref="D493:D494"/>
    <mergeCell ref="A453:A456"/>
    <mergeCell ref="A234:A237"/>
    <mergeCell ref="B234:B235"/>
    <mergeCell ref="C234:C235"/>
    <mergeCell ref="D234:D235"/>
    <mergeCell ref="E234:E235"/>
    <mergeCell ref="F234:F235"/>
    <mergeCell ref="G234:G235"/>
    <mergeCell ref="H234:H235"/>
    <mergeCell ref="I234:I235"/>
    <mergeCell ref="J234:J235"/>
    <mergeCell ref="K234:K235"/>
    <mergeCell ref="L234:L235"/>
    <mergeCell ref="M234:M235"/>
    <mergeCell ref="N234:N235"/>
    <mergeCell ref="O234:O235"/>
    <mergeCell ref="A517:A520"/>
    <mergeCell ref="B517:B518"/>
    <mergeCell ref="C517:C518"/>
    <mergeCell ref="D517:D518"/>
    <mergeCell ref="E517:E518"/>
    <mergeCell ref="F517:F518"/>
    <mergeCell ref="G517:G518"/>
    <mergeCell ref="H517:H518"/>
    <mergeCell ref="I517:I518"/>
    <mergeCell ref="J517:J518"/>
    <mergeCell ref="K517:K518"/>
    <mergeCell ref="L517:L518"/>
    <mergeCell ref="M517:M518"/>
    <mergeCell ref="N517:N518"/>
    <mergeCell ref="O517:O518"/>
    <mergeCell ref="O497:O498"/>
    <mergeCell ref="G437:G438"/>
    <mergeCell ref="P517:P518"/>
    <mergeCell ref="M509:M510"/>
    <mergeCell ref="K553:K554"/>
    <mergeCell ref="L553:L554"/>
    <mergeCell ref="M553:M554"/>
    <mergeCell ref="N553:N554"/>
    <mergeCell ref="O553:O554"/>
    <mergeCell ref="P553:P554"/>
    <mergeCell ref="A469:A472"/>
    <mergeCell ref="B469:B470"/>
    <mergeCell ref="C469:C470"/>
    <mergeCell ref="D469:D470"/>
    <mergeCell ref="A449:A452"/>
    <mergeCell ref="B449:B450"/>
    <mergeCell ref="C449:C450"/>
    <mergeCell ref="D449:D450"/>
    <mergeCell ref="E449:E450"/>
    <mergeCell ref="F449:F450"/>
    <mergeCell ref="M457:M458"/>
    <mergeCell ref="N457:N458"/>
    <mergeCell ref="O457:O458"/>
    <mergeCell ref="P457:P458"/>
    <mergeCell ref="E497:E498"/>
    <mergeCell ref="F497:F498"/>
    <mergeCell ref="G497:G498"/>
    <mergeCell ref="H497:H498"/>
    <mergeCell ref="I497:I498"/>
    <mergeCell ref="J497:J498"/>
    <mergeCell ref="K497:K498"/>
    <mergeCell ref="L497:L498"/>
    <mergeCell ref="M497:M498"/>
    <mergeCell ref="A513:A516"/>
    <mergeCell ref="P416:P417"/>
    <mergeCell ref="A445:A448"/>
    <mergeCell ref="B445:B446"/>
    <mergeCell ref="C445:C446"/>
    <mergeCell ref="D445:D446"/>
    <mergeCell ref="E445:E446"/>
    <mergeCell ref="F445:F446"/>
    <mergeCell ref="G445:G446"/>
    <mergeCell ref="H445:H446"/>
    <mergeCell ref="I445:I446"/>
    <mergeCell ref="J445:J446"/>
    <mergeCell ref="K445:K446"/>
    <mergeCell ref="L445:L446"/>
    <mergeCell ref="M445:M446"/>
    <mergeCell ref="N445:N446"/>
    <mergeCell ref="O445:O446"/>
    <mergeCell ref="P445:P446"/>
    <mergeCell ref="M420:M421"/>
    <mergeCell ref="N420:N421"/>
    <mergeCell ref="O420:O421"/>
    <mergeCell ref="P420:P421"/>
    <mergeCell ref="A424:A427"/>
    <mergeCell ref="B424:B425"/>
    <mergeCell ref="C424:C425"/>
    <mergeCell ref="D424:D425"/>
    <mergeCell ref="E424:E425"/>
    <mergeCell ref="F424:F425"/>
    <mergeCell ref="P437:P438"/>
    <mergeCell ref="H437:H438"/>
    <mergeCell ref="L424:L425"/>
    <mergeCell ref="P428:P429"/>
    <mergeCell ref="L428:L429"/>
    <mergeCell ref="M150:M151"/>
    <mergeCell ref="N150:N151"/>
    <mergeCell ref="O150:O151"/>
    <mergeCell ref="P150:P151"/>
    <mergeCell ref="A154:A157"/>
    <mergeCell ref="B154:B155"/>
    <mergeCell ref="C154:C155"/>
    <mergeCell ref="D154:D155"/>
    <mergeCell ref="E154:E155"/>
    <mergeCell ref="F154:F155"/>
    <mergeCell ref="G150:G151"/>
    <mergeCell ref="H150:H151"/>
    <mergeCell ref="I150:I151"/>
    <mergeCell ref="J150:J151"/>
    <mergeCell ref="K150:K151"/>
    <mergeCell ref="L150:L151"/>
    <mergeCell ref="A150:A153"/>
    <mergeCell ref="B150:B151"/>
    <mergeCell ref="C150:C151"/>
    <mergeCell ref="D150:D151"/>
    <mergeCell ref="E150:E151"/>
    <mergeCell ref="F150:F151"/>
    <mergeCell ref="E123:E124"/>
    <mergeCell ref="F123:F124"/>
    <mergeCell ref="G123:G124"/>
    <mergeCell ref="H123:H124"/>
    <mergeCell ref="I123:I124"/>
    <mergeCell ref="J123:J124"/>
    <mergeCell ref="K123:K124"/>
    <mergeCell ref="L123:L124"/>
    <mergeCell ref="M123:M124"/>
    <mergeCell ref="N123:N124"/>
    <mergeCell ref="O123:O124"/>
    <mergeCell ref="P123:P124"/>
    <mergeCell ref="A147:A149"/>
    <mergeCell ref="P127:P128"/>
    <mergeCell ref="A131:A134"/>
    <mergeCell ref="B131:B132"/>
    <mergeCell ref="F131:F132"/>
    <mergeCell ref="G127:G128"/>
    <mergeCell ref="H127:H128"/>
    <mergeCell ref="I127:I128"/>
    <mergeCell ref="J127:J128"/>
    <mergeCell ref="K127:K128"/>
    <mergeCell ref="L127:L128"/>
    <mergeCell ref="M139:M140"/>
    <mergeCell ref="N139:N140"/>
    <mergeCell ref="O139:O140"/>
    <mergeCell ref="P139:P140"/>
    <mergeCell ref="A143:A146"/>
    <mergeCell ref="C139:C140"/>
    <mergeCell ref="D139:D140"/>
    <mergeCell ref="E139:E140"/>
    <mergeCell ref="K143:K144"/>
    <mergeCell ref="P3:P4"/>
    <mergeCell ref="E3:E4"/>
    <mergeCell ref="F3:F4"/>
    <mergeCell ref="G3:G4"/>
    <mergeCell ref="H3:H4"/>
    <mergeCell ref="I3:I4"/>
    <mergeCell ref="J3:J4"/>
    <mergeCell ref="M11:M12"/>
    <mergeCell ref="N11:N12"/>
    <mergeCell ref="O11:O12"/>
    <mergeCell ref="P11:P12"/>
    <mergeCell ref="M3:M4"/>
    <mergeCell ref="N3:N4"/>
    <mergeCell ref="O3:O4"/>
    <mergeCell ref="C11:C12"/>
    <mergeCell ref="D11:D12"/>
    <mergeCell ref="E11:E12"/>
    <mergeCell ref="G11:G12"/>
    <mergeCell ref="H11:H12"/>
    <mergeCell ref="I11:I12"/>
    <mergeCell ref="J11:J12"/>
    <mergeCell ref="K11:K12"/>
    <mergeCell ref="L11:L12"/>
    <mergeCell ref="M7:M8"/>
    <mergeCell ref="N7:N8"/>
    <mergeCell ref="O7:O8"/>
    <mergeCell ref="P7:P8"/>
    <mergeCell ref="F7:F8"/>
    <mergeCell ref="F11:F12"/>
    <mergeCell ref="G7:G8"/>
    <mergeCell ref="H7:H8"/>
    <mergeCell ref="I7:I8"/>
    <mergeCell ref="A1:B1"/>
    <mergeCell ref="A3:A6"/>
    <mergeCell ref="B3:B4"/>
    <mergeCell ref="C3:C4"/>
    <mergeCell ref="D3:D4"/>
    <mergeCell ref="A465:A468"/>
    <mergeCell ref="B465:B466"/>
    <mergeCell ref="C465:C466"/>
    <mergeCell ref="D465:D466"/>
    <mergeCell ref="E465:E466"/>
    <mergeCell ref="F465:F466"/>
    <mergeCell ref="G465:G466"/>
    <mergeCell ref="H465:H466"/>
    <mergeCell ref="I465:I466"/>
    <mergeCell ref="J465:J466"/>
    <mergeCell ref="K465:K466"/>
    <mergeCell ref="L465:L466"/>
    <mergeCell ref="A7:A10"/>
    <mergeCell ref="B7:B8"/>
    <mergeCell ref="C7:C8"/>
    <mergeCell ref="D7:D8"/>
    <mergeCell ref="E7:E8"/>
    <mergeCell ref="K3:K4"/>
    <mergeCell ref="L3:L4"/>
    <mergeCell ref="C15:C16"/>
    <mergeCell ref="D15:D16"/>
    <mergeCell ref="E15:E16"/>
    <mergeCell ref="A11:A14"/>
    <mergeCell ref="B11:B12"/>
    <mergeCell ref="C23:C24"/>
    <mergeCell ref="D23:D24"/>
    <mergeCell ref="E23:E24"/>
    <mergeCell ref="D31:D32"/>
    <mergeCell ref="E31:E32"/>
    <mergeCell ref="F15:F16"/>
    <mergeCell ref="M23:M24"/>
    <mergeCell ref="N23:N24"/>
    <mergeCell ref="O23:O24"/>
    <mergeCell ref="P23:P24"/>
    <mergeCell ref="A27:A30"/>
    <mergeCell ref="B27:B28"/>
    <mergeCell ref="C27:C28"/>
    <mergeCell ref="D27:D28"/>
    <mergeCell ref="E27:E28"/>
    <mergeCell ref="F27:F28"/>
    <mergeCell ref="G23:G24"/>
    <mergeCell ref="H23:H24"/>
    <mergeCell ref="I23:I24"/>
    <mergeCell ref="J23:J24"/>
    <mergeCell ref="K23:K24"/>
    <mergeCell ref="L23:L24"/>
    <mergeCell ref="M19:M20"/>
    <mergeCell ref="N19:N20"/>
    <mergeCell ref="O19:O20"/>
    <mergeCell ref="P19:P20"/>
    <mergeCell ref="A23:A26"/>
    <mergeCell ref="B23:B24"/>
    <mergeCell ref="J7:J8"/>
    <mergeCell ref="K7:K8"/>
    <mergeCell ref="L7:L8"/>
    <mergeCell ref="M15:M16"/>
    <mergeCell ref="N15:N16"/>
    <mergeCell ref="O15:O16"/>
    <mergeCell ref="P15:P16"/>
    <mergeCell ref="A19:A22"/>
    <mergeCell ref="B19:B20"/>
    <mergeCell ref="C19:C20"/>
    <mergeCell ref="D19:D20"/>
    <mergeCell ref="E19:E20"/>
    <mergeCell ref="F19:F20"/>
    <mergeCell ref="G15:G16"/>
    <mergeCell ref="H15:H16"/>
    <mergeCell ref="I15:I16"/>
    <mergeCell ref="J15:J16"/>
    <mergeCell ref="K15:K16"/>
    <mergeCell ref="L15:L16"/>
    <mergeCell ref="A15:A18"/>
    <mergeCell ref="B15:B16"/>
    <mergeCell ref="C47:C48"/>
    <mergeCell ref="D47:D48"/>
    <mergeCell ref="E47:E48"/>
    <mergeCell ref="F31:F32"/>
    <mergeCell ref="G27:G28"/>
    <mergeCell ref="H27:H28"/>
    <mergeCell ref="I27:I28"/>
    <mergeCell ref="J27:J28"/>
    <mergeCell ref="K27:K28"/>
    <mergeCell ref="L27:L28"/>
    <mergeCell ref="M39:M40"/>
    <mergeCell ref="N39:N40"/>
    <mergeCell ref="O39:O40"/>
    <mergeCell ref="P39:P40"/>
    <mergeCell ref="A43:A46"/>
    <mergeCell ref="B43:B44"/>
    <mergeCell ref="C43:C44"/>
    <mergeCell ref="D43:D44"/>
    <mergeCell ref="E43:E44"/>
    <mergeCell ref="F43:F44"/>
    <mergeCell ref="G39:G40"/>
    <mergeCell ref="H39:H40"/>
    <mergeCell ref="I39:I40"/>
    <mergeCell ref="J39:J40"/>
    <mergeCell ref="K39:K40"/>
    <mergeCell ref="L39:L40"/>
    <mergeCell ref="M35:M36"/>
    <mergeCell ref="N35:N36"/>
    <mergeCell ref="O35:O36"/>
    <mergeCell ref="P35:P36"/>
    <mergeCell ref="A39:A42"/>
    <mergeCell ref="B39:B40"/>
    <mergeCell ref="D39:D40"/>
    <mergeCell ref="E39:E40"/>
    <mergeCell ref="F23:F24"/>
    <mergeCell ref="G19:G20"/>
    <mergeCell ref="H19:H20"/>
    <mergeCell ref="I19:I20"/>
    <mergeCell ref="J19:J20"/>
    <mergeCell ref="K19:K20"/>
    <mergeCell ref="L19:L20"/>
    <mergeCell ref="M31:M32"/>
    <mergeCell ref="N31:N32"/>
    <mergeCell ref="O31:O32"/>
    <mergeCell ref="P31:P32"/>
    <mergeCell ref="A35:A38"/>
    <mergeCell ref="B35:B36"/>
    <mergeCell ref="C35:C36"/>
    <mergeCell ref="D35:D36"/>
    <mergeCell ref="E35:E36"/>
    <mergeCell ref="F35:F36"/>
    <mergeCell ref="G31:G32"/>
    <mergeCell ref="H31:H32"/>
    <mergeCell ref="I31:I32"/>
    <mergeCell ref="J31:J32"/>
    <mergeCell ref="K31:K32"/>
    <mergeCell ref="L31:L32"/>
    <mergeCell ref="M27:M28"/>
    <mergeCell ref="N27:N28"/>
    <mergeCell ref="O27:O28"/>
    <mergeCell ref="P27:P28"/>
    <mergeCell ref="A31:A34"/>
    <mergeCell ref="B31:B32"/>
    <mergeCell ref="C31:C32"/>
    <mergeCell ref="C63:C64"/>
    <mergeCell ref="D63:D64"/>
    <mergeCell ref="E63:E64"/>
    <mergeCell ref="F47:F48"/>
    <mergeCell ref="G43:G44"/>
    <mergeCell ref="H43:H44"/>
    <mergeCell ref="I43:I44"/>
    <mergeCell ref="J43:J44"/>
    <mergeCell ref="K43:K44"/>
    <mergeCell ref="L43:L44"/>
    <mergeCell ref="M55:M56"/>
    <mergeCell ref="N55:N56"/>
    <mergeCell ref="O55:O56"/>
    <mergeCell ref="P55:P56"/>
    <mergeCell ref="A59:A62"/>
    <mergeCell ref="B59:B60"/>
    <mergeCell ref="C59:C60"/>
    <mergeCell ref="D59:D60"/>
    <mergeCell ref="E59:E60"/>
    <mergeCell ref="F59:F60"/>
    <mergeCell ref="G55:G56"/>
    <mergeCell ref="H55:H56"/>
    <mergeCell ref="I55:I56"/>
    <mergeCell ref="J55:J56"/>
    <mergeCell ref="K55:K56"/>
    <mergeCell ref="L55:L56"/>
    <mergeCell ref="M51:M52"/>
    <mergeCell ref="N51:N52"/>
    <mergeCell ref="O51:O52"/>
    <mergeCell ref="P51:P52"/>
    <mergeCell ref="A55:A58"/>
    <mergeCell ref="B55:B56"/>
    <mergeCell ref="D55:D56"/>
    <mergeCell ref="E55:E56"/>
    <mergeCell ref="F39:F40"/>
    <mergeCell ref="G35:G36"/>
    <mergeCell ref="H35:H36"/>
    <mergeCell ref="I35:I36"/>
    <mergeCell ref="J35:J36"/>
    <mergeCell ref="K35:K36"/>
    <mergeCell ref="L35:L36"/>
    <mergeCell ref="M47:M48"/>
    <mergeCell ref="N47:N48"/>
    <mergeCell ref="O47:O48"/>
    <mergeCell ref="P47:P48"/>
    <mergeCell ref="A51:A54"/>
    <mergeCell ref="B51:B52"/>
    <mergeCell ref="C51:C52"/>
    <mergeCell ref="D51:D52"/>
    <mergeCell ref="E51:E52"/>
    <mergeCell ref="F51:F52"/>
    <mergeCell ref="G47:G48"/>
    <mergeCell ref="H47:H48"/>
    <mergeCell ref="I47:I48"/>
    <mergeCell ref="J47:J48"/>
    <mergeCell ref="K47:K48"/>
    <mergeCell ref="L47:L48"/>
    <mergeCell ref="M43:M44"/>
    <mergeCell ref="N43:N44"/>
    <mergeCell ref="O43:O44"/>
    <mergeCell ref="P43:P44"/>
    <mergeCell ref="A47:A50"/>
    <mergeCell ref="B47:B48"/>
    <mergeCell ref="C39:C40"/>
    <mergeCell ref="C79:C80"/>
    <mergeCell ref="D79:D80"/>
    <mergeCell ref="E79:E80"/>
    <mergeCell ref="F63:F64"/>
    <mergeCell ref="G59:G60"/>
    <mergeCell ref="H59:H60"/>
    <mergeCell ref="I59:I60"/>
    <mergeCell ref="J59:J60"/>
    <mergeCell ref="K59:K60"/>
    <mergeCell ref="L59:L60"/>
    <mergeCell ref="M71:M72"/>
    <mergeCell ref="N71:N72"/>
    <mergeCell ref="O71:O72"/>
    <mergeCell ref="P71:P72"/>
    <mergeCell ref="A75:A78"/>
    <mergeCell ref="B75:B76"/>
    <mergeCell ref="C75:C76"/>
    <mergeCell ref="D75:D76"/>
    <mergeCell ref="E75:E76"/>
    <mergeCell ref="F75:F76"/>
    <mergeCell ref="G71:G72"/>
    <mergeCell ref="H71:H72"/>
    <mergeCell ref="I71:I72"/>
    <mergeCell ref="J71:J72"/>
    <mergeCell ref="K71:K72"/>
    <mergeCell ref="L71:L72"/>
    <mergeCell ref="M67:M68"/>
    <mergeCell ref="N67:N68"/>
    <mergeCell ref="O67:O68"/>
    <mergeCell ref="P67:P68"/>
    <mergeCell ref="A71:A74"/>
    <mergeCell ref="B71:B72"/>
    <mergeCell ref="D71:D72"/>
    <mergeCell ref="E71:E72"/>
    <mergeCell ref="F55:F56"/>
    <mergeCell ref="G51:G52"/>
    <mergeCell ref="H51:H52"/>
    <mergeCell ref="I51:I52"/>
    <mergeCell ref="J51:J52"/>
    <mergeCell ref="K51:K52"/>
    <mergeCell ref="L51:L52"/>
    <mergeCell ref="M63:M64"/>
    <mergeCell ref="N63:N64"/>
    <mergeCell ref="O63:O64"/>
    <mergeCell ref="P63:P64"/>
    <mergeCell ref="A67:A70"/>
    <mergeCell ref="B67:B68"/>
    <mergeCell ref="C67:C68"/>
    <mergeCell ref="D67:D68"/>
    <mergeCell ref="E67:E68"/>
    <mergeCell ref="F67:F68"/>
    <mergeCell ref="G63:G64"/>
    <mergeCell ref="H63:H64"/>
    <mergeCell ref="I63:I64"/>
    <mergeCell ref="J63:J64"/>
    <mergeCell ref="K63:K64"/>
    <mergeCell ref="L63:L64"/>
    <mergeCell ref="M59:M60"/>
    <mergeCell ref="N59:N60"/>
    <mergeCell ref="O59:O60"/>
    <mergeCell ref="P59:P60"/>
    <mergeCell ref="A63:A66"/>
    <mergeCell ref="B63:B64"/>
    <mergeCell ref="C55:C56"/>
    <mergeCell ref="C95:C96"/>
    <mergeCell ref="D95:D96"/>
    <mergeCell ref="E95:E96"/>
    <mergeCell ref="F79:F80"/>
    <mergeCell ref="G75:G76"/>
    <mergeCell ref="H75:H76"/>
    <mergeCell ref="I75:I76"/>
    <mergeCell ref="J75:J76"/>
    <mergeCell ref="K75:K76"/>
    <mergeCell ref="L75:L76"/>
    <mergeCell ref="M87:M88"/>
    <mergeCell ref="N87:N88"/>
    <mergeCell ref="O87:O88"/>
    <mergeCell ref="P87:P88"/>
    <mergeCell ref="A91:A94"/>
    <mergeCell ref="B91:B92"/>
    <mergeCell ref="C91:C92"/>
    <mergeCell ref="D91:D92"/>
    <mergeCell ref="E91:E92"/>
    <mergeCell ref="F91:F92"/>
    <mergeCell ref="G87:G88"/>
    <mergeCell ref="H87:H88"/>
    <mergeCell ref="I87:I88"/>
    <mergeCell ref="J87:J88"/>
    <mergeCell ref="K87:K88"/>
    <mergeCell ref="L87:L88"/>
    <mergeCell ref="M83:M84"/>
    <mergeCell ref="N83:N84"/>
    <mergeCell ref="O83:O84"/>
    <mergeCell ref="P83:P84"/>
    <mergeCell ref="A87:A90"/>
    <mergeCell ref="B87:B88"/>
    <mergeCell ref="D87:D88"/>
    <mergeCell ref="E87:E88"/>
    <mergeCell ref="F71:F72"/>
    <mergeCell ref="G67:G68"/>
    <mergeCell ref="H67:H68"/>
    <mergeCell ref="I67:I68"/>
    <mergeCell ref="J67:J68"/>
    <mergeCell ref="K67:K68"/>
    <mergeCell ref="L67:L68"/>
    <mergeCell ref="M79:M80"/>
    <mergeCell ref="N79:N80"/>
    <mergeCell ref="O79:O80"/>
    <mergeCell ref="P79:P80"/>
    <mergeCell ref="A83:A86"/>
    <mergeCell ref="B83:B84"/>
    <mergeCell ref="C83:C84"/>
    <mergeCell ref="D83:D84"/>
    <mergeCell ref="E83:E84"/>
    <mergeCell ref="F83:F84"/>
    <mergeCell ref="G79:G80"/>
    <mergeCell ref="H79:H80"/>
    <mergeCell ref="I79:I80"/>
    <mergeCell ref="J79:J80"/>
    <mergeCell ref="K79:K80"/>
    <mergeCell ref="L79:L80"/>
    <mergeCell ref="M75:M76"/>
    <mergeCell ref="N75:N76"/>
    <mergeCell ref="O75:O76"/>
    <mergeCell ref="P75:P76"/>
    <mergeCell ref="A79:A82"/>
    <mergeCell ref="B79:B80"/>
    <mergeCell ref="C71:C72"/>
    <mergeCell ref="C111:C112"/>
    <mergeCell ref="D111:D112"/>
    <mergeCell ref="E111:E112"/>
    <mergeCell ref="F95:F96"/>
    <mergeCell ref="G91:G92"/>
    <mergeCell ref="H91:H92"/>
    <mergeCell ref="I91:I92"/>
    <mergeCell ref="J91:J92"/>
    <mergeCell ref="K91:K92"/>
    <mergeCell ref="L91:L92"/>
    <mergeCell ref="M103:M104"/>
    <mergeCell ref="N103:N104"/>
    <mergeCell ref="O103:O104"/>
    <mergeCell ref="P103:P104"/>
    <mergeCell ref="A107:A110"/>
    <mergeCell ref="B107:B108"/>
    <mergeCell ref="C107:C108"/>
    <mergeCell ref="D107:D108"/>
    <mergeCell ref="E107:E108"/>
    <mergeCell ref="F107:F108"/>
    <mergeCell ref="G103:G104"/>
    <mergeCell ref="H103:H104"/>
    <mergeCell ref="I103:I104"/>
    <mergeCell ref="J103:J104"/>
    <mergeCell ref="K103:K104"/>
    <mergeCell ref="L103:L104"/>
    <mergeCell ref="M99:M100"/>
    <mergeCell ref="N99:N100"/>
    <mergeCell ref="O99:O100"/>
    <mergeCell ref="P99:P100"/>
    <mergeCell ref="A103:A106"/>
    <mergeCell ref="B103:B104"/>
    <mergeCell ref="D103:D104"/>
    <mergeCell ref="E103:E104"/>
    <mergeCell ref="F87:F88"/>
    <mergeCell ref="G83:G84"/>
    <mergeCell ref="H83:H84"/>
    <mergeCell ref="I83:I84"/>
    <mergeCell ref="J83:J84"/>
    <mergeCell ref="K83:K84"/>
    <mergeCell ref="L83:L84"/>
    <mergeCell ref="M95:M96"/>
    <mergeCell ref="N95:N96"/>
    <mergeCell ref="O95:O96"/>
    <mergeCell ref="P95:P96"/>
    <mergeCell ref="A99:A102"/>
    <mergeCell ref="B99:B100"/>
    <mergeCell ref="C99:C100"/>
    <mergeCell ref="D99:D100"/>
    <mergeCell ref="E99:E100"/>
    <mergeCell ref="F99:F100"/>
    <mergeCell ref="G95:G96"/>
    <mergeCell ref="H95:H96"/>
    <mergeCell ref="I95:I96"/>
    <mergeCell ref="J95:J96"/>
    <mergeCell ref="K95:K96"/>
    <mergeCell ref="L95:L96"/>
    <mergeCell ref="M91:M92"/>
    <mergeCell ref="N91:N92"/>
    <mergeCell ref="O91:O92"/>
    <mergeCell ref="P91:P92"/>
    <mergeCell ref="A95:A98"/>
    <mergeCell ref="B95:B96"/>
    <mergeCell ref="C87:C88"/>
    <mergeCell ref="B143:B144"/>
    <mergeCell ref="A111:A114"/>
    <mergeCell ref="B111:B112"/>
    <mergeCell ref="C131:C132"/>
    <mergeCell ref="D131:D132"/>
    <mergeCell ref="E131:E132"/>
    <mergeCell ref="F111:F112"/>
    <mergeCell ref="G107:G108"/>
    <mergeCell ref="H107:H108"/>
    <mergeCell ref="I107:I108"/>
    <mergeCell ref="J107:J108"/>
    <mergeCell ref="K107:K108"/>
    <mergeCell ref="L107:L108"/>
    <mergeCell ref="M119:M120"/>
    <mergeCell ref="N119:N120"/>
    <mergeCell ref="O119:O120"/>
    <mergeCell ref="P119:P120"/>
    <mergeCell ref="A127:A130"/>
    <mergeCell ref="B127:B128"/>
    <mergeCell ref="C127:C128"/>
    <mergeCell ref="D127:D128"/>
    <mergeCell ref="E127:E128"/>
    <mergeCell ref="F127:F128"/>
    <mergeCell ref="G119:G120"/>
    <mergeCell ref="H119:H120"/>
    <mergeCell ref="I119:I120"/>
    <mergeCell ref="J119:J120"/>
    <mergeCell ref="K119:K120"/>
    <mergeCell ref="L119:L120"/>
    <mergeCell ref="M115:M116"/>
    <mergeCell ref="N115:N116"/>
    <mergeCell ref="O115:O116"/>
    <mergeCell ref="C119:C120"/>
    <mergeCell ref="D119:D120"/>
    <mergeCell ref="E119:E120"/>
    <mergeCell ref="F103:F104"/>
    <mergeCell ref="G99:G100"/>
    <mergeCell ref="H99:H100"/>
    <mergeCell ref="I99:I100"/>
    <mergeCell ref="J99:J100"/>
    <mergeCell ref="K99:K100"/>
    <mergeCell ref="L99:L100"/>
    <mergeCell ref="M111:M112"/>
    <mergeCell ref="N111:N112"/>
    <mergeCell ref="O111:O112"/>
    <mergeCell ref="P111:P112"/>
    <mergeCell ref="A115:A118"/>
    <mergeCell ref="B115:B116"/>
    <mergeCell ref="C115:C116"/>
    <mergeCell ref="D115:D116"/>
    <mergeCell ref="E115:E116"/>
    <mergeCell ref="F115:F116"/>
    <mergeCell ref="G111:G112"/>
    <mergeCell ref="H111:H112"/>
    <mergeCell ref="I111:I112"/>
    <mergeCell ref="J111:J112"/>
    <mergeCell ref="K111:K112"/>
    <mergeCell ref="L111:L112"/>
    <mergeCell ref="M107:M108"/>
    <mergeCell ref="N107:N108"/>
    <mergeCell ref="O107:O108"/>
    <mergeCell ref="P107:P108"/>
    <mergeCell ref="P115:P116"/>
    <mergeCell ref="C103:C104"/>
    <mergeCell ref="C143:C144"/>
    <mergeCell ref="D143:D144"/>
    <mergeCell ref="E143:E144"/>
    <mergeCell ref="F143:F144"/>
    <mergeCell ref="G139:G140"/>
    <mergeCell ref="H139:H140"/>
    <mergeCell ref="I139:I140"/>
    <mergeCell ref="J139:J140"/>
    <mergeCell ref="K139:K140"/>
    <mergeCell ref="L139:L140"/>
    <mergeCell ref="M135:M136"/>
    <mergeCell ref="N135:N136"/>
    <mergeCell ref="O135:O136"/>
    <mergeCell ref="P135:P136"/>
    <mergeCell ref="A139:A142"/>
    <mergeCell ref="B139:B140"/>
    <mergeCell ref="F139:F140"/>
    <mergeCell ref="G135:G136"/>
    <mergeCell ref="H135:H136"/>
    <mergeCell ref="I135:I136"/>
    <mergeCell ref="J135:J136"/>
    <mergeCell ref="K135:K136"/>
    <mergeCell ref="L135:L136"/>
    <mergeCell ref="M143:M144"/>
    <mergeCell ref="N143:N144"/>
    <mergeCell ref="O143:O144"/>
    <mergeCell ref="P143:P144"/>
    <mergeCell ref="G143:G144"/>
    <mergeCell ref="H143:H144"/>
    <mergeCell ref="I143:I144"/>
    <mergeCell ref="J143:J144"/>
    <mergeCell ref="L143:L144"/>
    <mergeCell ref="F119:F120"/>
    <mergeCell ref="G115:G116"/>
    <mergeCell ref="H115:H116"/>
    <mergeCell ref="I115:I116"/>
    <mergeCell ref="J115:J116"/>
    <mergeCell ref="K115:K116"/>
    <mergeCell ref="L115:L116"/>
    <mergeCell ref="M131:M132"/>
    <mergeCell ref="N131:N132"/>
    <mergeCell ref="O131:O132"/>
    <mergeCell ref="P131:P132"/>
    <mergeCell ref="A135:A138"/>
    <mergeCell ref="B135:B136"/>
    <mergeCell ref="C135:C136"/>
    <mergeCell ref="D135:D136"/>
    <mergeCell ref="E135:E136"/>
    <mergeCell ref="F135:F136"/>
    <mergeCell ref="G131:G132"/>
    <mergeCell ref="H131:H132"/>
    <mergeCell ref="I131:I132"/>
    <mergeCell ref="J131:J132"/>
    <mergeCell ref="K131:K132"/>
    <mergeCell ref="L131:L132"/>
    <mergeCell ref="M127:M128"/>
    <mergeCell ref="N127:N128"/>
    <mergeCell ref="O127:O128"/>
    <mergeCell ref="A119:A122"/>
    <mergeCell ref="B119:B120"/>
    <mergeCell ref="A123:A126"/>
    <mergeCell ref="B123:B124"/>
    <mergeCell ref="C123:C124"/>
    <mergeCell ref="D123:D124"/>
    <mergeCell ref="A170:A173"/>
    <mergeCell ref="B170:B171"/>
    <mergeCell ref="C170:C171"/>
    <mergeCell ref="D170:D171"/>
    <mergeCell ref="E170:E171"/>
    <mergeCell ref="F170:F171"/>
    <mergeCell ref="G166:G167"/>
    <mergeCell ref="H166:H167"/>
    <mergeCell ref="I166:I167"/>
    <mergeCell ref="J166:J167"/>
    <mergeCell ref="K166:K167"/>
    <mergeCell ref="L166:L167"/>
    <mergeCell ref="M162:M163"/>
    <mergeCell ref="N162:N163"/>
    <mergeCell ref="O162:O163"/>
    <mergeCell ref="P162:P163"/>
    <mergeCell ref="A166:A169"/>
    <mergeCell ref="B166:B167"/>
    <mergeCell ref="C166:C167"/>
    <mergeCell ref="D166:D167"/>
    <mergeCell ref="E166:E167"/>
    <mergeCell ref="F166:F167"/>
    <mergeCell ref="G162:G163"/>
    <mergeCell ref="H162:H163"/>
    <mergeCell ref="I162:I163"/>
    <mergeCell ref="J162:J163"/>
    <mergeCell ref="K162:K163"/>
    <mergeCell ref="L162:L163"/>
    <mergeCell ref="P158:P159"/>
    <mergeCell ref="A162:A165"/>
    <mergeCell ref="B162:B163"/>
    <mergeCell ref="C162:C163"/>
    <mergeCell ref="D162:D163"/>
    <mergeCell ref="E162:E163"/>
    <mergeCell ref="F162:F163"/>
    <mergeCell ref="G158:G159"/>
    <mergeCell ref="H158:H159"/>
    <mergeCell ref="I158:I159"/>
    <mergeCell ref="J158:J159"/>
    <mergeCell ref="K158:K159"/>
    <mergeCell ref="L158:L159"/>
    <mergeCell ref="M154:M155"/>
    <mergeCell ref="N154:N155"/>
    <mergeCell ref="O154:O155"/>
    <mergeCell ref="P154:P155"/>
    <mergeCell ref="A158:A161"/>
    <mergeCell ref="B158:B159"/>
    <mergeCell ref="C158:C159"/>
    <mergeCell ref="D158:D159"/>
    <mergeCell ref="E158:E159"/>
    <mergeCell ref="F158:F159"/>
    <mergeCell ref="G154:G155"/>
    <mergeCell ref="H154:H155"/>
    <mergeCell ref="I154:I155"/>
    <mergeCell ref="J154:J155"/>
    <mergeCell ref="K154:K155"/>
    <mergeCell ref="L154:L155"/>
    <mergeCell ref="M158:M159"/>
    <mergeCell ref="N158:N159"/>
    <mergeCell ref="O158:O159"/>
    <mergeCell ref="A182:A185"/>
    <mergeCell ref="B182:B183"/>
    <mergeCell ref="C182:C183"/>
    <mergeCell ref="D182:D183"/>
    <mergeCell ref="E182:E183"/>
    <mergeCell ref="F182:F183"/>
    <mergeCell ref="G178:G179"/>
    <mergeCell ref="H178:H179"/>
    <mergeCell ref="I178:I179"/>
    <mergeCell ref="J178:J179"/>
    <mergeCell ref="K178:K179"/>
    <mergeCell ref="L178:L179"/>
    <mergeCell ref="M174:M175"/>
    <mergeCell ref="N174:N175"/>
    <mergeCell ref="O174:O175"/>
    <mergeCell ref="P174:P175"/>
    <mergeCell ref="A178:A181"/>
    <mergeCell ref="B178:B179"/>
    <mergeCell ref="C178:C179"/>
    <mergeCell ref="D178:D179"/>
    <mergeCell ref="E178:E179"/>
    <mergeCell ref="F178:F179"/>
    <mergeCell ref="G174:G175"/>
    <mergeCell ref="H174:H175"/>
    <mergeCell ref="J174:J175"/>
    <mergeCell ref="K174:K175"/>
    <mergeCell ref="L174:L175"/>
    <mergeCell ref="A174:A177"/>
    <mergeCell ref="B174:B175"/>
    <mergeCell ref="C174:C175"/>
    <mergeCell ref="D174:D175"/>
    <mergeCell ref="E174:E175"/>
    <mergeCell ref="F174:F175"/>
    <mergeCell ref="M170:M171"/>
    <mergeCell ref="N170:N171"/>
    <mergeCell ref="O170:O171"/>
    <mergeCell ref="P170:P171"/>
    <mergeCell ref="G170:G171"/>
    <mergeCell ref="H170:H171"/>
    <mergeCell ref="I170:I171"/>
    <mergeCell ref="J170:J171"/>
    <mergeCell ref="K170:K171"/>
    <mergeCell ref="L170:L171"/>
    <mergeCell ref="M178:M179"/>
    <mergeCell ref="N178:N179"/>
    <mergeCell ref="O178:O179"/>
    <mergeCell ref="P178:P179"/>
    <mergeCell ref="M166:M167"/>
    <mergeCell ref="N166:N167"/>
    <mergeCell ref="O166:O167"/>
    <mergeCell ref="P166:P167"/>
    <mergeCell ref="M186:M187"/>
    <mergeCell ref="N186:N187"/>
    <mergeCell ref="O186:O187"/>
    <mergeCell ref="P186:P187"/>
    <mergeCell ref="A190:A193"/>
    <mergeCell ref="B190:B191"/>
    <mergeCell ref="C190:C191"/>
    <mergeCell ref="D190:D191"/>
    <mergeCell ref="E190:E191"/>
    <mergeCell ref="F190:F191"/>
    <mergeCell ref="G186:G187"/>
    <mergeCell ref="H186:H187"/>
    <mergeCell ref="I186:I187"/>
    <mergeCell ref="J186:J187"/>
    <mergeCell ref="K186:K187"/>
    <mergeCell ref="L186:L187"/>
    <mergeCell ref="M182:M183"/>
    <mergeCell ref="N182:N183"/>
    <mergeCell ref="O182:O183"/>
    <mergeCell ref="P182:P183"/>
    <mergeCell ref="A186:A189"/>
    <mergeCell ref="B186:B187"/>
    <mergeCell ref="C186:C187"/>
    <mergeCell ref="D186:D187"/>
    <mergeCell ref="E186:E187"/>
    <mergeCell ref="F186:F187"/>
    <mergeCell ref="G182:G183"/>
    <mergeCell ref="H182:H183"/>
    <mergeCell ref="I182:I183"/>
    <mergeCell ref="J182:J183"/>
    <mergeCell ref="K182:K183"/>
    <mergeCell ref="L182:L183"/>
    <mergeCell ref="M202:M203"/>
    <mergeCell ref="N202:N203"/>
    <mergeCell ref="O202:O203"/>
    <mergeCell ref="P202:P203"/>
    <mergeCell ref="A206:A209"/>
    <mergeCell ref="B206:B207"/>
    <mergeCell ref="C206:C207"/>
    <mergeCell ref="D206:D207"/>
    <mergeCell ref="E206:E207"/>
    <mergeCell ref="F206:F207"/>
    <mergeCell ref="G202:G203"/>
    <mergeCell ref="H202:H203"/>
    <mergeCell ref="I202:I203"/>
    <mergeCell ref="J202:J203"/>
    <mergeCell ref="K202:K203"/>
    <mergeCell ref="L202:L203"/>
    <mergeCell ref="M198:M199"/>
    <mergeCell ref="N198:N199"/>
    <mergeCell ref="O198:O199"/>
    <mergeCell ref="P198:P199"/>
    <mergeCell ref="A202:A205"/>
    <mergeCell ref="B202:B203"/>
    <mergeCell ref="C202:C203"/>
    <mergeCell ref="D202:D203"/>
    <mergeCell ref="E202:E203"/>
    <mergeCell ref="F202:F203"/>
    <mergeCell ref="G198:G199"/>
    <mergeCell ref="H198:H199"/>
    <mergeCell ref="I198:I199"/>
    <mergeCell ref="J198:J199"/>
    <mergeCell ref="K198:K199"/>
    <mergeCell ref="L198:L199"/>
    <mergeCell ref="A198:A201"/>
    <mergeCell ref="B198:B199"/>
    <mergeCell ref="C198:C199"/>
    <mergeCell ref="D198:D199"/>
    <mergeCell ref="E198:E199"/>
    <mergeCell ref="F198:F199"/>
    <mergeCell ref="G194:G195"/>
    <mergeCell ref="H194:H195"/>
    <mergeCell ref="I194:I195"/>
    <mergeCell ref="J194:J195"/>
    <mergeCell ref="K194:K195"/>
    <mergeCell ref="L194:L195"/>
    <mergeCell ref="M190:M191"/>
    <mergeCell ref="N190:N191"/>
    <mergeCell ref="O190:O191"/>
    <mergeCell ref="P190:P191"/>
    <mergeCell ref="A194:A197"/>
    <mergeCell ref="B194:B195"/>
    <mergeCell ref="C194:C195"/>
    <mergeCell ref="D194:D195"/>
    <mergeCell ref="E194:E195"/>
    <mergeCell ref="F194:F195"/>
    <mergeCell ref="G190:G191"/>
    <mergeCell ref="H190:H191"/>
    <mergeCell ref="I190:I191"/>
    <mergeCell ref="J190:J191"/>
    <mergeCell ref="K190:K191"/>
    <mergeCell ref="L190:L191"/>
    <mergeCell ref="M194:M195"/>
    <mergeCell ref="N194:N195"/>
    <mergeCell ref="O194:O195"/>
    <mergeCell ref="P194:P195"/>
    <mergeCell ref="M206:M207"/>
    <mergeCell ref="N206:N207"/>
    <mergeCell ref="O206:O207"/>
    <mergeCell ref="P206:P207"/>
    <mergeCell ref="A210:A213"/>
    <mergeCell ref="B210:B211"/>
    <mergeCell ref="C210:C211"/>
    <mergeCell ref="D210:D211"/>
    <mergeCell ref="E210:E211"/>
    <mergeCell ref="F210:F211"/>
    <mergeCell ref="G206:G207"/>
    <mergeCell ref="H206:H207"/>
    <mergeCell ref="I206:I207"/>
    <mergeCell ref="J206:J207"/>
    <mergeCell ref="K206:K207"/>
    <mergeCell ref="L206:L207"/>
    <mergeCell ref="M218:M219"/>
    <mergeCell ref="N218:N219"/>
    <mergeCell ref="O218:O219"/>
    <mergeCell ref="P218:P219"/>
    <mergeCell ref="M214:M215"/>
    <mergeCell ref="N214:N215"/>
    <mergeCell ref="O214:O215"/>
    <mergeCell ref="P214:P215"/>
    <mergeCell ref="A218:A221"/>
    <mergeCell ref="B218:B219"/>
    <mergeCell ref="C218:C219"/>
    <mergeCell ref="D218:D219"/>
    <mergeCell ref="E218:E219"/>
    <mergeCell ref="F218:F219"/>
    <mergeCell ref="G214:G215"/>
    <mergeCell ref="H214:H215"/>
    <mergeCell ref="C226:C227"/>
    <mergeCell ref="D226:D227"/>
    <mergeCell ref="E226:E227"/>
    <mergeCell ref="M210:M211"/>
    <mergeCell ref="N210:N211"/>
    <mergeCell ref="O210:O211"/>
    <mergeCell ref="P210:P211"/>
    <mergeCell ref="A214:A217"/>
    <mergeCell ref="B214:B215"/>
    <mergeCell ref="C214:C215"/>
    <mergeCell ref="D214:D215"/>
    <mergeCell ref="E214:E215"/>
    <mergeCell ref="F214:F215"/>
    <mergeCell ref="G210:G211"/>
    <mergeCell ref="H210:H211"/>
    <mergeCell ref="I210:I211"/>
    <mergeCell ref="J210:J211"/>
    <mergeCell ref="K210:K211"/>
    <mergeCell ref="L210:L211"/>
    <mergeCell ref="A222:A225"/>
    <mergeCell ref="B222:B223"/>
    <mergeCell ref="C222:C223"/>
    <mergeCell ref="D222:D223"/>
    <mergeCell ref="E222:E223"/>
    <mergeCell ref="F222:F223"/>
    <mergeCell ref="G218:G219"/>
    <mergeCell ref="H218:H219"/>
    <mergeCell ref="I218:I219"/>
    <mergeCell ref="J218:J219"/>
    <mergeCell ref="K218:K219"/>
    <mergeCell ref="L218:L219"/>
    <mergeCell ref="I214:I215"/>
    <mergeCell ref="N230:N231"/>
    <mergeCell ref="O230:O231"/>
    <mergeCell ref="P230:P231"/>
    <mergeCell ref="A238:A241"/>
    <mergeCell ref="B238:B239"/>
    <mergeCell ref="C238:C239"/>
    <mergeCell ref="D238:D239"/>
    <mergeCell ref="E238:E239"/>
    <mergeCell ref="F238:F239"/>
    <mergeCell ref="G230:G231"/>
    <mergeCell ref="H230:H231"/>
    <mergeCell ref="I230:I231"/>
    <mergeCell ref="J230:J231"/>
    <mergeCell ref="K230:K231"/>
    <mergeCell ref="L230:L231"/>
    <mergeCell ref="M222:M223"/>
    <mergeCell ref="N222:N223"/>
    <mergeCell ref="O222:O223"/>
    <mergeCell ref="P222:P223"/>
    <mergeCell ref="A230:A233"/>
    <mergeCell ref="B230:B231"/>
    <mergeCell ref="C230:C231"/>
    <mergeCell ref="D230:D231"/>
    <mergeCell ref="E230:E231"/>
    <mergeCell ref="F230:F231"/>
    <mergeCell ref="G222:G223"/>
    <mergeCell ref="H222:H223"/>
    <mergeCell ref="I222:I223"/>
    <mergeCell ref="J222:J223"/>
    <mergeCell ref="K222:K223"/>
    <mergeCell ref="L222:L223"/>
    <mergeCell ref="B226:B227"/>
    <mergeCell ref="J214:J215"/>
    <mergeCell ref="K214:K215"/>
    <mergeCell ref="L214:L215"/>
    <mergeCell ref="M242:M243"/>
    <mergeCell ref="N242:N243"/>
    <mergeCell ref="O242:O243"/>
    <mergeCell ref="P242:P243"/>
    <mergeCell ref="A246:A249"/>
    <mergeCell ref="B246:B247"/>
    <mergeCell ref="C246:C247"/>
    <mergeCell ref="D246:D247"/>
    <mergeCell ref="E246:E247"/>
    <mergeCell ref="F246:F247"/>
    <mergeCell ref="G242:G243"/>
    <mergeCell ref="H242:H243"/>
    <mergeCell ref="I242:I243"/>
    <mergeCell ref="J242:J243"/>
    <mergeCell ref="K242:K243"/>
    <mergeCell ref="L242:L243"/>
    <mergeCell ref="M238:M239"/>
    <mergeCell ref="N238:N239"/>
    <mergeCell ref="O238:O239"/>
    <mergeCell ref="P238:P239"/>
    <mergeCell ref="A242:A245"/>
    <mergeCell ref="B242:B243"/>
    <mergeCell ref="C242:C243"/>
    <mergeCell ref="D242:D243"/>
    <mergeCell ref="E242:E243"/>
    <mergeCell ref="F242:F243"/>
    <mergeCell ref="G238:G239"/>
    <mergeCell ref="H238:H239"/>
    <mergeCell ref="F226:F227"/>
    <mergeCell ref="A265:A268"/>
    <mergeCell ref="B265:B266"/>
    <mergeCell ref="C265:C266"/>
    <mergeCell ref="D265:D266"/>
    <mergeCell ref="E265:E266"/>
    <mergeCell ref="F265:F266"/>
    <mergeCell ref="G261:G262"/>
    <mergeCell ref="H261:H262"/>
    <mergeCell ref="I261:I262"/>
    <mergeCell ref="J261:J262"/>
    <mergeCell ref="K261:K262"/>
    <mergeCell ref="L261:L262"/>
    <mergeCell ref="M257:M258"/>
    <mergeCell ref="N257:N258"/>
    <mergeCell ref="O257:O258"/>
    <mergeCell ref="P257:P258"/>
    <mergeCell ref="A261:A264"/>
    <mergeCell ref="B261:B262"/>
    <mergeCell ref="C261:C262"/>
    <mergeCell ref="D261:D262"/>
    <mergeCell ref="E261:E262"/>
    <mergeCell ref="F261:F262"/>
    <mergeCell ref="G257:G258"/>
    <mergeCell ref="A257:A260"/>
    <mergeCell ref="B257:B258"/>
    <mergeCell ref="C257:C258"/>
    <mergeCell ref="D257:D258"/>
    <mergeCell ref="E257:E258"/>
    <mergeCell ref="F257:F258"/>
    <mergeCell ref="G253:G254"/>
    <mergeCell ref="H253:H254"/>
    <mergeCell ref="I253:I254"/>
    <mergeCell ref="J253:J254"/>
    <mergeCell ref="K253:K254"/>
    <mergeCell ref="L253:L254"/>
    <mergeCell ref="H257:H258"/>
    <mergeCell ref="I257:I258"/>
    <mergeCell ref="M246:M247"/>
    <mergeCell ref="N246:N247"/>
    <mergeCell ref="J238:J239"/>
    <mergeCell ref="K238:K239"/>
    <mergeCell ref="L238:L239"/>
    <mergeCell ref="A253:A256"/>
    <mergeCell ref="B253:B254"/>
    <mergeCell ref="C253:C254"/>
    <mergeCell ref="D253:D254"/>
    <mergeCell ref="E253:E254"/>
    <mergeCell ref="F253:F254"/>
    <mergeCell ref="G246:G247"/>
    <mergeCell ref="H246:H247"/>
    <mergeCell ref="I246:I247"/>
    <mergeCell ref="J246:J247"/>
    <mergeCell ref="K246:K247"/>
    <mergeCell ref="L246:L247"/>
    <mergeCell ref="M253:M254"/>
    <mergeCell ref="N253:N254"/>
    <mergeCell ref="I238:I239"/>
    <mergeCell ref="O253:O254"/>
    <mergeCell ref="P253:P254"/>
    <mergeCell ref="A250:A252"/>
    <mergeCell ref="B281:B282"/>
    <mergeCell ref="C281:C282"/>
    <mergeCell ref="L269:L270"/>
    <mergeCell ref="M265:M266"/>
    <mergeCell ref="N265:N266"/>
    <mergeCell ref="O265:O266"/>
    <mergeCell ref="P265:P266"/>
    <mergeCell ref="A269:A272"/>
    <mergeCell ref="B269:B270"/>
    <mergeCell ref="C269:C270"/>
    <mergeCell ref="D269:D270"/>
    <mergeCell ref="E269:E270"/>
    <mergeCell ref="F269:F270"/>
    <mergeCell ref="G265:G266"/>
    <mergeCell ref="H265:H266"/>
    <mergeCell ref="I265:I266"/>
    <mergeCell ref="J265:J266"/>
    <mergeCell ref="K265:K266"/>
    <mergeCell ref="L265:L266"/>
    <mergeCell ref="K269:K270"/>
    <mergeCell ref="A273:A276"/>
    <mergeCell ref="B273:B274"/>
    <mergeCell ref="C273:C274"/>
    <mergeCell ref="D273:D274"/>
    <mergeCell ref="E273:E274"/>
    <mergeCell ref="F273:F274"/>
    <mergeCell ref="A277:A280"/>
    <mergeCell ref="D281:D282"/>
    <mergeCell ref="E281:E282"/>
    <mergeCell ref="F281:F282"/>
    <mergeCell ref="M273:M274"/>
    <mergeCell ref="N273:N274"/>
    <mergeCell ref="O285:O286"/>
    <mergeCell ref="P285:P286"/>
    <mergeCell ref="A293:A296"/>
    <mergeCell ref="B293:B294"/>
    <mergeCell ref="C293:C294"/>
    <mergeCell ref="D293:D294"/>
    <mergeCell ref="E293:E294"/>
    <mergeCell ref="F293:F294"/>
    <mergeCell ref="G285:G286"/>
    <mergeCell ref="H285:H286"/>
    <mergeCell ref="I285:I286"/>
    <mergeCell ref="J285:J286"/>
    <mergeCell ref="K285:K286"/>
    <mergeCell ref="L285:L286"/>
    <mergeCell ref="M281:M282"/>
    <mergeCell ref="N281:N282"/>
    <mergeCell ref="O281:O282"/>
    <mergeCell ref="P281:P282"/>
    <mergeCell ref="A285:A288"/>
    <mergeCell ref="B285:B286"/>
    <mergeCell ref="C285:C286"/>
    <mergeCell ref="D285:D286"/>
    <mergeCell ref="E285:E286"/>
    <mergeCell ref="F285:F286"/>
    <mergeCell ref="G281:G282"/>
    <mergeCell ref="H281:H282"/>
    <mergeCell ref="I281:I282"/>
    <mergeCell ref="J281:J282"/>
    <mergeCell ref="K281:K282"/>
    <mergeCell ref="L281:L282"/>
    <mergeCell ref="A289:A292"/>
    <mergeCell ref="A281:A284"/>
    <mergeCell ref="A305:A308"/>
    <mergeCell ref="B305:B306"/>
    <mergeCell ref="C305:C306"/>
    <mergeCell ref="D305:D306"/>
    <mergeCell ref="E305:E306"/>
    <mergeCell ref="F305:F306"/>
    <mergeCell ref="M301:M302"/>
    <mergeCell ref="N301:N302"/>
    <mergeCell ref="O301:O302"/>
    <mergeCell ref="P301:P302"/>
    <mergeCell ref="G301:G302"/>
    <mergeCell ref="H301:H302"/>
    <mergeCell ref="I301:I302"/>
    <mergeCell ref="J301:J302"/>
    <mergeCell ref="K301:K302"/>
    <mergeCell ref="L301:L302"/>
    <mergeCell ref="M293:M294"/>
    <mergeCell ref="N293:N294"/>
    <mergeCell ref="O293:O294"/>
    <mergeCell ref="P293:P294"/>
    <mergeCell ref="A297:A300"/>
    <mergeCell ref="B297:B298"/>
    <mergeCell ref="C297:C298"/>
    <mergeCell ref="D297:D298"/>
    <mergeCell ref="E297:E298"/>
    <mergeCell ref="F297:F298"/>
    <mergeCell ref="G293:G294"/>
    <mergeCell ref="H293:H294"/>
    <mergeCell ref="I293:I294"/>
    <mergeCell ref="A301:A304"/>
    <mergeCell ref="B301:B302"/>
    <mergeCell ref="C301:C302"/>
    <mergeCell ref="D301:D302"/>
    <mergeCell ref="M313:M314"/>
    <mergeCell ref="N313:N314"/>
    <mergeCell ref="O313:O314"/>
    <mergeCell ref="P313:P314"/>
    <mergeCell ref="A317:A320"/>
    <mergeCell ref="B317:B318"/>
    <mergeCell ref="C317:C318"/>
    <mergeCell ref="D317:D318"/>
    <mergeCell ref="E317:E318"/>
    <mergeCell ref="F317:F318"/>
    <mergeCell ref="G313:G314"/>
    <mergeCell ref="H313:H314"/>
    <mergeCell ref="I313:I314"/>
    <mergeCell ref="J313:J314"/>
    <mergeCell ref="K313:K314"/>
    <mergeCell ref="L313:L314"/>
    <mergeCell ref="M305:M306"/>
    <mergeCell ref="N305:N306"/>
    <mergeCell ref="O305:O306"/>
    <mergeCell ref="P305:P306"/>
    <mergeCell ref="A313:A316"/>
    <mergeCell ref="B313:B314"/>
    <mergeCell ref="C313:C314"/>
    <mergeCell ref="D313:D314"/>
    <mergeCell ref="E313:E314"/>
    <mergeCell ref="F313:F314"/>
    <mergeCell ref="G305:G306"/>
    <mergeCell ref="H305:H306"/>
    <mergeCell ref="P333:P334"/>
    <mergeCell ref="O329:O330"/>
    <mergeCell ref="M309:M310"/>
    <mergeCell ref="M317:M318"/>
    <mergeCell ref="N317:N318"/>
    <mergeCell ref="O317:O318"/>
    <mergeCell ref="P317:P318"/>
    <mergeCell ref="G317:G318"/>
    <mergeCell ref="H317:H318"/>
    <mergeCell ref="I317:I318"/>
    <mergeCell ref="J317:J318"/>
    <mergeCell ref="K317:K318"/>
    <mergeCell ref="L317:L318"/>
    <mergeCell ref="A309:A312"/>
    <mergeCell ref="B309:B310"/>
    <mergeCell ref="C309:C310"/>
    <mergeCell ref="D309:D310"/>
    <mergeCell ref="E309:E310"/>
    <mergeCell ref="F309:F310"/>
    <mergeCell ref="G309:G310"/>
    <mergeCell ref="H309:H310"/>
    <mergeCell ref="I309:I310"/>
    <mergeCell ref="J309:J310"/>
    <mergeCell ref="K309:K310"/>
    <mergeCell ref="L309:L310"/>
    <mergeCell ref="P309:P310"/>
    <mergeCell ref="O309:O310"/>
    <mergeCell ref="I329:I330"/>
    <mergeCell ref="J329:J330"/>
    <mergeCell ref="K329:K330"/>
    <mergeCell ref="N333:N334"/>
    <mergeCell ref="O333:O334"/>
    <mergeCell ref="A341:A344"/>
    <mergeCell ref="B341:B342"/>
    <mergeCell ref="C341:C342"/>
    <mergeCell ref="E349:E350"/>
    <mergeCell ref="F349:F350"/>
    <mergeCell ref="G345:G346"/>
    <mergeCell ref="P329:P330"/>
    <mergeCell ref="A333:A336"/>
    <mergeCell ref="B333:B334"/>
    <mergeCell ref="C333:C334"/>
    <mergeCell ref="D333:D334"/>
    <mergeCell ref="E333:E334"/>
    <mergeCell ref="F333:F334"/>
    <mergeCell ref="N325:N326"/>
    <mergeCell ref="O325:O326"/>
    <mergeCell ref="P325:P326"/>
    <mergeCell ref="A329:A332"/>
    <mergeCell ref="B329:B330"/>
    <mergeCell ref="C329:C330"/>
    <mergeCell ref="D329:D330"/>
    <mergeCell ref="E329:E330"/>
    <mergeCell ref="F329:F330"/>
    <mergeCell ref="G325:G326"/>
    <mergeCell ref="H325:H326"/>
    <mergeCell ref="I325:I326"/>
    <mergeCell ref="J325:J326"/>
    <mergeCell ref="K325:K326"/>
    <mergeCell ref="L325:L326"/>
    <mergeCell ref="A325:A328"/>
    <mergeCell ref="B325:B326"/>
    <mergeCell ref="C325:C326"/>
    <mergeCell ref="D325:D326"/>
    <mergeCell ref="P349:P350"/>
    <mergeCell ref="G349:G350"/>
    <mergeCell ref="H349:H350"/>
    <mergeCell ref="I349:I350"/>
    <mergeCell ref="J349:J350"/>
    <mergeCell ref="K349:K350"/>
    <mergeCell ref="L349:L350"/>
    <mergeCell ref="M337:M338"/>
    <mergeCell ref="N337:N338"/>
    <mergeCell ref="O337:O338"/>
    <mergeCell ref="P337:P338"/>
    <mergeCell ref="G337:G338"/>
    <mergeCell ref="H337:H338"/>
    <mergeCell ref="I337:I338"/>
    <mergeCell ref="J337:J338"/>
    <mergeCell ref="K337:K338"/>
    <mergeCell ref="L337:L338"/>
    <mergeCell ref="L341:L342"/>
    <mergeCell ref="M341:M342"/>
    <mergeCell ref="N341:N342"/>
    <mergeCell ref="O341:O342"/>
    <mergeCell ref="H345:H346"/>
    <mergeCell ref="G341:G342"/>
    <mergeCell ref="H341:H342"/>
    <mergeCell ref="I341:I342"/>
    <mergeCell ref="J341:J342"/>
    <mergeCell ref="K341:K342"/>
    <mergeCell ref="D345:D346"/>
    <mergeCell ref="E345:E346"/>
    <mergeCell ref="F345:F346"/>
    <mergeCell ref="D341:D342"/>
    <mergeCell ref="E341:E342"/>
    <mergeCell ref="F341:F342"/>
    <mergeCell ref="M325:M326"/>
    <mergeCell ref="M392:M393"/>
    <mergeCell ref="N392:N393"/>
    <mergeCell ref="G333:G334"/>
    <mergeCell ref="H333:H334"/>
    <mergeCell ref="I333:I334"/>
    <mergeCell ref="J333:J334"/>
    <mergeCell ref="K333:K334"/>
    <mergeCell ref="L333:L334"/>
    <mergeCell ref="M329:M330"/>
    <mergeCell ref="N329:N330"/>
    <mergeCell ref="G368:G369"/>
    <mergeCell ref="H368:H369"/>
    <mergeCell ref="I368:I369"/>
    <mergeCell ref="J368:J369"/>
    <mergeCell ref="K368:K369"/>
    <mergeCell ref="L368:L369"/>
    <mergeCell ref="M368:M369"/>
    <mergeCell ref="E325:E326"/>
    <mergeCell ref="F325:F326"/>
    <mergeCell ref="M333:M334"/>
    <mergeCell ref="G329:G330"/>
    <mergeCell ref="H329:H330"/>
    <mergeCell ref="L329:L330"/>
    <mergeCell ref="M353:M354"/>
    <mergeCell ref="N353:N354"/>
    <mergeCell ref="O392:O393"/>
    <mergeCell ref="P392:P393"/>
    <mergeCell ref="M384:M385"/>
    <mergeCell ref="N384:N385"/>
    <mergeCell ref="O384:O385"/>
    <mergeCell ref="P384:P385"/>
    <mergeCell ref="E376:E377"/>
    <mergeCell ref="F376:F377"/>
    <mergeCell ref="G376:G377"/>
    <mergeCell ref="H376:H377"/>
    <mergeCell ref="I376:I377"/>
    <mergeCell ref="J376:J377"/>
    <mergeCell ref="K376:K377"/>
    <mergeCell ref="L376:L377"/>
    <mergeCell ref="M376:M377"/>
    <mergeCell ref="N376:N377"/>
    <mergeCell ref="O376:O377"/>
    <mergeCell ref="F388:F389"/>
    <mergeCell ref="G384:G385"/>
    <mergeCell ref="H384:H385"/>
    <mergeCell ref="I384:I385"/>
    <mergeCell ref="J384:J385"/>
    <mergeCell ref="H380:H381"/>
    <mergeCell ref="I380:I381"/>
    <mergeCell ref="J380:J381"/>
    <mergeCell ref="K384:K385"/>
    <mergeCell ref="L384:L385"/>
    <mergeCell ref="P353:P354"/>
    <mergeCell ref="A384:A387"/>
    <mergeCell ref="B384:B385"/>
    <mergeCell ref="C384:C385"/>
    <mergeCell ref="D384:D385"/>
    <mergeCell ref="E384:E385"/>
    <mergeCell ref="F384:F385"/>
    <mergeCell ref="G353:G354"/>
    <mergeCell ref="H353:H354"/>
    <mergeCell ref="I353:I354"/>
    <mergeCell ref="J353:J354"/>
    <mergeCell ref="K353:K354"/>
    <mergeCell ref="L353:L354"/>
    <mergeCell ref="A376:A379"/>
    <mergeCell ref="B376:B377"/>
    <mergeCell ref="C376:C377"/>
    <mergeCell ref="D376:D377"/>
    <mergeCell ref="I360:I361"/>
    <mergeCell ref="J360:J361"/>
    <mergeCell ref="K360:K361"/>
    <mergeCell ref="L360:L361"/>
    <mergeCell ref="M360:M361"/>
    <mergeCell ref="N360:N361"/>
    <mergeCell ref="O360:O361"/>
    <mergeCell ref="A353:A356"/>
    <mergeCell ref="B353:B354"/>
    <mergeCell ref="C353:C354"/>
    <mergeCell ref="D353:D354"/>
    <mergeCell ref="E353:E354"/>
    <mergeCell ref="F353:F354"/>
    <mergeCell ref="D364:D365"/>
    <mergeCell ref="E364:E365"/>
    <mergeCell ref="A345:A348"/>
    <mergeCell ref="B345:B346"/>
    <mergeCell ref="C345:C346"/>
    <mergeCell ref="P400:P401"/>
    <mergeCell ref="G400:G401"/>
    <mergeCell ref="H400:H401"/>
    <mergeCell ref="I400:I401"/>
    <mergeCell ref="J400:J401"/>
    <mergeCell ref="K400:K401"/>
    <mergeCell ref="L400:L401"/>
    <mergeCell ref="M396:M397"/>
    <mergeCell ref="N396:N397"/>
    <mergeCell ref="O396:O397"/>
    <mergeCell ref="P396:P397"/>
    <mergeCell ref="A400:A403"/>
    <mergeCell ref="B400:B401"/>
    <mergeCell ref="C400:C401"/>
    <mergeCell ref="D400:D401"/>
    <mergeCell ref="E400:E401"/>
    <mergeCell ref="F400:F401"/>
    <mergeCell ref="G396:G397"/>
    <mergeCell ref="H396:H397"/>
    <mergeCell ref="I396:I397"/>
    <mergeCell ref="J396:J397"/>
    <mergeCell ref="K396:K397"/>
    <mergeCell ref="L396:L397"/>
    <mergeCell ref="E372:E373"/>
    <mergeCell ref="F372:F373"/>
    <mergeCell ref="G372:G373"/>
    <mergeCell ref="A364:A367"/>
    <mergeCell ref="B364:B365"/>
    <mergeCell ref="C364:C365"/>
    <mergeCell ref="P412:P413"/>
    <mergeCell ref="A396:A399"/>
    <mergeCell ref="B396:B397"/>
    <mergeCell ref="C396:C397"/>
    <mergeCell ref="D396:D397"/>
    <mergeCell ref="E396:E397"/>
    <mergeCell ref="F396:F397"/>
    <mergeCell ref="G392:G393"/>
    <mergeCell ref="H392:H393"/>
    <mergeCell ref="I392:I393"/>
    <mergeCell ref="J392:J393"/>
    <mergeCell ref="K392:K393"/>
    <mergeCell ref="L392:L393"/>
    <mergeCell ref="M388:M389"/>
    <mergeCell ref="N388:N389"/>
    <mergeCell ref="O388:O389"/>
    <mergeCell ref="P388:P389"/>
    <mergeCell ref="A392:A395"/>
    <mergeCell ref="B392:B393"/>
    <mergeCell ref="C392:C393"/>
    <mergeCell ref="D392:D393"/>
    <mergeCell ref="E392:E393"/>
    <mergeCell ref="F392:F393"/>
    <mergeCell ref="G388:G389"/>
    <mergeCell ref="H388:H389"/>
    <mergeCell ref="I388:I389"/>
    <mergeCell ref="J388:J389"/>
    <mergeCell ref="K388:K389"/>
    <mergeCell ref="L388:L389"/>
    <mergeCell ref="M400:M401"/>
    <mergeCell ref="N400:N401"/>
    <mergeCell ref="O400:O401"/>
    <mergeCell ref="K412:K413"/>
    <mergeCell ref="L412:L413"/>
    <mergeCell ref="A416:A419"/>
    <mergeCell ref="B416:B417"/>
    <mergeCell ref="C416:C417"/>
    <mergeCell ref="D416:D417"/>
    <mergeCell ref="E416:E417"/>
    <mergeCell ref="F416:F417"/>
    <mergeCell ref="G416:G417"/>
    <mergeCell ref="H416:H417"/>
    <mergeCell ref="I416:I417"/>
    <mergeCell ref="J416:J417"/>
    <mergeCell ref="K416:K417"/>
    <mergeCell ref="L416:L417"/>
    <mergeCell ref="M412:M413"/>
    <mergeCell ref="N412:N413"/>
    <mergeCell ref="O412:O413"/>
    <mergeCell ref="M416:M417"/>
    <mergeCell ref="N416:N417"/>
    <mergeCell ref="O416:O417"/>
    <mergeCell ref="A412:A415"/>
    <mergeCell ref="B412:B413"/>
    <mergeCell ref="C412:C413"/>
    <mergeCell ref="D412:D413"/>
    <mergeCell ref="E412:E413"/>
    <mergeCell ref="F412:F413"/>
    <mergeCell ref="G412:G413"/>
    <mergeCell ref="H412:H413"/>
    <mergeCell ref="I412:I413"/>
    <mergeCell ref="J412:J413"/>
    <mergeCell ref="K408:K409"/>
    <mergeCell ref="O404:O405"/>
    <mergeCell ref="I408:I409"/>
    <mergeCell ref="J408:J409"/>
    <mergeCell ref="C404:C405"/>
    <mergeCell ref="D404:D405"/>
    <mergeCell ref="A457:A460"/>
    <mergeCell ref="B457:B458"/>
    <mergeCell ref="C457:C458"/>
    <mergeCell ref="D457:D458"/>
    <mergeCell ref="E457:E458"/>
    <mergeCell ref="F457:F458"/>
    <mergeCell ref="G404:G405"/>
    <mergeCell ref="H404:H405"/>
    <mergeCell ref="I404:I405"/>
    <mergeCell ref="J404:J405"/>
    <mergeCell ref="K404:K405"/>
    <mergeCell ref="L404:L405"/>
    <mergeCell ref="M428:M429"/>
    <mergeCell ref="N428:N429"/>
    <mergeCell ref="O428:O429"/>
    <mergeCell ref="A432:A436"/>
    <mergeCell ref="B432:B434"/>
    <mergeCell ref="C432:C434"/>
    <mergeCell ref="D432:D434"/>
    <mergeCell ref="E432:E434"/>
    <mergeCell ref="F432:F434"/>
    <mergeCell ref="G428:G429"/>
    <mergeCell ref="H428:H429"/>
    <mergeCell ref="I428:I429"/>
    <mergeCell ref="J428:J429"/>
    <mergeCell ref="K428:K429"/>
    <mergeCell ref="M424:M425"/>
    <mergeCell ref="N424:N425"/>
    <mergeCell ref="O424:O425"/>
    <mergeCell ref="P424:P425"/>
    <mergeCell ref="M465:M466"/>
    <mergeCell ref="N465:N466"/>
    <mergeCell ref="O465:O466"/>
    <mergeCell ref="P465:P466"/>
    <mergeCell ref="M473:M474"/>
    <mergeCell ref="N473:N474"/>
    <mergeCell ref="O473:O474"/>
    <mergeCell ref="P473:P474"/>
    <mergeCell ref="E461:E462"/>
    <mergeCell ref="F461:F462"/>
    <mergeCell ref="G457:G458"/>
    <mergeCell ref="H457:H458"/>
    <mergeCell ref="I457:I458"/>
    <mergeCell ref="J457:J458"/>
    <mergeCell ref="K457:K458"/>
    <mergeCell ref="L457:L458"/>
    <mergeCell ref="M449:M450"/>
    <mergeCell ref="N449:N450"/>
    <mergeCell ref="O449:O450"/>
    <mergeCell ref="P449:P450"/>
    <mergeCell ref="G449:G450"/>
    <mergeCell ref="H449:H450"/>
    <mergeCell ref="I449:I450"/>
    <mergeCell ref="J449:J450"/>
    <mergeCell ref="K449:K450"/>
    <mergeCell ref="L449:L450"/>
    <mergeCell ref="O432:O434"/>
    <mergeCell ref="P432:P434"/>
    <mergeCell ref="A477:A480"/>
    <mergeCell ref="B477:B478"/>
    <mergeCell ref="C477:C478"/>
    <mergeCell ref="D477:D478"/>
    <mergeCell ref="E477:E478"/>
    <mergeCell ref="F477:F478"/>
    <mergeCell ref="G473:G474"/>
    <mergeCell ref="H473:H474"/>
    <mergeCell ref="I473:I474"/>
    <mergeCell ref="J473:J474"/>
    <mergeCell ref="K473:K474"/>
    <mergeCell ref="L473:L474"/>
    <mergeCell ref="M461:M462"/>
    <mergeCell ref="N461:N462"/>
    <mergeCell ref="O461:O462"/>
    <mergeCell ref="P461:P462"/>
    <mergeCell ref="A473:A476"/>
    <mergeCell ref="B473:B474"/>
    <mergeCell ref="C473:C474"/>
    <mergeCell ref="D473:D474"/>
    <mergeCell ref="E473:E474"/>
    <mergeCell ref="F473:F474"/>
    <mergeCell ref="G461:G462"/>
    <mergeCell ref="H461:H462"/>
    <mergeCell ref="I461:I462"/>
    <mergeCell ref="J461:J462"/>
    <mergeCell ref="K461:K462"/>
    <mergeCell ref="L461:L462"/>
    <mergeCell ref="A461:A464"/>
    <mergeCell ref="B461:B462"/>
    <mergeCell ref="C461:C462"/>
    <mergeCell ref="D461:D462"/>
    <mergeCell ref="G489:G490"/>
    <mergeCell ref="H489:H490"/>
    <mergeCell ref="I489:I490"/>
    <mergeCell ref="J489:J490"/>
    <mergeCell ref="K489:K490"/>
    <mergeCell ref="L489:L490"/>
    <mergeCell ref="F485:F486"/>
    <mergeCell ref="G481:G482"/>
    <mergeCell ref="H481:H482"/>
    <mergeCell ref="I481:I482"/>
    <mergeCell ref="J481:J482"/>
    <mergeCell ref="K481:K482"/>
    <mergeCell ref="L481:L482"/>
    <mergeCell ref="G485:G486"/>
    <mergeCell ref="H485:H486"/>
    <mergeCell ref="I485:I486"/>
    <mergeCell ref="J485:J486"/>
    <mergeCell ref="K485:K486"/>
    <mergeCell ref="L485:L486"/>
    <mergeCell ref="P505:P506"/>
    <mergeCell ref="A481:A484"/>
    <mergeCell ref="B481:B482"/>
    <mergeCell ref="C481:C482"/>
    <mergeCell ref="D481:D482"/>
    <mergeCell ref="E481:E482"/>
    <mergeCell ref="F481:F482"/>
    <mergeCell ref="M477:M478"/>
    <mergeCell ref="N477:N478"/>
    <mergeCell ref="O477:O478"/>
    <mergeCell ref="P477:P478"/>
    <mergeCell ref="G477:G478"/>
    <mergeCell ref="H477:H478"/>
    <mergeCell ref="I477:I478"/>
    <mergeCell ref="J477:J478"/>
    <mergeCell ref="K477:K478"/>
    <mergeCell ref="L477:L478"/>
    <mergeCell ref="M485:M486"/>
    <mergeCell ref="N485:N486"/>
    <mergeCell ref="O485:O486"/>
    <mergeCell ref="P485:P486"/>
    <mergeCell ref="P493:P494"/>
    <mergeCell ref="A497:A500"/>
    <mergeCell ref="M481:M482"/>
    <mergeCell ref="N481:N482"/>
    <mergeCell ref="O481:O482"/>
    <mergeCell ref="P481:P482"/>
    <mergeCell ref="A485:A488"/>
    <mergeCell ref="B485:B486"/>
    <mergeCell ref="C485:C486"/>
    <mergeCell ref="D485:D486"/>
    <mergeCell ref="E485:E486"/>
    <mergeCell ref="P501:P502"/>
    <mergeCell ref="G501:G502"/>
    <mergeCell ref="H501:H502"/>
    <mergeCell ref="I501:I502"/>
    <mergeCell ref="J501:J502"/>
    <mergeCell ref="K501:K502"/>
    <mergeCell ref="L501:L502"/>
    <mergeCell ref="M489:M490"/>
    <mergeCell ref="N489:N490"/>
    <mergeCell ref="O489:O490"/>
    <mergeCell ref="P489:P490"/>
    <mergeCell ref="A501:A504"/>
    <mergeCell ref="B501:B502"/>
    <mergeCell ref="M513:M514"/>
    <mergeCell ref="N513:N514"/>
    <mergeCell ref="O513:O514"/>
    <mergeCell ref="P513:P514"/>
    <mergeCell ref="G513:G514"/>
    <mergeCell ref="H513:H514"/>
    <mergeCell ref="I513:I514"/>
    <mergeCell ref="J513:J514"/>
    <mergeCell ref="K513:K514"/>
    <mergeCell ref="L513:L514"/>
    <mergeCell ref="A489:A492"/>
    <mergeCell ref="B489:B490"/>
    <mergeCell ref="C489:C490"/>
    <mergeCell ref="D489:D490"/>
    <mergeCell ref="E489:E490"/>
    <mergeCell ref="F489:F490"/>
    <mergeCell ref="A505:A508"/>
    <mergeCell ref="B505:B506"/>
    <mergeCell ref="C505:C506"/>
    <mergeCell ref="A521:A524"/>
    <mergeCell ref="B521:B522"/>
    <mergeCell ref="C521:C522"/>
    <mergeCell ref="D521:D522"/>
    <mergeCell ref="E521:E522"/>
    <mergeCell ref="F521:F522"/>
    <mergeCell ref="M529:M530"/>
    <mergeCell ref="N529:N530"/>
    <mergeCell ref="O529:O530"/>
    <mergeCell ref="P529:P530"/>
    <mergeCell ref="A533:A536"/>
    <mergeCell ref="B533:B534"/>
    <mergeCell ref="C533:C534"/>
    <mergeCell ref="D533:D534"/>
    <mergeCell ref="E533:E534"/>
    <mergeCell ref="F533:F534"/>
    <mergeCell ref="G529:G530"/>
    <mergeCell ref="H529:H530"/>
    <mergeCell ref="I529:I530"/>
    <mergeCell ref="J529:J530"/>
    <mergeCell ref="K529:K530"/>
    <mergeCell ref="L529:L530"/>
    <mergeCell ref="M521:M522"/>
    <mergeCell ref="N521:N522"/>
    <mergeCell ref="O521:O522"/>
    <mergeCell ref="P521:P522"/>
    <mergeCell ref="A529:A532"/>
    <mergeCell ref="B529:B530"/>
    <mergeCell ref="C529:C530"/>
    <mergeCell ref="D529:D530"/>
    <mergeCell ref="E529:E530"/>
    <mergeCell ref="F529:F530"/>
    <mergeCell ref="G521:G522"/>
    <mergeCell ref="H521:H522"/>
    <mergeCell ref="I521:I522"/>
    <mergeCell ref="J521:J522"/>
    <mergeCell ref="K521:K522"/>
    <mergeCell ref="L521:L522"/>
    <mergeCell ref="M545:M546"/>
    <mergeCell ref="N545:N546"/>
    <mergeCell ref="O545:O546"/>
    <mergeCell ref="P545:P546"/>
    <mergeCell ref="G545:G546"/>
    <mergeCell ref="H545:H546"/>
    <mergeCell ref="I545:I546"/>
    <mergeCell ref="J545:J546"/>
    <mergeCell ref="K545:K546"/>
    <mergeCell ref="L545:L546"/>
    <mergeCell ref="M541:M542"/>
    <mergeCell ref="N541:N542"/>
    <mergeCell ref="O541:O542"/>
    <mergeCell ref="P541:P542"/>
    <mergeCell ref="G537:G538"/>
    <mergeCell ref="H537:H538"/>
    <mergeCell ref="I537:I538"/>
    <mergeCell ref="J537:J538"/>
    <mergeCell ref="K537:K538"/>
    <mergeCell ref="L537:L538"/>
    <mergeCell ref="N533:N534"/>
    <mergeCell ref="O533:O534"/>
    <mergeCell ref="P533:P534"/>
    <mergeCell ref="M537:M538"/>
    <mergeCell ref="N537:N538"/>
    <mergeCell ref="O537:O538"/>
    <mergeCell ref="P537:P538"/>
    <mergeCell ref="M533:M534"/>
    <mergeCell ref="A545:A548"/>
    <mergeCell ref="B545:B546"/>
    <mergeCell ref="C545:C546"/>
    <mergeCell ref="D545:D546"/>
    <mergeCell ref="E545:E546"/>
    <mergeCell ref="F545:F546"/>
    <mergeCell ref="G541:G542"/>
    <mergeCell ref="H541:H542"/>
    <mergeCell ref="I541:I542"/>
    <mergeCell ref="J541:J542"/>
    <mergeCell ref="K541:K542"/>
    <mergeCell ref="L541:L542"/>
    <mergeCell ref="A541:A544"/>
    <mergeCell ref="B541:B542"/>
    <mergeCell ref="C541:C542"/>
    <mergeCell ref="D541:D542"/>
    <mergeCell ref="E541:E542"/>
    <mergeCell ref="F541:F542"/>
    <mergeCell ref="A553:A556"/>
    <mergeCell ref="B553:B554"/>
    <mergeCell ref="C553:C554"/>
    <mergeCell ref="D553:D554"/>
    <mergeCell ref="E553:E554"/>
    <mergeCell ref="F553:F554"/>
    <mergeCell ref="G553:G554"/>
    <mergeCell ref="H553:H554"/>
    <mergeCell ref="I553:I554"/>
    <mergeCell ref="J553:J554"/>
    <mergeCell ref="A537:A540"/>
    <mergeCell ref="B537:B538"/>
    <mergeCell ref="C537:C538"/>
    <mergeCell ref="D537:D538"/>
    <mergeCell ref="E537:E538"/>
    <mergeCell ref="F537:F538"/>
    <mergeCell ref="G533:G534"/>
    <mergeCell ref="H533:H534"/>
    <mergeCell ref="I533:I534"/>
    <mergeCell ref="J533:J534"/>
    <mergeCell ref="O565:O566"/>
    <mergeCell ref="P565:P566"/>
    <mergeCell ref="A569:A572"/>
    <mergeCell ref="B569:B570"/>
    <mergeCell ref="C569:C570"/>
    <mergeCell ref="D569:D570"/>
    <mergeCell ref="E569:E570"/>
    <mergeCell ref="F569:F570"/>
    <mergeCell ref="G565:G566"/>
    <mergeCell ref="H565:H566"/>
    <mergeCell ref="I565:I566"/>
    <mergeCell ref="J565:J566"/>
    <mergeCell ref="K565:K566"/>
    <mergeCell ref="L565:L566"/>
    <mergeCell ref="M549:M550"/>
    <mergeCell ref="N549:N550"/>
    <mergeCell ref="O549:O550"/>
    <mergeCell ref="P549:P550"/>
    <mergeCell ref="A557:A560"/>
    <mergeCell ref="B557:B558"/>
    <mergeCell ref="C557:C558"/>
    <mergeCell ref="D557:D558"/>
    <mergeCell ref="E557:E558"/>
    <mergeCell ref="F557:F558"/>
    <mergeCell ref="G549:G550"/>
    <mergeCell ref="H549:H550"/>
    <mergeCell ref="I549:I550"/>
    <mergeCell ref="J549:J550"/>
    <mergeCell ref="K549:K550"/>
    <mergeCell ref="L549:L550"/>
    <mergeCell ref="A549:A552"/>
    <mergeCell ref="B549:B550"/>
    <mergeCell ref="A565:A568"/>
    <mergeCell ref="B565:B566"/>
    <mergeCell ref="C565:C566"/>
    <mergeCell ref="D565:D566"/>
    <mergeCell ref="E565:E566"/>
    <mergeCell ref="F565:F566"/>
    <mergeCell ref="G561:G562"/>
    <mergeCell ref="H561:H562"/>
    <mergeCell ref="I561:I562"/>
    <mergeCell ref="J561:J562"/>
    <mergeCell ref="K561:K562"/>
    <mergeCell ref="L561:L562"/>
    <mergeCell ref="M557:M558"/>
    <mergeCell ref="N557:N558"/>
    <mergeCell ref="O557:O558"/>
    <mergeCell ref="P557:P558"/>
    <mergeCell ref="A561:A564"/>
    <mergeCell ref="B561:B562"/>
    <mergeCell ref="C561:C562"/>
    <mergeCell ref="D561:D562"/>
    <mergeCell ref="E561:E562"/>
    <mergeCell ref="F561:F562"/>
    <mergeCell ref="G557:G558"/>
    <mergeCell ref="H557:H558"/>
    <mergeCell ref="I557:I558"/>
    <mergeCell ref="J557:J558"/>
    <mergeCell ref="K557:K558"/>
    <mergeCell ref="L557:L558"/>
    <mergeCell ref="M561:M562"/>
    <mergeCell ref="N561:N562"/>
    <mergeCell ref="O561:O562"/>
    <mergeCell ref="P561:P562"/>
    <mergeCell ref="A593:A596"/>
    <mergeCell ref="B593:B594"/>
    <mergeCell ref="C593:C594"/>
    <mergeCell ref="D593:D594"/>
    <mergeCell ref="E593:E594"/>
    <mergeCell ref="F593:F594"/>
    <mergeCell ref="G573:G574"/>
    <mergeCell ref="H573:H574"/>
    <mergeCell ref="I573:I574"/>
    <mergeCell ref="J573:J574"/>
    <mergeCell ref="K573:K574"/>
    <mergeCell ref="L573:L574"/>
    <mergeCell ref="M601:M602"/>
    <mergeCell ref="N601:N602"/>
    <mergeCell ref="O601:O602"/>
    <mergeCell ref="P601:P602"/>
    <mergeCell ref="G601:G602"/>
    <mergeCell ref="H601:H602"/>
    <mergeCell ref="I601:I602"/>
    <mergeCell ref="J601:J602"/>
    <mergeCell ref="K601:K602"/>
    <mergeCell ref="L601:L602"/>
    <mergeCell ref="M597:M598"/>
    <mergeCell ref="N597:N598"/>
    <mergeCell ref="O597:O598"/>
    <mergeCell ref="P597:P598"/>
    <mergeCell ref="A601:A604"/>
    <mergeCell ref="B601:B602"/>
    <mergeCell ref="A573:A576"/>
    <mergeCell ref="B573:B574"/>
    <mergeCell ref="C573:C574"/>
    <mergeCell ref="D573:D574"/>
    <mergeCell ref="A609:A612"/>
    <mergeCell ref="B609:B610"/>
    <mergeCell ref="C609:C610"/>
    <mergeCell ref="D609:D610"/>
    <mergeCell ref="E609:E610"/>
    <mergeCell ref="F609:F610"/>
    <mergeCell ref="M593:M594"/>
    <mergeCell ref="N593:N594"/>
    <mergeCell ref="O593:O594"/>
    <mergeCell ref="P593:P594"/>
    <mergeCell ref="A597:A600"/>
    <mergeCell ref="B597:B598"/>
    <mergeCell ref="C597:C598"/>
    <mergeCell ref="D597:D598"/>
    <mergeCell ref="E597:E598"/>
    <mergeCell ref="F597:F598"/>
    <mergeCell ref="G593:G594"/>
    <mergeCell ref="H593:H594"/>
    <mergeCell ref="I593:I594"/>
    <mergeCell ref="J593:J594"/>
    <mergeCell ref="K593:K594"/>
    <mergeCell ref="L593:L594"/>
    <mergeCell ref="A605:A608"/>
    <mergeCell ref="B605:B606"/>
    <mergeCell ref="C605:C606"/>
    <mergeCell ref="D605:D606"/>
    <mergeCell ref="E605:E606"/>
    <mergeCell ref="F605:F606"/>
    <mergeCell ref="G605:G606"/>
    <mergeCell ref="H605:H606"/>
    <mergeCell ref="I605:I606"/>
    <mergeCell ref="J605:J606"/>
    <mergeCell ref="M637:M638"/>
    <mergeCell ref="N637:N638"/>
    <mergeCell ref="O637:O638"/>
    <mergeCell ref="P637:P638"/>
    <mergeCell ref="M617:M618"/>
    <mergeCell ref="N617:N618"/>
    <mergeCell ref="O617:O618"/>
    <mergeCell ref="P617:P618"/>
    <mergeCell ref="F621:F622"/>
    <mergeCell ref="M609:M610"/>
    <mergeCell ref="N609:N610"/>
    <mergeCell ref="O609:O610"/>
    <mergeCell ref="P609:P610"/>
    <mergeCell ref="G609:G610"/>
    <mergeCell ref="H609:H610"/>
    <mergeCell ref="I609:I610"/>
    <mergeCell ref="J609:J610"/>
    <mergeCell ref="K609:K610"/>
    <mergeCell ref="L609:L610"/>
    <mergeCell ref="F637:F638"/>
    <mergeCell ref="G637:G638"/>
    <mergeCell ref="H637:H638"/>
    <mergeCell ref="I637:I638"/>
    <mergeCell ref="J637:J638"/>
    <mergeCell ref="K637:K638"/>
    <mergeCell ref="M621:M622"/>
    <mergeCell ref="N621:N622"/>
    <mergeCell ref="O621:O622"/>
    <mergeCell ref="P621:P622"/>
    <mergeCell ref="M629:M630"/>
    <mergeCell ref="N629:N630"/>
    <mergeCell ref="O629:O630"/>
    <mergeCell ref="A641:A644"/>
    <mergeCell ref="B641:B642"/>
    <mergeCell ref="C641:F644"/>
    <mergeCell ref="G641:G642"/>
    <mergeCell ref="H641:H642"/>
    <mergeCell ref="O641:O642"/>
    <mergeCell ref="P641:P642"/>
    <mergeCell ref="A645:A648"/>
    <mergeCell ref="B645:B646"/>
    <mergeCell ref="C645:C646"/>
    <mergeCell ref="D645:D646"/>
    <mergeCell ref="E645:E646"/>
    <mergeCell ref="F645:F646"/>
    <mergeCell ref="G645:G646"/>
    <mergeCell ref="H645:H646"/>
    <mergeCell ref="I641:I642"/>
    <mergeCell ref="J641:J642"/>
    <mergeCell ref="K641:K642"/>
    <mergeCell ref="L641:L642"/>
    <mergeCell ref="M641:M642"/>
    <mergeCell ref="N641:N642"/>
    <mergeCell ref="A637:A640"/>
    <mergeCell ref="B637:B638"/>
    <mergeCell ref="C637:C638"/>
    <mergeCell ref="D637:D638"/>
    <mergeCell ref="E637:E638"/>
    <mergeCell ref="G621:G622"/>
    <mergeCell ref="H621:H622"/>
    <mergeCell ref="I621:I622"/>
    <mergeCell ref="J621:J622"/>
    <mergeCell ref="K621:K622"/>
    <mergeCell ref="L621:L622"/>
    <mergeCell ref="A621:A624"/>
    <mergeCell ref="B621:B622"/>
    <mergeCell ref="C621:C622"/>
    <mergeCell ref="D621:D622"/>
    <mergeCell ref="E621:E622"/>
    <mergeCell ref="A629:A632"/>
    <mergeCell ref="B629:B630"/>
    <mergeCell ref="C629:C630"/>
    <mergeCell ref="D629:D630"/>
    <mergeCell ref="E629:E630"/>
    <mergeCell ref="F629:F630"/>
    <mergeCell ref="G629:G630"/>
    <mergeCell ref="H629:H630"/>
    <mergeCell ref="I629:I630"/>
    <mergeCell ref="J629:J630"/>
    <mergeCell ref="K629:K630"/>
    <mergeCell ref="L629:L630"/>
    <mergeCell ref="L637:L638"/>
    <mergeCell ref="A633:A636"/>
    <mergeCell ref="B633:B634"/>
    <mergeCell ref="C633:C634"/>
    <mergeCell ref="O649:O650"/>
    <mergeCell ref="P649:P650"/>
    <mergeCell ref="A653:A656"/>
    <mergeCell ref="B653:B654"/>
    <mergeCell ref="C653:C654"/>
    <mergeCell ref="D653:D654"/>
    <mergeCell ref="E653:E654"/>
    <mergeCell ref="F653:F654"/>
    <mergeCell ref="G653:G654"/>
    <mergeCell ref="H653:H654"/>
    <mergeCell ref="I649:I650"/>
    <mergeCell ref="J649:J650"/>
    <mergeCell ref="K649:K650"/>
    <mergeCell ref="L649:L650"/>
    <mergeCell ref="M649:M650"/>
    <mergeCell ref="N649:N650"/>
    <mergeCell ref="O645:O646"/>
    <mergeCell ref="P645:P646"/>
    <mergeCell ref="A649:A652"/>
    <mergeCell ref="B649:B650"/>
    <mergeCell ref="C649:C650"/>
    <mergeCell ref="D649:D650"/>
    <mergeCell ref="E649:E650"/>
    <mergeCell ref="F649:F650"/>
    <mergeCell ref="G649:G650"/>
    <mergeCell ref="H649:H650"/>
    <mergeCell ref="I645:I646"/>
    <mergeCell ref="J645:J646"/>
    <mergeCell ref="K645:K646"/>
    <mergeCell ref="L645:L646"/>
    <mergeCell ref="M645:M646"/>
    <mergeCell ref="N645:N646"/>
    <mergeCell ref="A669:A672"/>
    <mergeCell ref="B669:B670"/>
    <mergeCell ref="C669:C670"/>
    <mergeCell ref="D669:D670"/>
    <mergeCell ref="E669:E670"/>
    <mergeCell ref="F669:F670"/>
    <mergeCell ref="G669:G670"/>
    <mergeCell ref="H669:H670"/>
    <mergeCell ref="I665:I666"/>
    <mergeCell ref="J665:J666"/>
    <mergeCell ref="K665:K666"/>
    <mergeCell ref="L665:L666"/>
    <mergeCell ref="M665:M666"/>
    <mergeCell ref="N665:N666"/>
    <mergeCell ref="O661:O662"/>
    <mergeCell ref="P661:P662"/>
    <mergeCell ref="A665:A668"/>
    <mergeCell ref="B665:B666"/>
    <mergeCell ref="C665:C666"/>
    <mergeCell ref="D665:D666"/>
    <mergeCell ref="E665:E666"/>
    <mergeCell ref="F665:F666"/>
    <mergeCell ref="G665:G666"/>
    <mergeCell ref="N669:N670"/>
    <mergeCell ref="J657:J658"/>
    <mergeCell ref="K657:K658"/>
    <mergeCell ref="L657:L658"/>
    <mergeCell ref="M657:M658"/>
    <mergeCell ref="N657:N658"/>
    <mergeCell ref="O653:O654"/>
    <mergeCell ref="P653:P654"/>
    <mergeCell ref="A657:A660"/>
    <mergeCell ref="B657:B658"/>
    <mergeCell ref="C657:C658"/>
    <mergeCell ref="D657:D658"/>
    <mergeCell ref="E657:E658"/>
    <mergeCell ref="F657:F658"/>
    <mergeCell ref="G657:G658"/>
    <mergeCell ref="H657:H658"/>
    <mergeCell ref="I653:I654"/>
    <mergeCell ref="J653:J654"/>
    <mergeCell ref="K653:K654"/>
    <mergeCell ref="L653:L654"/>
    <mergeCell ref="M653:M654"/>
    <mergeCell ref="N653:N654"/>
    <mergeCell ref="O657:O658"/>
    <mergeCell ref="P657:P658"/>
    <mergeCell ref="A677:A680"/>
    <mergeCell ref="B677:B678"/>
    <mergeCell ref="C677:C678"/>
    <mergeCell ref="D677:D678"/>
    <mergeCell ref="E677:E678"/>
    <mergeCell ref="F677:F678"/>
    <mergeCell ref="G677:G678"/>
    <mergeCell ref="A673:A676"/>
    <mergeCell ref="B673:B674"/>
    <mergeCell ref="C673:C674"/>
    <mergeCell ref="D673:D674"/>
    <mergeCell ref="O681:O682"/>
    <mergeCell ref="E673:E674"/>
    <mergeCell ref="F673:F674"/>
    <mergeCell ref="G673:G674"/>
    <mergeCell ref="A661:A664"/>
    <mergeCell ref="B661:B662"/>
    <mergeCell ref="C661:C662"/>
    <mergeCell ref="D661:D662"/>
    <mergeCell ref="E661:E662"/>
    <mergeCell ref="F661:F662"/>
    <mergeCell ref="G661:G662"/>
    <mergeCell ref="H661:H662"/>
    <mergeCell ref="O665:O666"/>
    <mergeCell ref="A681:A684"/>
    <mergeCell ref="B681:B682"/>
    <mergeCell ref="C681:C682"/>
    <mergeCell ref="D681:D682"/>
    <mergeCell ref="E681:E682"/>
    <mergeCell ref="F681:F682"/>
    <mergeCell ref="G681:G682"/>
    <mergeCell ref="H681:H682"/>
    <mergeCell ref="P681:P682"/>
    <mergeCell ref="I681:I682"/>
    <mergeCell ref="J681:J682"/>
    <mergeCell ref="K681:K682"/>
    <mergeCell ref="L681:L682"/>
    <mergeCell ref="M681:M682"/>
    <mergeCell ref="N681:N682"/>
    <mergeCell ref="O677:O678"/>
    <mergeCell ref="P677:P678"/>
    <mergeCell ref="H665:H666"/>
    <mergeCell ref="I661:I662"/>
    <mergeCell ref="J661:J662"/>
    <mergeCell ref="K661:K662"/>
    <mergeCell ref="L661:L662"/>
    <mergeCell ref="M661:M662"/>
    <mergeCell ref="N661:N662"/>
    <mergeCell ref="O673:O674"/>
    <mergeCell ref="P673:P674"/>
    <mergeCell ref="H677:H678"/>
    <mergeCell ref="I673:I674"/>
    <mergeCell ref="J673:J674"/>
    <mergeCell ref="K673:K674"/>
    <mergeCell ref="L673:L674"/>
    <mergeCell ref="M673:M674"/>
    <mergeCell ref="N673:N674"/>
    <mergeCell ref="O669:O670"/>
    <mergeCell ref="P669:P670"/>
    <mergeCell ref="J669:J670"/>
    <mergeCell ref="K669:K670"/>
    <mergeCell ref="L669:L670"/>
    <mergeCell ref="M669:M670"/>
    <mergeCell ref="P665:P666"/>
    <mergeCell ref="I677:I678"/>
    <mergeCell ref="J677:J678"/>
    <mergeCell ref="K677:K678"/>
    <mergeCell ref="L677:L678"/>
    <mergeCell ref="M677:M678"/>
    <mergeCell ref="N677:N678"/>
    <mergeCell ref="H673:H674"/>
    <mergeCell ref="I669:I670"/>
    <mergeCell ref="B277:B278"/>
    <mergeCell ref="C277:C278"/>
    <mergeCell ref="D277:D278"/>
    <mergeCell ref="E277:E278"/>
    <mergeCell ref="F277:F278"/>
    <mergeCell ref="G277:G278"/>
    <mergeCell ref="H277:H278"/>
    <mergeCell ref="I277:I278"/>
    <mergeCell ref="J277:J278"/>
    <mergeCell ref="K277:K278"/>
    <mergeCell ref="L277:L278"/>
    <mergeCell ref="M277:M278"/>
    <mergeCell ref="N277:N278"/>
    <mergeCell ref="E469:E470"/>
    <mergeCell ref="F469:F470"/>
    <mergeCell ref="G469:G470"/>
    <mergeCell ref="H469:H470"/>
    <mergeCell ref="I469:I470"/>
    <mergeCell ref="J469:J470"/>
    <mergeCell ref="K469:K470"/>
    <mergeCell ref="L469:L470"/>
    <mergeCell ref="M469:M470"/>
    <mergeCell ref="N469:N470"/>
    <mergeCell ref="I657:I658"/>
    <mergeCell ref="G226:G227"/>
    <mergeCell ref="H226:H227"/>
    <mergeCell ref="I226:I227"/>
    <mergeCell ref="J226:J227"/>
    <mergeCell ref="K226:K227"/>
    <mergeCell ref="L226:L227"/>
    <mergeCell ref="M226:M227"/>
    <mergeCell ref="N226:N227"/>
    <mergeCell ref="O226:O227"/>
    <mergeCell ref="P226:P227"/>
    <mergeCell ref="O277:O278"/>
    <mergeCell ref="P277:P278"/>
    <mergeCell ref="M269:M270"/>
    <mergeCell ref="N269:N270"/>
    <mergeCell ref="O269:O270"/>
    <mergeCell ref="P269:P270"/>
    <mergeCell ref="G269:G270"/>
    <mergeCell ref="H269:H270"/>
    <mergeCell ref="I269:I270"/>
    <mergeCell ref="J269:J270"/>
    <mergeCell ref="P273:P274"/>
    <mergeCell ref="O246:O247"/>
    <mergeCell ref="P246:P247"/>
    <mergeCell ref="J257:J258"/>
    <mergeCell ref="K257:K258"/>
    <mergeCell ref="L257:L258"/>
    <mergeCell ref="M261:M262"/>
    <mergeCell ref="N261:N262"/>
    <mergeCell ref="O261:O262"/>
    <mergeCell ref="P261:P262"/>
    <mergeCell ref="M230:M231"/>
    <mergeCell ref="G273:G274"/>
    <mergeCell ref="H273:H274"/>
    <mergeCell ref="I273:I274"/>
    <mergeCell ref="J273:J274"/>
    <mergeCell ref="K273:K274"/>
    <mergeCell ref="L273:L274"/>
    <mergeCell ref="M285:M286"/>
    <mergeCell ref="N285:N286"/>
    <mergeCell ref="O273:O274"/>
    <mergeCell ref="A372:A375"/>
    <mergeCell ref="G289:G290"/>
    <mergeCell ref="H289:H290"/>
    <mergeCell ref="I289:I290"/>
    <mergeCell ref="J289:J290"/>
    <mergeCell ref="K289:K290"/>
    <mergeCell ref="L289:L290"/>
    <mergeCell ref="M289:M290"/>
    <mergeCell ref="N289:N290"/>
    <mergeCell ref="O289:O290"/>
    <mergeCell ref="A337:A340"/>
    <mergeCell ref="B337:B338"/>
    <mergeCell ref="C337:C338"/>
    <mergeCell ref="D337:D338"/>
    <mergeCell ref="E337:E338"/>
    <mergeCell ref="F337:F338"/>
    <mergeCell ref="M345:M346"/>
    <mergeCell ref="N345:N346"/>
    <mergeCell ref="O345:O346"/>
    <mergeCell ref="A349:A352"/>
    <mergeCell ref="B349:B350"/>
    <mergeCell ref="C349:C350"/>
    <mergeCell ref="D349:D350"/>
    <mergeCell ref="N309:N310"/>
    <mergeCell ref="P297:P298"/>
    <mergeCell ref="E301:E302"/>
    <mergeCell ref="F301:F302"/>
    <mergeCell ref="G297:G298"/>
    <mergeCell ref="H297:H298"/>
    <mergeCell ref="I297:I298"/>
    <mergeCell ref="J297:J298"/>
    <mergeCell ref="B289:B290"/>
    <mergeCell ref="C289:C290"/>
    <mergeCell ref="D289:D290"/>
    <mergeCell ref="E289:E290"/>
    <mergeCell ref="F289:F290"/>
    <mergeCell ref="I305:I306"/>
    <mergeCell ref="J305:J306"/>
    <mergeCell ref="K305:K306"/>
    <mergeCell ref="L305:L306"/>
    <mergeCell ref="P289:P290"/>
    <mergeCell ref="K297:K298"/>
    <mergeCell ref="L297:L298"/>
    <mergeCell ref="J293:J294"/>
    <mergeCell ref="K293:K294"/>
    <mergeCell ref="L293:L294"/>
    <mergeCell ref="M297:M298"/>
    <mergeCell ref="N297:N298"/>
    <mergeCell ref="O297:O298"/>
    <mergeCell ref="F364:F365"/>
    <mergeCell ref="N364:N365"/>
    <mergeCell ref="O364:O365"/>
    <mergeCell ref="O372:O373"/>
    <mergeCell ref="K372:K373"/>
    <mergeCell ref="L372:L373"/>
    <mergeCell ref="M372:M373"/>
    <mergeCell ref="N372:N373"/>
    <mergeCell ref="G364:G365"/>
    <mergeCell ref="H364:H365"/>
    <mergeCell ref="I364:I365"/>
    <mergeCell ref="J364:J365"/>
    <mergeCell ref="N368:N369"/>
    <mergeCell ref="I345:I346"/>
    <mergeCell ref="J345:J346"/>
    <mergeCell ref="K345:K346"/>
    <mergeCell ref="L345:L346"/>
    <mergeCell ref="G360:G361"/>
    <mergeCell ref="H360:H361"/>
    <mergeCell ref="O353:O354"/>
    <mergeCell ref="M349:M350"/>
    <mergeCell ref="N349:N350"/>
    <mergeCell ref="O349:O350"/>
    <mergeCell ref="C388:C389"/>
    <mergeCell ref="D388:D389"/>
    <mergeCell ref="E388:E389"/>
    <mergeCell ref="P341:P342"/>
    <mergeCell ref="O368:O369"/>
    <mergeCell ref="P368:P369"/>
    <mergeCell ref="H372:H373"/>
    <mergeCell ref="I372:I373"/>
    <mergeCell ref="J372:J373"/>
    <mergeCell ref="K364:K365"/>
    <mergeCell ref="K380:K381"/>
    <mergeCell ref="L380:L381"/>
    <mergeCell ref="M380:M381"/>
    <mergeCell ref="N380:N381"/>
    <mergeCell ref="O380:O381"/>
    <mergeCell ref="P380:P381"/>
    <mergeCell ref="A360:A363"/>
    <mergeCell ref="B360:B361"/>
    <mergeCell ref="C360:C361"/>
    <mergeCell ref="D360:D361"/>
    <mergeCell ref="E360:E361"/>
    <mergeCell ref="F360:F361"/>
    <mergeCell ref="P345:P346"/>
    <mergeCell ref="P360:P361"/>
    <mergeCell ref="P376:P377"/>
    <mergeCell ref="L364:L365"/>
    <mergeCell ref="M364:M365"/>
    <mergeCell ref="A368:A371"/>
    <mergeCell ref="B368:B369"/>
    <mergeCell ref="B372:B373"/>
    <mergeCell ref="C372:C373"/>
    <mergeCell ref="D372:D373"/>
    <mergeCell ref="A437:A440"/>
    <mergeCell ref="A408:A411"/>
    <mergeCell ref="B408:B409"/>
    <mergeCell ref="C408:C409"/>
    <mergeCell ref="D408:D409"/>
    <mergeCell ref="E408:E409"/>
    <mergeCell ref="F408:F409"/>
    <mergeCell ref="G408:G409"/>
    <mergeCell ref="H408:H409"/>
    <mergeCell ref="P364:P365"/>
    <mergeCell ref="C368:C369"/>
    <mergeCell ref="D368:D369"/>
    <mergeCell ref="E368:E369"/>
    <mergeCell ref="F368:F369"/>
    <mergeCell ref="B437:B438"/>
    <mergeCell ref="C437:C438"/>
    <mergeCell ref="D437:D438"/>
    <mergeCell ref="E437:E438"/>
    <mergeCell ref="F437:F438"/>
    <mergeCell ref="A428:A431"/>
    <mergeCell ref="B428:B429"/>
    <mergeCell ref="A380:A383"/>
    <mergeCell ref="B380:B381"/>
    <mergeCell ref="C380:C381"/>
    <mergeCell ref="D380:D381"/>
    <mergeCell ref="E380:E381"/>
    <mergeCell ref="F380:F381"/>
    <mergeCell ref="G380:G381"/>
    <mergeCell ref="P372:P373"/>
    <mergeCell ref="I432:I434"/>
    <mergeCell ref="A388:A391"/>
    <mergeCell ref="B388:B389"/>
    <mergeCell ref="D633:D634"/>
    <mergeCell ref="E633:E634"/>
    <mergeCell ref="F633:F634"/>
    <mergeCell ref="G633:G634"/>
    <mergeCell ref="H633:H634"/>
    <mergeCell ref="I633:I634"/>
    <mergeCell ref="J633:J634"/>
    <mergeCell ref="K633:K634"/>
    <mergeCell ref="L633:L634"/>
    <mergeCell ref="M633:M634"/>
    <mergeCell ref="N633:N634"/>
    <mergeCell ref="O633:O634"/>
    <mergeCell ref="P633:P634"/>
    <mergeCell ref="O469:O470"/>
    <mergeCell ref="P469:P470"/>
    <mergeCell ref="G617:G618"/>
    <mergeCell ref="I437:I438"/>
    <mergeCell ref="J437:J438"/>
    <mergeCell ref="K437:K438"/>
    <mergeCell ref="L437:L438"/>
    <mergeCell ref="P613:P614"/>
    <mergeCell ref="M573:M574"/>
    <mergeCell ref="N573:N574"/>
    <mergeCell ref="O573:O574"/>
    <mergeCell ref="P573:P574"/>
    <mergeCell ref="M569:M570"/>
    <mergeCell ref="N569:N570"/>
    <mergeCell ref="O569:O570"/>
    <mergeCell ref="P569:P570"/>
    <mergeCell ref="E573:E574"/>
    <mergeCell ref="F573:F574"/>
    <mergeCell ref="G569:G570"/>
    <mergeCell ref="F404:F405"/>
    <mergeCell ref="M404:M405"/>
    <mergeCell ref="N404:N405"/>
    <mergeCell ref="C428:C429"/>
    <mergeCell ref="D428:D429"/>
    <mergeCell ref="E428:E429"/>
    <mergeCell ref="F428:F429"/>
    <mergeCell ref="G424:G425"/>
    <mergeCell ref="H424:H425"/>
    <mergeCell ref="I424:I425"/>
    <mergeCell ref="J424:J425"/>
    <mergeCell ref="K424:K425"/>
    <mergeCell ref="H617:H618"/>
    <mergeCell ref="I617:I618"/>
    <mergeCell ref="J617:J618"/>
    <mergeCell ref="K617:K618"/>
    <mergeCell ref="L617:L618"/>
    <mergeCell ref="G432:G434"/>
    <mergeCell ref="H432:H434"/>
    <mergeCell ref="H569:H570"/>
    <mergeCell ref="I569:I570"/>
    <mergeCell ref="J569:J570"/>
    <mergeCell ref="K569:K570"/>
    <mergeCell ref="L569:L570"/>
    <mergeCell ref="M565:M566"/>
    <mergeCell ref="N565:N566"/>
    <mergeCell ref="C549:C550"/>
    <mergeCell ref="D549:D550"/>
    <mergeCell ref="E549:E550"/>
    <mergeCell ref="F549:F550"/>
    <mergeCell ref="K533:K534"/>
    <mergeCell ref="L533:L534"/>
    <mergeCell ref="P404:P405"/>
    <mergeCell ref="C441:C442"/>
    <mergeCell ref="D441:D442"/>
    <mergeCell ref="E441:E442"/>
    <mergeCell ref="F441:F442"/>
    <mergeCell ref="G441:G442"/>
    <mergeCell ref="H441:H442"/>
    <mergeCell ref="I441:I442"/>
    <mergeCell ref="J441:J442"/>
    <mergeCell ref="K441:K442"/>
    <mergeCell ref="L441:L442"/>
    <mergeCell ref="M441:M442"/>
    <mergeCell ref="N441:N442"/>
    <mergeCell ref="A617:A620"/>
    <mergeCell ref="L408:L409"/>
    <mergeCell ref="M408:M409"/>
    <mergeCell ref="N408:N409"/>
    <mergeCell ref="O408:O409"/>
    <mergeCell ref="P408:P409"/>
    <mergeCell ref="A441:A444"/>
    <mergeCell ref="B441:B442"/>
    <mergeCell ref="O441:O442"/>
    <mergeCell ref="P441:P442"/>
    <mergeCell ref="M432:M434"/>
    <mergeCell ref="N432:N434"/>
    <mergeCell ref="J432:J434"/>
    <mergeCell ref="K432:K434"/>
    <mergeCell ref="L432:L434"/>
    <mergeCell ref="A404:A407"/>
    <mergeCell ref="B404:B405"/>
    <mergeCell ref="F617:F618"/>
    <mergeCell ref="E404:E405"/>
    <mergeCell ref="A625:A628"/>
    <mergeCell ref="B625:B626"/>
    <mergeCell ref="C625:C626"/>
    <mergeCell ref="D625:D626"/>
    <mergeCell ref="E625:E626"/>
    <mergeCell ref="F625:F626"/>
    <mergeCell ref="G625:G626"/>
    <mergeCell ref="H625:H626"/>
    <mergeCell ref="I625:I626"/>
    <mergeCell ref="J625:J626"/>
    <mergeCell ref="K625:K626"/>
    <mergeCell ref="L625:L626"/>
    <mergeCell ref="M625:M626"/>
    <mergeCell ref="N625:N626"/>
    <mergeCell ref="O625:O626"/>
    <mergeCell ref="P625:P626"/>
    <mergeCell ref="B617:B618"/>
    <mergeCell ref="C617:C618"/>
    <mergeCell ref="D617:D618"/>
    <mergeCell ref="E617:E618"/>
    <mergeCell ref="A321:A324"/>
    <mergeCell ref="B321:B322"/>
    <mergeCell ref="C321:C322"/>
    <mergeCell ref="D321:D322"/>
    <mergeCell ref="E321:E322"/>
    <mergeCell ref="F321:F322"/>
    <mergeCell ref="G321:G322"/>
    <mergeCell ref="H321:H322"/>
    <mergeCell ref="I321:I322"/>
    <mergeCell ref="J321:J322"/>
    <mergeCell ref="K321:K322"/>
    <mergeCell ref="L321:L322"/>
    <mergeCell ref="M321:M322"/>
    <mergeCell ref="N321:N322"/>
    <mergeCell ref="O321:O322"/>
    <mergeCell ref="P321:P322"/>
    <mergeCell ref="P629:P630"/>
    <mergeCell ref="A613:A616"/>
    <mergeCell ref="B613:B614"/>
    <mergeCell ref="C613:C614"/>
    <mergeCell ref="D613:D614"/>
    <mergeCell ref="E613:E614"/>
    <mergeCell ref="F613:F614"/>
    <mergeCell ref="G613:G614"/>
    <mergeCell ref="H613:H614"/>
    <mergeCell ref="I613:I614"/>
    <mergeCell ref="J613:J614"/>
    <mergeCell ref="K613:K614"/>
    <mergeCell ref="L613:L614"/>
    <mergeCell ref="M613:M614"/>
    <mergeCell ref="N613:N614"/>
    <mergeCell ref="O613:O614"/>
  </mergeCells>
  <conditionalFormatting sqref="E593 C661:M664 O661:O664 O2:O6 O43:O82 O384:O395 C83:I83 K83:O83 G593:M593 O11:O34 C13:M18 C384:M391 N483:N488 C623:M632 D621:D622 E11:M12 D485:M486 E19:M20 C29:M34 D27:M28 D420:M421 C487:M488 C394:M395 E392:M393 C489:C490 E489:M490 F621:M622 C21:M26 C422:M436 C688:O1048576 O669:O686 C669:M686 C491:M500 C2:M6 N166:N181 C357:O383 C493:N502 C497:O500 C525:O528 N204:N245 C234:O237 N281:N296 C289:O292 N305:N328 O261:O336 O341:O352 C341:M352 N400:O436 C400:M419 C445:O448 N503:N536 N539:N556 C517:O520 C43:M82 C261:M336 C166:M173 J174:M177 C174:H177 N571:N593 O449:O593 C503:M592 C577:O580 O85:O161 C85:M161 N117:N161 C408:O411 C595:M620 O595:O632 N619:N632 C625:O640 C613:O616 N248:N256 C250:O252 O166:O256 C585:O592 I177 C449:M484 C178:M256 C321:O324">
    <cfRule type="containsText" dxfId="2282" priority="807" operator="containsText" text="Cheque">
      <formula>NOT(ISERROR(SEARCH("Cheque",C2)))</formula>
    </cfRule>
    <cfRule type="containsText" dxfId="2281" priority="811" operator="containsText" text="Dinheiro">
      <formula>NOT(ISERROR(SEARCH("Dinheiro",C2)))</formula>
    </cfRule>
    <cfRule type="cellIs" dxfId="2280" priority="812" operator="greaterThan">
      <formula>0</formula>
    </cfRule>
  </conditionalFormatting>
  <conditionalFormatting sqref="F412:F419">
    <cfRule type="containsText" dxfId="2279" priority="810" operator="containsText" text="Cheque">
      <formula>NOT(ISERROR(SEARCH("Cheque",F412)))</formula>
    </cfRule>
  </conditionalFormatting>
  <conditionalFormatting sqref="C395">
    <cfRule type="containsText" dxfId="2278" priority="809" operator="containsText" text="Cheque">
      <formula>NOT(ISERROR(SEARCH("Cheque",C395)))</formula>
    </cfRule>
  </conditionalFormatting>
  <conditionalFormatting sqref="E400:E401">
    <cfRule type="containsText" dxfId="2277" priority="808" operator="containsText" text="Cheque">
      <formula>NOT(ISERROR(SEARCH("Cheque",E400)))</formula>
    </cfRule>
  </conditionalFormatting>
  <conditionalFormatting sqref="B595:M596 A593:B593 B85:M86 A661:M664 O661:O664 O2:O6 O43:O82 O384:O395 A83:I83 K83:O83 G593:M593 A3:M6 O11:O34 A13:M18 A384:M391 N483:N488 A621:B622 D621:D622 A11:B12 E11:M12 A485:B486 D485:M486 E593 A19:B20 E19:M20 A29:M34 A27:B28 D27:M28 A420:B421 D420:M421 A487:M488 A394:M395 A392:B393 E392:M393 A489:C490 E489:M490 F621:M622 A21:M26 A422:M436 A688:O1048576 O669:O686 A669:M686 A491:M500 B148:M149 C2:M2 N166:N181 A357:O383 A493:N502 A497:O500 A525:O528 N204:N245 A234:O237 N281:N296 A289:O292 N305:N328 O261:O336 O341:O352 A341:M352 N400:O436 A400:M419 A445:O448 N503:N536 N539:N556 A517:O520 A43:M82 A150:M161 A261:M336 A166:M173 J174:M177 A174:H177 N571:N593 O449:O593 A503:M592 A577:O580 O85:O161 A87:M147 N117:N161 A623:M640 A408:O411 A597:M620 O595:O640 N619:N640 A625:O632 A613:O616 N248:N256 A250:O252 O166:O256 A585:O592 I177 A449:M484 A178:M256 A321:O324">
    <cfRule type="containsText" dxfId="2276" priority="806" operator="containsText" text="Pix">
      <formula>NOT(ISERROR(SEARCH("Pix",A2)))</formula>
    </cfRule>
  </conditionalFormatting>
  <conditionalFormatting sqref="G641:M644 O641:O644">
    <cfRule type="containsText" dxfId="2275" priority="802" operator="containsText" text="Cheque">
      <formula>NOT(ISERROR(SEARCH("Cheque",G641)))</formula>
    </cfRule>
    <cfRule type="containsText" dxfId="2274" priority="803" operator="containsText" text="Dinheiro">
      <formula>NOT(ISERROR(SEARCH("Dinheiro",G641)))</formula>
    </cfRule>
    <cfRule type="cellIs" dxfId="2273" priority="804" operator="greaterThan">
      <formula>0</formula>
    </cfRule>
  </conditionalFormatting>
  <conditionalFormatting sqref="A641:B644 G641:M644 O641:O644">
    <cfRule type="containsText" dxfId="2272" priority="801" operator="containsText" text="Pix">
      <formula>NOT(ISERROR(SEARCH("Pix",A641)))</formula>
    </cfRule>
  </conditionalFormatting>
  <conditionalFormatting sqref="C645:M648 O645:O648">
    <cfRule type="containsText" dxfId="2271" priority="798" operator="containsText" text="Cheque">
      <formula>NOT(ISERROR(SEARCH("Cheque",C645)))</formula>
    </cfRule>
    <cfRule type="containsText" dxfId="2270" priority="799" operator="containsText" text="Dinheiro">
      <formula>NOT(ISERROR(SEARCH("Dinheiro",C645)))</formula>
    </cfRule>
    <cfRule type="cellIs" dxfId="2269" priority="800" operator="greaterThan">
      <formula>0</formula>
    </cfRule>
  </conditionalFormatting>
  <conditionalFormatting sqref="A645:M648 O645:O648">
    <cfRule type="containsText" dxfId="2268" priority="797" operator="containsText" text="Pix">
      <formula>NOT(ISERROR(SEARCH("Pix",A645)))</formula>
    </cfRule>
  </conditionalFormatting>
  <conditionalFormatting sqref="O162:O165 C162:M165">
    <cfRule type="containsText" dxfId="2267" priority="794" operator="containsText" text="Cheque">
      <formula>NOT(ISERROR(SEARCH("Cheque",C162)))</formula>
    </cfRule>
    <cfRule type="containsText" dxfId="2266" priority="795" operator="containsText" text="Dinheiro">
      <formula>NOT(ISERROR(SEARCH("Dinheiro",C162)))</formula>
    </cfRule>
    <cfRule type="cellIs" dxfId="2265" priority="796" operator="greaterThan">
      <formula>0</formula>
    </cfRule>
  </conditionalFormatting>
  <conditionalFormatting sqref="O162:O165 A162:M165">
    <cfRule type="containsText" dxfId="2264" priority="793" operator="containsText" text="Pix">
      <formula>NOT(ISERROR(SEARCH("Pix",A162)))</formula>
    </cfRule>
  </conditionalFormatting>
  <conditionalFormatting sqref="C649:M652 O649:O652">
    <cfRule type="containsText" dxfId="2263" priority="786" operator="containsText" text="Cheque">
      <formula>NOT(ISERROR(SEARCH("Cheque",C649)))</formula>
    </cfRule>
    <cfRule type="containsText" dxfId="2262" priority="787" operator="containsText" text="Dinheiro">
      <formula>NOT(ISERROR(SEARCH("Dinheiro",C649)))</formula>
    </cfRule>
    <cfRule type="cellIs" dxfId="2261" priority="788" operator="greaterThan">
      <formula>0</formula>
    </cfRule>
  </conditionalFormatting>
  <conditionalFormatting sqref="A649:M652 O649:O652">
    <cfRule type="containsText" dxfId="2260" priority="785" operator="containsText" text="Pix">
      <formula>NOT(ISERROR(SEARCH("Pix",A649)))</formula>
    </cfRule>
  </conditionalFormatting>
  <conditionalFormatting sqref="C653:M656 O653:O656">
    <cfRule type="containsText" dxfId="2259" priority="782" operator="containsText" text="Cheque">
      <formula>NOT(ISERROR(SEARCH("Cheque",C653)))</formula>
    </cfRule>
    <cfRule type="containsText" dxfId="2258" priority="783" operator="containsText" text="Dinheiro">
      <formula>NOT(ISERROR(SEARCH("Dinheiro",C653)))</formula>
    </cfRule>
    <cfRule type="cellIs" dxfId="2257" priority="784" operator="greaterThan">
      <formula>0</formula>
    </cfRule>
  </conditionalFormatting>
  <conditionalFormatting sqref="A653:M656 O653:O656">
    <cfRule type="containsText" dxfId="2256" priority="781" operator="containsText" text="Pix">
      <formula>NOT(ISERROR(SEARCH("Pix",A653)))</formula>
    </cfRule>
  </conditionalFormatting>
  <conditionalFormatting sqref="C657:M660 O657:O660">
    <cfRule type="containsText" dxfId="2255" priority="774" operator="containsText" text="Cheque">
      <formula>NOT(ISERROR(SEARCH("Cheque",C657)))</formula>
    </cfRule>
    <cfRule type="containsText" dxfId="2254" priority="775" operator="containsText" text="Dinheiro">
      <formula>NOT(ISERROR(SEARCH("Dinheiro",C657)))</formula>
    </cfRule>
    <cfRule type="cellIs" dxfId="2253" priority="776" operator="greaterThan">
      <formula>0</formula>
    </cfRule>
  </conditionalFormatting>
  <conditionalFormatting sqref="A657:M660 O657:O660">
    <cfRule type="containsText" dxfId="2252" priority="773" operator="containsText" text="Pix">
      <formula>NOT(ISERROR(SEARCH("Pix",A657)))</formula>
    </cfRule>
  </conditionalFormatting>
  <conditionalFormatting sqref="O43:XFD82 P83:XFD84 A83:I84 K83:O83 O11:XFD34 A13:M18 A384:M391 N483:N488 A621:B622 D621:D622 A11:B12 E11:M12 A485:B486 D485:M486 A593:B594 A19:B20 E19:M20 A29:M34 A27:B28 D27:M28 A420:B421 D420:M421 A487:M488 A394:M395 A392:B393 E392:M393 A489:C490 E489:M490 F621:M622 O345:XFD352 A345:M352 E593:M594 A21:M26 A422:M436 A669:M686 A491:M500 C1:XFD1 B148:M149 A2:XFD6 Q684:XFD1048576 A688:P1048576 O669:P686 A665:P668 A368:XFD371 A357:P383 A493:N502 A497:P500 A525:P528 N204:N245 A234:P237 N281:N296 A289:P292 N305:N328 O261:XFD336 A400:M419 N400:N436 N445:N448 N503:N536 N539:N556 A517:P520 A43:M82 A261:M336 A150:M173 J174:M177 A174:H177 N571:N608 A503:M592 O581:XFD592 A577:XFD580 O605:XFD608 A85:M147 N117:N181 O633:XFD636 A408:XFD411 A623:M664 A595:M620 Q357:XFD682 O384:P664 N619:N664 A625:XFD632 A613:XFD616 N248:N256 A250:P252 O85:XFD256 A585:XFD592 I177 A445:M484 A178:M256 A321:XFD324">
    <cfRule type="containsText" dxfId="2251" priority="771" operator="containsText" text="transferencia">
      <formula>NOT(ISERROR(SEARCH("transferencia",A1)))</formula>
    </cfRule>
    <cfRule type="containsText" dxfId="2250" priority="772" operator="containsText" text="trasnferência">
      <formula>NOT(ISERROR(SEARCH("trasnferência",A1)))</formula>
    </cfRule>
  </conditionalFormatting>
  <conditionalFormatting sqref="C661:M664 O661:O664">
    <cfRule type="containsText" dxfId="2249" priority="768" operator="containsText" text="Cheque">
      <formula>NOT(ISERROR(SEARCH("Cheque",C661)))</formula>
    </cfRule>
    <cfRule type="containsText" dxfId="2248" priority="769" operator="containsText" text="Dinheiro">
      <formula>NOT(ISERROR(SEARCH("Dinheiro",C661)))</formula>
    </cfRule>
    <cfRule type="cellIs" dxfId="2247" priority="770" operator="greaterThan">
      <formula>0</formula>
    </cfRule>
  </conditionalFormatting>
  <conditionalFormatting sqref="A661:M664 O661:O664">
    <cfRule type="containsText" dxfId="2246" priority="767" operator="containsText" text="Pix">
      <formula>NOT(ISERROR(SEARCH("Pix",A661)))</formula>
    </cfRule>
  </conditionalFormatting>
  <conditionalFormatting sqref="C669:M672 O669:O672">
    <cfRule type="containsText" dxfId="2245" priority="764" operator="containsText" text="Cheque">
      <formula>NOT(ISERROR(SEARCH("Cheque",C669)))</formula>
    </cfRule>
    <cfRule type="containsText" dxfId="2244" priority="765" operator="containsText" text="Dinheiro">
      <formula>NOT(ISERROR(SEARCH("Dinheiro",C669)))</formula>
    </cfRule>
    <cfRule type="cellIs" dxfId="2243" priority="766" operator="greaterThan">
      <formula>0</formula>
    </cfRule>
  </conditionalFormatting>
  <conditionalFormatting sqref="A669:M672 O669:O672">
    <cfRule type="containsText" dxfId="2242" priority="763" operator="containsText" text="Pix">
      <formula>NOT(ISERROR(SEARCH("Pix",A669)))</formula>
    </cfRule>
  </conditionalFormatting>
  <conditionalFormatting sqref="C673:M676 O673:O676">
    <cfRule type="containsText" dxfId="2241" priority="760" operator="containsText" text="Cheque">
      <formula>NOT(ISERROR(SEARCH("Cheque",C673)))</formula>
    </cfRule>
    <cfRule type="containsText" dxfId="2240" priority="761" operator="containsText" text="Dinheiro">
      <formula>NOT(ISERROR(SEARCH("Dinheiro",C673)))</formula>
    </cfRule>
    <cfRule type="cellIs" dxfId="2239" priority="762" operator="greaterThan">
      <formula>0</formula>
    </cfRule>
  </conditionalFormatting>
  <conditionalFormatting sqref="A673:M676 O673:O676">
    <cfRule type="containsText" dxfId="2238" priority="759" operator="containsText" text="Pix">
      <formula>NOT(ISERROR(SEARCH("Pix",A673)))</formula>
    </cfRule>
  </conditionalFormatting>
  <conditionalFormatting sqref="C677:M680 O677:O680">
    <cfRule type="containsText" dxfId="2237" priority="756" operator="containsText" text="Cheque">
      <formula>NOT(ISERROR(SEARCH("Cheque",C677)))</formula>
    </cfRule>
    <cfRule type="containsText" dxfId="2236" priority="757" operator="containsText" text="Dinheiro">
      <formula>NOT(ISERROR(SEARCH("Dinheiro",C677)))</formula>
    </cfRule>
    <cfRule type="cellIs" dxfId="2235" priority="758" operator="greaterThan">
      <formula>0</formula>
    </cfRule>
  </conditionalFormatting>
  <conditionalFormatting sqref="A677:M680 O677:O680">
    <cfRule type="containsText" dxfId="2234" priority="755" operator="containsText" text="Pix">
      <formula>NOT(ISERROR(SEARCH("Pix",A677)))</formula>
    </cfRule>
  </conditionalFormatting>
  <conditionalFormatting sqref="N2:N6 N661:N664 N451:N460 N184:N201 N43:N46 N85:N86 N13:N14 N50:N78 N17:N34 N89:N114 N331:N336 N299:N300 N475:N480 N611:N616 N559:N568 N303 N81:N82 N351:N352 N669:N686 N261:N280 N372:N395 N491:N500 N341:N348 N463:N472 N595:N608">
    <cfRule type="containsText" dxfId="2233" priority="752" operator="containsText" text="Cheque">
      <formula>NOT(ISERROR(SEARCH("Cheque",N2)))</formula>
    </cfRule>
    <cfRule type="containsText" dxfId="2232" priority="753" operator="containsText" text="Dinheiro">
      <formula>NOT(ISERROR(SEARCH("Dinheiro",N2)))</formula>
    </cfRule>
    <cfRule type="cellIs" dxfId="2231" priority="754" operator="greaterThan">
      <formula>0</formula>
    </cfRule>
  </conditionalFormatting>
  <conditionalFormatting sqref="N2:N6 N661:N664 N451:N460 N184:N201 N43:N46 N85:N86 N13:N14 N50:N78 N17:N34 N89:N114 N331:N336 N299:N300 N475:N480 N611:N616 N559:N568 N303 N81:N82 N351:N352 N669:N686 N261:N280 N372:N395 N491:N500 N341:N348 N463:N472 N595:N608">
    <cfRule type="containsText" dxfId="2230" priority="751" operator="containsText" text="Pix">
      <formula>NOT(ISERROR(SEARCH("Pix",N2)))</formula>
    </cfRule>
  </conditionalFormatting>
  <conditionalFormatting sqref="N641:N644">
    <cfRule type="containsText" dxfId="2229" priority="747" operator="containsText" text="Cheque">
      <formula>NOT(ISERROR(SEARCH("Cheque",N641)))</formula>
    </cfRule>
    <cfRule type="containsText" dxfId="2228" priority="748" operator="containsText" text="Dinheiro">
      <formula>NOT(ISERROR(SEARCH("Dinheiro",N641)))</formula>
    </cfRule>
    <cfRule type="cellIs" dxfId="2227" priority="749" operator="greaterThan">
      <formula>0</formula>
    </cfRule>
  </conditionalFormatting>
  <conditionalFormatting sqref="N641:N644">
    <cfRule type="containsText" dxfId="2226" priority="746" operator="containsText" text="Pix">
      <formula>NOT(ISERROR(SEARCH("Pix",N641)))</formula>
    </cfRule>
  </conditionalFormatting>
  <conditionalFormatting sqref="N645:N648">
    <cfRule type="containsText" dxfId="2225" priority="743" operator="containsText" text="Cheque">
      <formula>NOT(ISERROR(SEARCH("Cheque",N645)))</formula>
    </cfRule>
    <cfRule type="containsText" dxfId="2224" priority="744" operator="containsText" text="Dinheiro">
      <formula>NOT(ISERROR(SEARCH("Dinheiro",N645)))</formula>
    </cfRule>
    <cfRule type="cellIs" dxfId="2223" priority="745" operator="greaterThan">
      <formula>0</formula>
    </cfRule>
  </conditionalFormatting>
  <conditionalFormatting sqref="N645:N648">
    <cfRule type="containsText" dxfId="2222" priority="742" operator="containsText" text="Pix">
      <formula>NOT(ISERROR(SEARCH("Pix",N645)))</formula>
    </cfRule>
  </conditionalFormatting>
  <conditionalFormatting sqref="N162:N165">
    <cfRule type="containsText" dxfId="2221" priority="739" operator="containsText" text="Cheque">
      <formula>NOT(ISERROR(SEARCH("Cheque",N162)))</formula>
    </cfRule>
    <cfRule type="containsText" dxfId="2220" priority="740" operator="containsText" text="Dinheiro">
      <formula>NOT(ISERROR(SEARCH("Dinheiro",N162)))</formula>
    </cfRule>
    <cfRule type="cellIs" dxfId="2219" priority="741" operator="greaterThan">
      <formula>0</formula>
    </cfRule>
  </conditionalFormatting>
  <conditionalFormatting sqref="N162:N165">
    <cfRule type="containsText" dxfId="2218" priority="738" operator="containsText" text="Pix">
      <formula>NOT(ISERROR(SEARCH("Pix",N162)))</formula>
    </cfRule>
  </conditionalFormatting>
  <conditionalFormatting sqref="N649:N652">
    <cfRule type="containsText" dxfId="2217" priority="731" operator="containsText" text="Cheque">
      <formula>NOT(ISERROR(SEARCH("Cheque",N649)))</formula>
    </cfRule>
    <cfRule type="containsText" dxfId="2216" priority="732" operator="containsText" text="Dinheiro">
      <formula>NOT(ISERROR(SEARCH("Dinheiro",N649)))</formula>
    </cfRule>
    <cfRule type="cellIs" dxfId="2215" priority="733" operator="greaterThan">
      <formula>0</formula>
    </cfRule>
  </conditionalFormatting>
  <conditionalFormatting sqref="N649:N652">
    <cfRule type="containsText" dxfId="2214" priority="730" operator="containsText" text="Pix">
      <formula>NOT(ISERROR(SEARCH("Pix",N649)))</formula>
    </cfRule>
  </conditionalFormatting>
  <conditionalFormatting sqref="N653:N656">
    <cfRule type="containsText" dxfId="2213" priority="727" operator="containsText" text="Cheque">
      <formula>NOT(ISERROR(SEARCH("Cheque",N653)))</formula>
    </cfRule>
    <cfRule type="containsText" dxfId="2212" priority="728" operator="containsText" text="Dinheiro">
      <formula>NOT(ISERROR(SEARCH("Dinheiro",N653)))</formula>
    </cfRule>
    <cfRule type="cellIs" dxfId="2211" priority="729" operator="greaterThan">
      <formula>0</formula>
    </cfRule>
  </conditionalFormatting>
  <conditionalFormatting sqref="N653:N656">
    <cfRule type="containsText" dxfId="2210" priority="726" operator="containsText" text="Pix">
      <formula>NOT(ISERROR(SEARCH("Pix",N653)))</formula>
    </cfRule>
  </conditionalFormatting>
  <conditionalFormatting sqref="N657:N660">
    <cfRule type="containsText" dxfId="2209" priority="719" operator="containsText" text="Cheque">
      <formula>NOT(ISERROR(SEARCH("Cheque",N657)))</formula>
    </cfRule>
    <cfRule type="containsText" dxfId="2208" priority="720" operator="containsText" text="Dinheiro">
      <formula>NOT(ISERROR(SEARCH("Dinheiro",N657)))</formula>
    </cfRule>
    <cfRule type="cellIs" dxfId="2207" priority="721" operator="greaterThan">
      <formula>0</formula>
    </cfRule>
  </conditionalFormatting>
  <conditionalFormatting sqref="N657:N660">
    <cfRule type="containsText" dxfId="2206" priority="718" operator="containsText" text="Pix">
      <formula>NOT(ISERROR(SEARCH("Pix",N657)))</formula>
    </cfRule>
  </conditionalFormatting>
  <conditionalFormatting sqref="N184:N201 N43:N46 N85:N86 N13:N14 N50:N78 N17:N34 N89:N114 N331:N336 N299:N300 N475:N480 N611:N616 N559:N568 N303 N81:N82 N351:N352 N669:N686 N261:N280 N372:N395 N451:N460 N491:N500 N341:N348 N463:N472">
    <cfRule type="containsText" dxfId="2205" priority="716" operator="containsText" text="transferencia">
      <formula>NOT(ISERROR(SEARCH("transferencia",N13)))</formula>
    </cfRule>
    <cfRule type="containsText" dxfId="2204" priority="717" operator="containsText" text="trasnferência">
      <formula>NOT(ISERROR(SEARCH("trasnferência",N13)))</formula>
    </cfRule>
  </conditionalFormatting>
  <conditionalFormatting sqref="N661:N664">
    <cfRule type="containsText" dxfId="2203" priority="713" operator="containsText" text="Cheque">
      <formula>NOT(ISERROR(SEARCH("Cheque",N661)))</formula>
    </cfRule>
    <cfRule type="containsText" dxfId="2202" priority="714" operator="containsText" text="Dinheiro">
      <formula>NOT(ISERROR(SEARCH("Dinheiro",N661)))</formula>
    </cfRule>
    <cfRule type="cellIs" dxfId="2201" priority="715" operator="greaterThan">
      <formula>0</formula>
    </cfRule>
  </conditionalFormatting>
  <conditionalFormatting sqref="N661:N664">
    <cfRule type="containsText" dxfId="2200" priority="712" operator="containsText" text="Pix">
      <formula>NOT(ISERROR(SEARCH("Pix",N661)))</formula>
    </cfRule>
  </conditionalFormatting>
  <conditionalFormatting sqref="N669:N672">
    <cfRule type="containsText" dxfId="2199" priority="709" operator="containsText" text="Cheque">
      <formula>NOT(ISERROR(SEARCH("Cheque",N669)))</formula>
    </cfRule>
    <cfRule type="containsText" dxfId="2198" priority="710" operator="containsText" text="Dinheiro">
      <formula>NOT(ISERROR(SEARCH("Dinheiro",N669)))</formula>
    </cfRule>
    <cfRule type="cellIs" dxfId="2197" priority="711" operator="greaterThan">
      <formula>0</formula>
    </cfRule>
  </conditionalFormatting>
  <conditionalFormatting sqref="N669:N672">
    <cfRule type="containsText" dxfId="2196" priority="708" operator="containsText" text="Pix">
      <formula>NOT(ISERROR(SEARCH("Pix",N669)))</formula>
    </cfRule>
  </conditionalFormatting>
  <conditionalFormatting sqref="N673:N676">
    <cfRule type="containsText" dxfId="2195" priority="705" operator="containsText" text="Cheque">
      <formula>NOT(ISERROR(SEARCH("Cheque",N673)))</formula>
    </cfRule>
    <cfRule type="containsText" dxfId="2194" priority="706" operator="containsText" text="Dinheiro">
      <formula>NOT(ISERROR(SEARCH("Dinheiro",N673)))</formula>
    </cfRule>
    <cfRule type="cellIs" dxfId="2193" priority="707" operator="greaterThan">
      <formula>0</formula>
    </cfRule>
  </conditionalFormatting>
  <conditionalFormatting sqref="N673:N676">
    <cfRule type="containsText" dxfId="2192" priority="704" operator="containsText" text="Pix">
      <formula>NOT(ISERROR(SEARCH("Pix",N673)))</formula>
    </cfRule>
  </conditionalFormatting>
  <conditionalFormatting sqref="N677:N680">
    <cfRule type="containsText" dxfId="2191" priority="701" operator="containsText" text="Cheque">
      <formula>NOT(ISERROR(SEARCH("Cheque",N677)))</formula>
    </cfRule>
    <cfRule type="containsText" dxfId="2190" priority="702" operator="containsText" text="Dinheiro">
      <formula>NOT(ISERROR(SEARCH("Dinheiro",N677)))</formula>
    </cfRule>
    <cfRule type="cellIs" dxfId="2189" priority="703" operator="greaterThan">
      <formula>0</formula>
    </cfRule>
  </conditionalFormatting>
  <conditionalFormatting sqref="N677:N680">
    <cfRule type="containsText" dxfId="2188" priority="700" operator="containsText" text="Pix">
      <formula>NOT(ISERROR(SEARCH("Pix",N677)))</formula>
    </cfRule>
  </conditionalFormatting>
  <conditionalFormatting sqref="O437:O444 C437:M444">
    <cfRule type="containsText" dxfId="2187" priority="697" operator="containsText" text="Cheque">
      <formula>NOT(ISERROR(SEARCH("Cheque",C437)))</formula>
    </cfRule>
    <cfRule type="containsText" dxfId="2186" priority="698" operator="containsText" text="Dinheiro">
      <formula>NOT(ISERROR(SEARCH("Dinheiro",C437)))</formula>
    </cfRule>
    <cfRule type="cellIs" dxfId="2185" priority="699" operator="greaterThan">
      <formula>0</formula>
    </cfRule>
  </conditionalFormatting>
  <conditionalFormatting sqref="O437:O444 A437:M444">
    <cfRule type="containsText" dxfId="2184" priority="696" operator="containsText" text="Pix">
      <formula>NOT(ISERROR(SEARCH("Pix",A437)))</formula>
    </cfRule>
  </conditionalFormatting>
  <conditionalFormatting sqref="A437:M444">
    <cfRule type="containsText" dxfId="2183" priority="694" operator="containsText" text="transferencia">
      <formula>NOT(ISERROR(SEARCH("transferencia",A437)))</formula>
    </cfRule>
    <cfRule type="containsText" dxfId="2182" priority="695" operator="containsText" text="trasnferência">
      <formula>NOT(ISERROR(SEARCH("trasnferência",A437)))</formula>
    </cfRule>
  </conditionalFormatting>
  <conditionalFormatting sqref="N437:N444">
    <cfRule type="containsText" dxfId="2181" priority="691" operator="containsText" text="Cheque">
      <formula>NOT(ISERROR(SEARCH("Cheque",N437)))</formula>
    </cfRule>
    <cfRule type="containsText" dxfId="2180" priority="692" operator="containsText" text="Dinheiro">
      <formula>NOT(ISERROR(SEARCH("Dinheiro",N437)))</formula>
    </cfRule>
    <cfRule type="cellIs" dxfId="2179" priority="693" operator="greaterThan">
      <formula>0</formula>
    </cfRule>
  </conditionalFormatting>
  <conditionalFormatting sqref="N437:N444">
    <cfRule type="containsText" dxfId="2178" priority="690" operator="containsText" text="Pix">
      <formula>NOT(ISERROR(SEARCH("Pix",N437)))</formula>
    </cfRule>
  </conditionalFormatting>
  <conditionalFormatting sqref="N437:N444">
    <cfRule type="containsText" dxfId="2177" priority="688" operator="containsText" text="transferencia">
      <formula>NOT(ISERROR(SEARCH("transferencia",N437)))</formula>
    </cfRule>
    <cfRule type="containsText" dxfId="2176" priority="689" operator="containsText" text="trasnferência">
      <formula>NOT(ISERROR(SEARCH("trasnferência",N437)))</formula>
    </cfRule>
  </conditionalFormatting>
  <conditionalFormatting sqref="O337:O344 C337:M344">
    <cfRule type="containsText" dxfId="2175" priority="685" operator="containsText" text="Cheque">
      <formula>NOT(ISERROR(SEARCH("Cheque",C337)))</formula>
    </cfRule>
    <cfRule type="containsText" dxfId="2174" priority="686" operator="containsText" text="Dinheiro">
      <formula>NOT(ISERROR(SEARCH("Dinheiro",C337)))</formula>
    </cfRule>
    <cfRule type="cellIs" dxfId="2173" priority="687" operator="greaterThan">
      <formula>0</formula>
    </cfRule>
  </conditionalFormatting>
  <conditionalFormatting sqref="O337:O344 A337:M344">
    <cfRule type="containsText" dxfId="2172" priority="684" operator="containsText" text="Pix">
      <formula>NOT(ISERROR(SEARCH("Pix",A337)))</formula>
    </cfRule>
  </conditionalFormatting>
  <conditionalFormatting sqref="O337:XFD344 A337:M344">
    <cfRule type="containsText" dxfId="2171" priority="682" operator="containsText" text="transferencia">
      <formula>NOT(ISERROR(SEARCH("transferencia",A337)))</formula>
    </cfRule>
    <cfRule type="containsText" dxfId="2170" priority="683" operator="containsText" text="trasnferência">
      <formula>NOT(ISERROR(SEARCH("trasnferência",A337)))</formula>
    </cfRule>
  </conditionalFormatting>
  <conditionalFormatting sqref="N337:N344">
    <cfRule type="containsText" dxfId="2169" priority="679" operator="containsText" text="Cheque">
      <formula>NOT(ISERROR(SEARCH("Cheque",N337)))</formula>
    </cfRule>
    <cfRule type="containsText" dxfId="2168" priority="680" operator="containsText" text="Dinheiro">
      <formula>NOT(ISERROR(SEARCH("Dinheiro",N337)))</formula>
    </cfRule>
    <cfRule type="cellIs" dxfId="2167" priority="681" operator="greaterThan">
      <formula>0</formula>
    </cfRule>
  </conditionalFormatting>
  <conditionalFormatting sqref="N337:N344">
    <cfRule type="containsText" dxfId="2166" priority="678" operator="containsText" text="Pix">
      <formula>NOT(ISERROR(SEARCH("Pix",N337)))</formula>
    </cfRule>
  </conditionalFormatting>
  <conditionalFormatting sqref="N337:N344">
    <cfRule type="containsText" dxfId="2165" priority="676" operator="containsText" text="transferencia">
      <formula>NOT(ISERROR(SEARCH("transferencia",N337)))</formula>
    </cfRule>
    <cfRule type="containsText" dxfId="2164" priority="677" operator="containsText" text="trasnferência">
      <formula>NOT(ISERROR(SEARCH("trasnferência",N337)))</formula>
    </cfRule>
  </conditionalFormatting>
  <conditionalFormatting sqref="C257:M260 O257:O260">
    <cfRule type="containsText" dxfId="2163" priority="673" operator="containsText" text="Cheque">
      <formula>NOT(ISERROR(SEARCH("Cheque",C257)))</formula>
    </cfRule>
    <cfRule type="containsText" dxfId="2162" priority="674" operator="containsText" text="Dinheiro">
      <formula>NOT(ISERROR(SEARCH("Dinheiro",C257)))</formula>
    </cfRule>
    <cfRule type="cellIs" dxfId="2161" priority="675" operator="greaterThan">
      <formula>0</formula>
    </cfRule>
  </conditionalFormatting>
  <conditionalFormatting sqref="A257:M260 O257:O260">
    <cfRule type="containsText" dxfId="2160" priority="672" operator="containsText" text="Pix">
      <formula>NOT(ISERROR(SEARCH("Pix",A257)))</formula>
    </cfRule>
  </conditionalFormatting>
  <conditionalFormatting sqref="A257:M260 O257:XFD260">
    <cfRule type="containsText" dxfId="2159" priority="670" operator="containsText" text="transferencia">
      <formula>NOT(ISERROR(SEARCH("transferencia",A257)))</formula>
    </cfRule>
    <cfRule type="containsText" dxfId="2158" priority="671" operator="containsText" text="trasnferência">
      <formula>NOT(ISERROR(SEARCH("trasnferência",A257)))</formula>
    </cfRule>
  </conditionalFormatting>
  <conditionalFormatting sqref="N257:N260">
    <cfRule type="containsText" dxfId="2157" priority="667" operator="containsText" text="Cheque">
      <formula>NOT(ISERROR(SEARCH("Cheque",N257)))</formula>
    </cfRule>
    <cfRule type="containsText" dxfId="2156" priority="668" operator="containsText" text="Dinheiro">
      <formula>NOT(ISERROR(SEARCH("Dinheiro",N257)))</formula>
    </cfRule>
    <cfRule type="cellIs" dxfId="2155" priority="669" operator="greaterThan">
      <formula>0</formula>
    </cfRule>
  </conditionalFormatting>
  <conditionalFormatting sqref="N257:N260">
    <cfRule type="containsText" dxfId="2154" priority="666" operator="containsText" text="Pix">
      <formula>NOT(ISERROR(SEARCH("Pix",N257)))</formula>
    </cfRule>
  </conditionalFormatting>
  <conditionalFormatting sqref="N257:N260">
    <cfRule type="containsText" dxfId="2153" priority="664" operator="containsText" text="transferencia">
      <formula>NOT(ISERROR(SEARCH("transferencia",N257)))</formula>
    </cfRule>
    <cfRule type="containsText" dxfId="2152" priority="665" operator="containsText" text="trasnferência">
      <formula>NOT(ISERROR(SEARCH("trasnferência",N257)))</formula>
    </cfRule>
  </conditionalFormatting>
  <conditionalFormatting sqref="O396:O399 C396:M399">
    <cfRule type="containsText" dxfId="2151" priority="660" operator="containsText" text="Cheque">
      <formula>NOT(ISERROR(SEARCH("Cheque",C396)))</formula>
    </cfRule>
    <cfRule type="containsText" dxfId="2150" priority="662" operator="containsText" text="Dinheiro">
      <formula>NOT(ISERROR(SEARCH("Dinheiro",C396)))</formula>
    </cfRule>
    <cfRule type="cellIs" dxfId="2149" priority="663" operator="greaterThan">
      <formula>0</formula>
    </cfRule>
  </conditionalFormatting>
  <conditionalFormatting sqref="C399">
    <cfRule type="containsText" dxfId="2148" priority="661" operator="containsText" text="Cheque">
      <formula>NOT(ISERROR(SEARCH("Cheque",C399)))</formula>
    </cfRule>
  </conditionalFormatting>
  <conditionalFormatting sqref="O396:O399 A396:M399">
    <cfRule type="containsText" dxfId="2147" priority="659" operator="containsText" text="Pix">
      <formula>NOT(ISERROR(SEARCH("Pix",A396)))</formula>
    </cfRule>
  </conditionalFormatting>
  <conditionalFormatting sqref="A396:M399">
    <cfRule type="containsText" dxfId="2146" priority="657" operator="containsText" text="transferencia">
      <formula>NOT(ISERROR(SEARCH("transferencia",A396)))</formula>
    </cfRule>
    <cfRule type="containsText" dxfId="2145" priority="658" operator="containsText" text="trasnferência">
      <formula>NOT(ISERROR(SEARCH("trasnferência",A396)))</formula>
    </cfRule>
  </conditionalFormatting>
  <conditionalFormatting sqref="N396:N399">
    <cfRule type="containsText" dxfId="2144" priority="654" operator="containsText" text="Cheque">
      <formula>NOT(ISERROR(SEARCH("Cheque",N396)))</formula>
    </cfRule>
    <cfRule type="containsText" dxfId="2143" priority="655" operator="containsText" text="Dinheiro">
      <formula>NOT(ISERROR(SEARCH("Dinheiro",N396)))</formula>
    </cfRule>
    <cfRule type="cellIs" dxfId="2142" priority="656" operator="greaterThan">
      <formula>0</formula>
    </cfRule>
  </conditionalFormatting>
  <conditionalFormatting sqref="N396:N399">
    <cfRule type="containsText" dxfId="2141" priority="653" operator="containsText" text="Pix">
      <formula>NOT(ISERROR(SEARCH("Pix",N396)))</formula>
    </cfRule>
  </conditionalFormatting>
  <conditionalFormatting sqref="N396:N399">
    <cfRule type="containsText" dxfId="2140" priority="651" operator="containsText" text="transferencia">
      <formula>NOT(ISERROR(SEARCH("transferencia",N396)))</formula>
    </cfRule>
    <cfRule type="containsText" dxfId="2139" priority="652" operator="containsText" text="trasnferência">
      <formula>NOT(ISERROR(SEARCH("trasnferência",N396)))</formula>
    </cfRule>
  </conditionalFormatting>
  <conditionalFormatting sqref="O353:O356 C353:M356">
    <cfRule type="containsText" dxfId="2138" priority="648" operator="containsText" text="Cheque">
      <formula>NOT(ISERROR(SEARCH("Cheque",C353)))</formula>
    </cfRule>
    <cfRule type="containsText" dxfId="2137" priority="649" operator="containsText" text="Dinheiro">
      <formula>NOT(ISERROR(SEARCH("Dinheiro",C353)))</formula>
    </cfRule>
    <cfRule type="cellIs" dxfId="2136" priority="650" operator="greaterThan">
      <formula>0</formula>
    </cfRule>
  </conditionalFormatting>
  <conditionalFormatting sqref="O353:O356 A353:M356">
    <cfRule type="containsText" dxfId="2135" priority="647" operator="containsText" text="Pix">
      <formula>NOT(ISERROR(SEARCH("Pix",A353)))</formula>
    </cfRule>
  </conditionalFormatting>
  <conditionalFormatting sqref="O353:XFD356 A353:M356">
    <cfRule type="containsText" dxfId="2134" priority="645" operator="containsText" text="transferencia">
      <formula>NOT(ISERROR(SEARCH("transferencia",A353)))</formula>
    </cfRule>
    <cfRule type="containsText" dxfId="2133" priority="646" operator="containsText" text="trasnferência">
      <formula>NOT(ISERROR(SEARCH("trasnferência",A353)))</formula>
    </cfRule>
  </conditionalFormatting>
  <conditionalFormatting sqref="N353:N354">
    <cfRule type="containsText" dxfId="2132" priority="642" operator="containsText" text="Cheque">
      <formula>NOT(ISERROR(SEARCH("Cheque",N353)))</formula>
    </cfRule>
    <cfRule type="containsText" dxfId="2131" priority="643" operator="containsText" text="Dinheiro">
      <formula>NOT(ISERROR(SEARCH("Dinheiro",N353)))</formula>
    </cfRule>
    <cfRule type="cellIs" dxfId="2130" priority="644" operator="greaterThan">
      <formula>0</formula>
    </cfRule>
  </conditionalFormatting>
  <conditionalFormatting sqref="N353:N354">
    <cfRule type="containsText" dxfId="2129" priority="641" operator="containsText" text="Pix">
      <formula>NOT(ISERROR(SEARCH("Pix",N353)))</formula>
    </cfRule>
  </conditionalFormatting>
  <conditionalFormatting sqref="N353:N354">
    <cfRule type="containsText" dxfId="2128" priority="639" operator="containsText" text="transferencia">
      <formula>NOT(ISERROR(SEARCH("transferencia",N353)))</formula>
    </cfRule>
    <cfRule type="containsText" dxfId="2127" priority="640" operator="containsText" text="trasnferência">
      <formula>NOT(ISERROR(SEARCH("trasnferência",N353)))</formula>
    </cfRule>
  </conditionalFormatting>
  <conditionalFormatting sqref="J83">
    <cfRule type="containsText" dxfId="2126" priority="636" operator="containsText" text="Cheque">
      <formula>NOT(ISERROR(SEARCH("Cheque",J83)))</formula>
    </cfRule>
    <cfRule type="containsText" dxfId="2125" priority="637" operator="containsText" text="Dinheiro">
      <formula>NOT(ISERROR(SEARCH("Dinheiro",J83)))</formula>
    </cfRule>
    <cfRule type="cellIs" dxfId="2124" priority="638" operator="greaterThan">
      <formula>0</formula>
    </cfRule>
  </conditionalFormatting>
  <conditionalFormatting sqref="J83">
    <cfRule type="containsText" dxfId="2123" priority="635" operator="containsText" text="Pix">
      <formula>NOT(ISERROR(SEARCH("Pix",J83)))</formula>
    </cfRule>
  </conditionalFormatting>
  <conditionalFormatting sqref="J83:J84">
    <cfRule type="containsText" dxfId="2122" priority="633" operator="containsText" text="transferencia">
      <formula>NOT(ISERROR(SEARCH("transferencia",J83)))</formula>
    </cfRule>
    <cfRule type="containsText" dxfId="2121" priority="634" operator="containsText" text="trasnferência">
      <formula>NOT(ISERROR(SEARCH("trasnferência",J83)))</formula>
    </cfRule>
  </conditionalFormatting>
  <conditionalFormatting sqref="O7:O10 C7:M10">
    <cfRule type="containsText" dxfId="2120" priority="630" operator="containsText" text="Cheque">
      <formula>NOT(ISERROR(SEARCH("Cheque",C7)))</formula>
    </cfRule>
    <cfRule type="containsText" dxfId="2119" priority="631" operator="containsText" text="Dinheiro">
      <formula>NOT(ISERROR(SEARCH("Dinheiro",C7)))</formula>
    </cfRule>
    <cfRule type="cellIs" dxfId="2118" priority="632" operator="greaterThan">
      <formula>0</formula>
    </cfRule>
  </conditionalFormatting>
  <conditionalFormatting sqref="O7:O10 A7:M10">
    <cfRule type="containsText" dxfId="2117" priority="629" operator="containsText" text="Pix">
      <formula>NOT(ISERROR(SEARCH("Pix",A7)))</formula>
    </cfRule>
  </conditionalFormatting>
  <conditionalFormatting sqref="O7:XFD10 A7:M10">
    <cfRule type="containsText" dxfId="2116" priority="627" operator="containsText" text="transferencia">
      <formula>NOT(ISERROR(SEARCH("transferencia",A7)))</formula>
    </cfRule>
    <cfRule type="containsText" dxfId="2115" priority="628" operator="containsText" text="trasnferência">
      <formula>NOT(ISERROR(SEARCH("trasnferência",A7)))</formula>
    </cfRule>
  </conditionalFormatting>
  <conditionalFormatting sqref="N9:N10">
    <cfRule type="containsText" dxfId="2114" priority="624" operator="containsText" text="Cheque">
      <formula>NOT(ISERROR(SEARCH("Cheque",N9)))</formula>
    </cfRule>
    <cfRule type="containsText" dxfId="2113" priority="625" operator="containsText" text="Dinheiro">
      <formula>NOT(ISERROR(SEARCH("Dinheiro",N9)))</formula>
    </cfRule>
    <cfRule type="cellIs" dxfId="2112" priority="626" operator="greaterThan">
      <formula>0</formula>
    </cfRule>
  </conditionalFormatting>
  <conditionalFormatting sqref="N9:N10">
    <cfRule type="containsText" dxfId="2111" priority="623" operator="containsText" text="Pix">
      <formula>NOT(ISERROR(SEARCH("Pix",N9)))</formula>
    </cfRule>
  </conditionalFormatting>
  <conditionalFormatting sqref="N9:N10">
    <cfRule type="containsText" dxfId="2110" priority="621" operator="containsText" text="transferencia">
      <formula>NOT(ISERROR(SEARCH("transferencia",N9)))</formula>
    </cfRule>
    <cfRule type="containsText" dxfId="2109" priority="622" operator="containsText" text="trasnferência">
      <formula>NOT(ISERROR(SEARCH("trasnferência",N9)))</formula>
    </cfRule>
  </conditionalFormatting>
  <conditionalFormatting sqref="C35:M38 O35:O38">
    <cfRule type="containsText" dxfId="2108" priority="618" operator="containsText" text="Cheque">
      <formula>NOT(ISERROR(SEARCH("Cheque",C35)))</formula>
    </cfRule>
    <cfRule type="containsText" dxfId="2107" priority="619" operator="containsText" text="Dinheiro">
      <formula>NOT(ISERROR(SEARCH("Dinheiro",C35)))</formula>
    </cfRule>
    <cfRule type="cellIs" dxfId="2106" priority="620" operator="greaterThan">
      <formula>0</formula>
    </cfRule>
  </conditionalFormatting>
  <conditionalFormatting sqref="A35:M38 O35:O38">
    <cfRule type="containsText" dxfId="2105" priority="617" operator="containsText" text="Pix">
      <formula>NOT(ISERROR(SEARCH("Pix",A35)))</formula>
    </cfRule>
  </conditionalFormatting>
  <conditionalFormatting sqref="A35:M38 O35:XFD38">
    <cfRule type="containsText" dxfId="2104" priority="615" operator="containsText" text="transferencia">
      <formula>NOT(ISERROR(SEARCH("transferencia",A35)))</formula>
    </cfRule>
    <cfRule type="containsText" dxfId="2103" priority="616" operator="containsText" text="trasnferência">
      <formula>NOT(ISERROR(SEARCH("trasnferência",A35)))</formula>
    </cfRule>
  </conditionalFormatting>
  <conditionalFormatting sqref="N35:N38">
    <cfRule type="containsText" dxfId="2102" priority="612" operator="containsText" text="Cheque">
      <formula>NOT(ISERROR(SEARCH("Cheque",N35)))</formula>
    </cfRule>
    <cfRule type="containsText" dxfId="2101" priority="613" operator="containsText" text="Dinheiro">
      <formula>NOT(ISERROR(SEARCH("Dinheiro",N35)))</formula>
    </cfRule>
    <cfRule type="cellIs" dxfId="2100" priority="614" operator="greaterThan">
      <formula>0</formula>
    </cfRule>
  </conditionalFormatting>
  <conditionalFormatting sqref="N35:N38">
    <cfRule type="containsText" dxfId="2099" priority="611" operator="containsText" text="Pix">
      <formula>NOT(ISERROR(SEARCH("Pix",N35)))</formula>
    </cfRule>
  </conditionalFormatting>
  <conditionalFormatting sqref="N35:N38">
    <cfRule type="containsText" dxfId="2098" priority="609" operator="containsText" text="transferencia">
      <formula>NOT(ISERROR(SEARCH("transferencia",N35)))</formula>
    </cfRule>
    <cfRule type="containsText" dxfId="2097" priority="610" operator="containsText" text="trasnferência">
      <formula>NOT(ISERROR(SEARCH("trasnferência",N35)))</formula>
    </cfRule>
  </conditionalFormatting>
  <conditionalFormatting sqref="N617:N618">
    <cfRule type="containsText" dxfId="2096" priority="606" operator="containsText" text="Cheque">
      <formula>NOT(ISERROR(SEARCH("Cheque",N617)))</formula>
    </cfRule>
    <cfRule type="containsText" dxfId="2095" priority="607" operator="containsText" text="Dinheiro">
      <formula>NOT(ISERROR(SEARCH("Dinheiro",N617)))</formula>
    </cfRule>
    <cfRule type="cellIs" dxfId="2094" priority="608" operator="greaterThan">
      <formula>0</formula>
    </cfRule>
  </conditionalFormatting>
  <conditionalFormatting sqref="N617:N618">
    <cfRule type="containsText" dxfId="2093" priority="605" operator="containsText" text="Pix">
      <formula>NOT(ISERROR(SEARCH("Pix",N617)))</formula>
    </cfRule>
  </conditionalFormatting>
  <conditionalFormatting sqref="N617:N618">
    <cfRule type="containsText" dxfId="2092" priority="603" operator="containsText" text="transferencia">
      <formula>NOT(ISERROR(SEARCH("transferencia",N617)))</formula>
    </cfRule>
    <cfRule type="containsText" dxfId="2091" priority="604" operator="containsText" text="trasnferência">
      <formula>NOT(ISERROR(SEARCH("trasnferência",N617)))</formula>
    </cfRule>
  </conditionalFormatting>
  <conditionalFormatting sqref="N355">
    <cfRule type="containsText" dxfId="2090" priority="600" operator="containsText" text="Cheque">
      <formula>NOT(ISERROR(SEARCH("Cheque",N355)))</formula>
    </cfRule>
    <cfRule type="containsText" dxfId="2089" priority="601" operator="containsText" text="Dinheiro">
      <formula>NOT(ISERROR(SEARCH("Dinheiro",N355)))</formula>
    </cfRule>
    <cfRule type="cellIs" dxfId="2088" priority="602" operator="greaterThan">
      <formula>0</formula>
    </cfRule>
  </conditionalFormatting>
  <conditionalFormatting sqref="N355">
    <cfRule type="containsText" dxfId="2087" priority="599" operator="containsText" text="Pix">
      <formula>NOT(ISERROR(SEARCH("Pix",N355)))</formula>
    </cfRule>
  </conditionalFormatting>
  <conditionalFormatting sqref="N355">
    <cfRule type="containsText" dxfId="2086" priority="597" operator="containsText" text="transferencia">
      <formula>NOT(ISERROR(SEARCH("transferencia",N355)))</formula>
    </cfRule>
    <cfRule type="containsText" dxfId="2085" priority="598" operator="containsText" text="trasnferência">
      <formula>NOT(ISERROR(SEARCH("trasnferência",N355)))</formula>
    </cfRule>
  </conditionalFormatting>
  <conditionalFormatting sqref="N356">
    <cfRule type="containsText" dxfId="2084" priority="594" operator="containsText" text="Cheque">
      <formula>NOT(ISERROR(SEARCH("Cheque",N356)))</formula>
    </cfRule>
    <cfRule type="containsText" dxfId="2083" priority="595" operator="containsText" text="Dinheiro">
      <formula>NOT(ISERROR(SEARCH("Dinheiro",N356)))</formula>
    </cfRule>
    <cfRule type="cellIs" dxfId="2082" priority="596" operator="greaterThan">
      <formula>0</formula>
    </cfRule>
  </conditionalFormatting>
  <conditionalFormatting sqref="N356">
    <cfRule type="containsText" dxfId="2081" priority="593" operator="containsText" text="Pix">
      <formula>NOT(ISERROR(SEARCH("Pix",N356)))</formula>
    </cfRule>
  </conditionalFormatting>
  <conditionalFormatting sqref="N356">
    <cfRule type="containsText" dxfId="2080" priority="591" operator="containsText" text="transferencia">
      <formula>NOT(ISERROR(SEARCH("transferencia",N356)))</formula>
    </cfRule>
    <cfRule type="containsText" dxfId="2079" priority="592" operator="containsText" text="trasnferência">
      <formula>NOT(ISERROR(SEARCH("trasnferência",N356)))</formula>
    </cfRule>
  </conditionalFormatting>
  <conditionalFormatting sqref="N11:N12">
    <cfRule type="containsText" dxfId="2078" priority="588" operator="containsText" text="Cheque">
      <formula>NOT(ISERROR(SEARCH("Cheque",N11)))</formula>
    </cfRule>
    <cfRule type="containsText" dxfId="2077" priority="589" operator="containsText" text="Dinheiro">
      <formula>NOT(ISERROR(SEARCH("Dinheiro",N11)))</formula>
    </cfRule>
    <cfRule type="cellIs" dxfId="2076" priority="590" operator="greaterThan">
      <formula>0</formula>
    </cfRule>
  </conditionalFormatting>
  <conditionalFormatting sqref="N11:N12">
    <cfRule type="containsText" dxfId="2075" priority="587" operator="containsText" text="Pix">
      <formula>NOT(ISERROR(SEARCH("Pix",N11)))</formula>
    </cfRule>
  </conditionalFormatting>
  <conditionalFormatting sqref="N11:N12">
    <cfRule type="containsText" dxfId="2074" priority="585" operator="containsText" text="transferencia">
      <formula>NOT(ISERROR(SEARCH("transferencia",N11)))</formula>
    </cfRule>
    <cfRule type="containsText" dxfId="2073" priority="586" operator="containsText" text="trasnferência">
      <formula>NOT(ISERROR(SEARCH("trasnferência",N11)))</formula>
    </cfRule>
  </conditionalFormatting>
  <conditionalFormatting sqref="N489:N490">
    <cfRule type="containsText" dxfId="2072" priority="582" operator="containsText" text="Cheque">
      <formula>NOT(ISERROR(SEARCH("Cheque",N489)))</formula>
    </cfRule>
    <cfRule type="containsText" dxfId="2071" priority="583" operator="containsText" text="Dinheiro">
      <formula>NOT(ISERROR(SEARCH("Dinheiro",N489)))</formula>
    </cfRule>
    <cfRule type="cellIs" dxfId="2070" priority="584" operator="greaterThan">
      <formula>0</formula>
    </cfRule>
  </conditionalFormatting>
  <conditionalFormatting sqref="N489:N490">
    <cfRule type="containsText" dxfId="2069" priority="581" operator="containsText" text="Pix">
      <formula>NOT(ISERROR(SEARCH("Pix",N489)))</formula>
    </cfRule>
  </conditionalFormatting>
  <conditionalFormatting sqref="N489:N490">
    <cfRule type="containsText" dxfId="2068" priority="579" operator="containsText" text="transferencia">
      <formula>NOT(ISERROR(SEARCH("transferencia",N489)))</formula>
    </cfRule>
    <cfRule type="containsText" dxfId="2067" priority="580" operator="containsText" text="trasnferência">
      <formula>NOT(ISERROR(SEARCH("trasnferência",N489)))</formula>
    </cfRule>
  </conditionalFormatting>
  <conditionalFormatting sqref="N47:N48">
    <cfRule type="containsText" dxfId="2066" priority="576" operator="containsText" text="Cheque">
      <formula>NOT(ISERROR(SEARCH("Cheque",N47)))</formula>
    </cfRule>
    <cfRule type="containsText" dxfId="2065" priority="577" operator="containsText" text="Dinheiro">
      <formula>NOT(ISERROR(SEARCH("Dinheiro",N47)))</formula>
    </cfRule>
    <cfRule type="cellIs" dxfId="2064" priority="578" operator="greaterThan">
      <formula>0</formula>
    </cfRule>
  </conditionalFormatting>
  <conditionalFormatting sqref="N47:N48">
    <cfRule type="containsText" dxfId="2063" priority="575" operator="containsText" text="Pix">
      <formula>NOT(ISERROR(SEARCH("Pix",N47)))</formula>
    </cfRule>
  </conditionalFormatting>
  <conditionalFormatting sqref="N47:N48">
    <cfRule type="containsText" dxfId="2062" priority="573" operator="containsText" text="transferencia">
      <formula>NOT(ISERROR(SEARCH("transferencia",N47)))</formula>
    </cfRule>
    <cfRule type="containsText" dxfId="2061" priority="574" operator="containsText" text="trasnferência">
      <formula>NOT(ISERROR(SEARCH("trasnferência",N47)))</formula>
    </cfRule>
  </conditionalFormatting>
  <conditionalFormatting sqref="N49">
    <cfRule type="containsText" dxfId="2060" priority="570" operator="containsText" text="Cheque">
      <formula>NOT(ISERROR(SEARCH("Cheque",N49)))</formula>
    </cfRule>
    <cfRule type="containsText" dxfId="2059" priority="571" operator="containsText" text="Dinheiro">
      <formula>NOT(ISERROR(SEARCH("Dinheiro",N49)))</formula>
    </cfRule>
    <cfRule type="cellIs" dxfId="2058" priority="572" operator="greaterThan">
      <formula>0</formula>
    </cfRule>
  </conditionalFormatting>
  <conditionalFormatting sqref="N49">
    <cfRule type="containsText" dxfId="2057" priority="569" operator="containsText" text="Pix">
      <formula>NOT(ISERROR(SEARCH("Pix",N49)))</formula>
    </cfRule>
  </conditionalFormatting>
  <conditionalFormatting sqref="N49">
    <cfRule type="containsText" dxfId="2056" priority="567" operator="containsText" text="transferencia">
      <formula>NOT(ISERROR(SEARCH("transferencia",N49)))</formula>
    </cfRule>
    <cfRule type="containsText" dxfId="2055" priority="568" operator="containsText" text="trasnferência">
      <formula>NOT(ISERROR(SEARCH("trasnferência",N49)))</formula>
    </cfRule>
  </conditionalFormatting>
  <conditionalFormatting sqref="N461:N462">
    <cfRule type="containsText" dxfId="2054" priority="546" operator="containsText" text="Cheque">
      <formula>NOT(ISERROR(SEARCH("Cheque",N461)))</formula>
    </cfRule>
    <cfRule type="containsText" dxfId="2053" priority="547" operator="containsText" text="Dinheiro">
      <formula>NOT(ISERROR(SEARCH("Dinheiro",N461)))</formula>
    </cfRule>
    <cfRule type="cellIs" dxfId="2052" priority="548" operator="greaterThan">
      <formula>0</formula>
    </cfRule>
  </conditionalFormatting>
  <conditionalFormatting sqref="N461:N462">
    <cfRule type="containsText" dxfId="2051" priority="545" operator="containsText" text="Pix">
      <formula>NOT(ISERROR(SEARCH("Pix",N461)))</formula>
    </cfRule>
  </conditionalFormatting>
  <conditionalFormatting sqref="N461:N462">
    <cfRule type="containsText" dxfId="2050" priority="543" operator="containsText" text="transferencia">
      <formula>NOT(ISERROR(SEARCH("transferencia",N461)))</formula>
    </cfRule>
    <cfRule type="containsText" dxfId="2049" priority="544" operator="containsText" text="trasnferência">
      <formula>NOT(ISERROR(SEARCH("trasnferência",N461)))</formula>
    </cfRule>
  </conditionalFormatting>
  <conditionalFormatting sqref="N202:N203">
    <cfRule type="containsText" dxfId="2048" priority="540" operator="containsText" text="Cheque">
      <formula>NOT(ISERROR(SEARCH("Cheque",N202)))</formula>
    </cfRule>
    <cfRule type="containsText" dxfId="2047" priority="541" operator="containsText" text="Dinheiro">
      <formula>NOT(ISERROR(SEARCH("Dinheiro",N202)))</formula>
    </cfRule>
    <cfRule type="cellIs" dxfId="2046" priority="542" operator="greaterThan">
      <formula>0</formula>
    </cfRule>
  </conditionalFormatting>
  <conditionalFormatting sqref="N202:N203">
    <cfRule type="containsText" dxfId="2045" priority="539" operator="containsText" text="Pix">
      <formula>NOT(ISERROR(SEARCH("Pix",N202)))</formula>
    </cfRule>
  </conditionalFormatting>
  <conditionalFormatting sqref="N202:N203">
    <cfRule type="containsText" dxfId="2044" priority="537" operator="containsText" text="transferencia">
      <formula>NOT(ISERROR(SEARCH("transferencia",N202)))</formula>
    </cfRule>
    <cfRule type="containsText" dxfId="2043" priority="538" operator="containsText" text="trasnferência">
      <formula>NOT(ISERROR(SEARCH("trasnferência",N202)))</formula>
    </cfRule>
  </conditionalFormatting>
  <conditionalFormatting sqref="N182:N183">
    <cfRule type="containsText" dxfId="2042" priority="534" operator="containsText" text="Cheque">
      <formula>NOT(ISERROR(SEARCH("Cheque",N182)))</formula>
    </cfRule>
    <cfRule type="containsText" dxfId="2041" priority="535" operator="containsText" text="Dinheiro">
      <formula>NOT(ISERROR(SEARCH("Dinheiro",N182)))</formula>
    </cfRule>
    <cfRule type="cellIs" dxfId="2040" priority="536" operator="greaterThan">
      <formula>0</formula>
    </cfRule>
  </conditionalFormatting>
  <conditionalFormatting sqref="N182:N183">
    <cfRule type="containsText" dxfId="2039" priority="533" operator="containsText" text="Pix">
      <formula>NOT(ISERROR(SEARCH("Pix",N182)))</formula>
    </cfRule>
  </conditionalFormatting>
  <conditionalFormatting sqref="N182:N183">
    <cfRule type="containsText" dxfId="2038" priority="531" operator="containsText" text="transferencia">
      <formula>NOT(ISERROR(SEARCH("transferencia",N182)))</formula>
    </cfRule>
    <cfRule type="containsText" dxfId="2037" priority="532" operator="containsText" text="trasnferência">
      <formula>NOT(ISERROR(SEARCH("trasnferência",N182)))</formula>
    </cfRule>
  </conditionalFormatting>
  <conditionalFormatting sqref="N87:N88">
    <cfRule type="containsText" dxfId="2036" priority="528" operator="containsText" text="Cheque">
      <formula>NOT(ISERROR(SEARCH("Cheque",N87)))</formula>
    </cfRule>
    <cfRule type="containsText" dxfId="2035" priority="529" operator="containsText" text="Dinheiro">
      <formula>NOT(ISERROR(SEARCH("Dinheiro",N87)))</formula>
    </cfRule>
    <cfRule type="cellIs" dxfId="2034" priority="530" operator="greaterThan">
      <formula>0</formula>
    </cfRule>
  </conditionalFormatting>
  <conditionalFormatting sqref="N87:N88">
    <cfRule type="containsText" dxfId="2033" priority="527" operator="containsText" text="Pix">
      <formula>NOT(ISERROR(SEARCH("Pix",N87)))</formula>
    </cfRule>
  </conditionalFormatting>
  <conditionalFormatting sqref="N87:N88">
    <cfRule type="containsText" dxfId="2032" priority="525" operator="containsText" text="transferencia">
      <formula>NOT(ISERROR(SEARCH("transferencia",N87)))</formula>
    </cfRule>
    <cfRule type="containsText" dxfId="2031" priority="526" operator="containsText" text="trasnferência">
      <formula>NOT(ISERROR(SEARCH("trasnferência",N87)))</formula>
    </cfRule>
  </conditionalFormatting>
  <conditionalFormatting sqref="N329:N330">
    <cfRule type="containsText" dxfId="2030" priority="522" operator="containsText" text="Cheque">
      <formula>NOT(ISERROR(SEARCH("Cheque",N329)))</formula>
    </cfRule>
    <cfRule type="containsText" dxfId="2029" priority="523" operator="containsText" text="Dinheiro">
      <formula>NOT(ISERROR(SEARCH("Dinheiro",N329)))</formula>
    </cfRule>
    <cfRule type="cellIs" dxfId="2028" priority="524" operator="greaterThan">
      <formula>0</formula>
    </cfRule>
  </conditionalFormatting>
  <conditionalFormatting sqref="N329:N330">
    <cfRule type="containsText" dxfId="2027" priority="521" operator="containsText" text="Pix">
      <formula>NOT(ISERROR(SEARCH("Pix",N329)))</formula>
    </cfRule>
  </conditionalFormatting>
  <conditionalFormatting sqref="N329:N330">
    <cfRule type="containsText" dxfId="2026" priority="519" operator="containsText" text="transferencia">
      <formula>NOT(ISERROR(SEARCH("transferencia",N329)))</formula>
    </cfRule>
    <cfRule type="containsText" dxfId="2025" priority="520" operator="containsText" text="trasnferência">
      <formula>NOT(ISERROR(SEARCH("trasnferência",N329)))</formula>
    </cfRule>
  </conditionalFormatting>
  <conditionalFormatting sqref="N501:N502">
    <cfRule type="containsText" dxfId="2024" priority="510" operator="containsText" text="Cheque">
      <formula>NOT(ISERROR(SEARCH("Cheque",N501)))</formula>
    </cfRule>
    <cfRule type="containsText" dxfId="2023" priority="511" operator="containsText" text="Dinheiro">
      <formula>NOT(ISERROR(SEARCH("Dinheiro",N501)))</formula>
    </cfRule>
    <cfRule type="cellIs" dxfId="2022" priority="512" operator="greaterThan">
      <formula>0</formula>
    </cfRule>
  </conditionalFormatting>
  <conditionalFormatting sqref="N501:N502">
    <cfRule type="containsText" dxfId="2021" priority="509" operator="containsText" text="Pix">
      <formula>NOT(ISERROR(SEARCH("Pix",N501)))</formula>
    </cfRule>
  </conditionalFormatting>
  <conditionalFormatting sqref="N501:N502">
    <cfRule type="containsText" dxfId="2020" priority="507" operator="containsText" text="transferencia">
      <formula>NOT(ISERROR(SEARCH("transferencia",N501)))</formula>
    </cfRule>
    <cfRule type="containsText" dxfId="2019" priority="508" operator="containsText" text="trasnferência">
      <formula>NOT(ISERROR(SEARCH("trasnferência",N501)))</formula>
    </cfRule>
  </conditionalFormatting>
  <conditionalFormatting sqref="N246:N247">
    <cfRule type="containsText" dxfId="2018" priority="504" operator="containsText" text="Cheque">
      <formula>NOT(ISERROR(SEARCH("Cheque",N246)))</formula>
    </cfRule>
    <cfRule type="containsText" dxfId="2017" priority="505" operator="containsText" text="Dinheiro">
      <formula>NOT(ISERROR(SEARCH("Dinheiro",N246)))</formula>
    </cfRule>
    <cfRule type="cellIs" dxfId="2016" priority="506" operator="greaterThan">
      <formula>0</formula>
    </cfRule>
  </conditionalFormatting>
  <conditionalFormatting sqref="N246:N247">
    <cfRule type="containsText" dxfId="2015" priority="503" operator="containsText" text="Pix">
      <formula>NOT(ISERROR(SEARCH("Pix",N246)))</formula>
    </cfRule>
  </conditionalFormatting>
  <conditionalFormatting sqref="N246:N247">
    <cfRule type="containsText" dxfId="2014" priority="501" operator="containsText" text="transferencia">
      <formula>NOT(ISERROR(SEARCH("transferencia",N246)))</formula>
    </cfRule>
    <cfRule type="containsText" dxfId="2013" priority="502" operator="containsText" text="trasnferência">
      <formula>NOT(ISERROR(SEARCH("trasnferência",N246)))</formula>
    </cfRule>
  </conditionalFormatting>
  <conditionalFormatting sqref="N297:N298">
    <cfRule type="containsText" dxfId="2012" priority="498" operator="containsText" text="Cheque">
      <formula>NOT(ISERROR(SEARCH("Cheque",N297)))</formula>
    </cfRule>
    <cfRule type="containsText" dxfId="2011" priority="499" operator="containsText" text="Dinheiro">
      <formula>NOT(ISERROR(SEARCH("Dinheiro",N297)))</formula>
    </cfRule>
    <cfRule type="cellIs" dxfId="2010" priority="500" operator="greaterThan">
      <formula>0</formula>
    </cfRule>
  </conditionalFormatting>
  <conditionalFormatting sqref="N297:N298">
    <cfRule type="containsText" dxfId="2009" priority="497" operator="containsText" text="Pix">
      <formula>NOT(ISERROR(SEARCH("Pix",N297)))</formula>
    </cfRule>
  </conditionalFormatting>
  <conditionalFormatting sqref="N297:N298">
    <cfRule type="containsText" dxfId="2008" priority="495" operator="containsText" text="transferencia">
      <formula>NOT(ISERROR(SEARCH("transferencia",N297)))</formula>
    </cfRule>
    <cfRule type="containsText" dxfId="2007" priority="496" operator="containsText" text="trasnferência">
      <formula>NOT(ISERROR(SEARCH("trasnferência",N297)))</formula>
    </cfRule>
  </conditionalFormatting>
  <conditionalFormatting sqref="N473:N474">
    <cfRule type="containsText" dxfId="2006" priority="492" operator="containsText" text="Cheque">
      <formula>NOT(ISERROR(SEARCH("Cheque",N473)))</formula>
    </cfRule>
    <cfRule type="containsText" dxfId="2005" priority="493" operator="containsText" text="Dinheiro">
      <formula>NOT(ISERROR(SEARCH("Dinheiro",N473)))</formula>
    </cfRule>
    <cfRule type="cellIs" dxfId="2004" priority="494" operator="greaterThan">
      <formula>0</formula>
    </cfRule>
  </conditionalFormatting>
  <conditionalFormatting sqref="N473:N474">
    <cfRule type="containsText" dxfId="2003" priority="491" operator="containsText" text="Pix">
      <formula>NOT(ISERROR(SEARCH("Pix",N473)))</formula>
    </cfRule>
  </conditionalFormatting>
  <conditionalFormatting sqref="N473:N474">
    <cfRule type="containsText" dxfId="2002" priority="489" operator="containsText" text="transferencia">
      <formula>NOT(ISERROR(SEARCH("transferencia",N473)))</formula>
    </cfRule>
    <cfRule type="containsText" dxfId="2001" priority="490" operator="containsText" text="trasnferência">
      <formula>NOT(ISERROR(SEARCH("trasnferência",N473)))</formula>
    </cfRule>
  </conditionalFormatting>
  <conditionalFormatting sqref="N609:N610">
    <cfRule type="containsText" dxfId="2000" priority="486" operator="containsText" text="Cheque">
      <formula>NOT(ISERROR(SEARCH("Cheque",N609)))</formula>
    </cfRule>
    <cfRule type="containsText" dxfId="1999" priority="487" operator="containsText" text="Dinheiro">
      <formula>NOT(ISERROR(SEARCH("Dinheiro",N609)))</formula>
    </cfRule>
    <cfRule type="cellIs" dxfId="1998" priority="488" operator="greaterThan">
      <formula>0</formula>
    </cfRule>
  </conditionalFormatting>
  <conditionalFormatting sqref="N609:N610">
    <cfRule type="containsText" dxfId="1997" priority="485" operator="containsText" text="Pix">
      <formula>NOT(ISERROR(SEARCH("Pix",N609)))</formula>
    </cfRule>
  </conditionalFormatting>
  <conditionalFormatting sqref="N609:N610">
    <cfRule type="containsText" dxfId="1996" priority="483" operator="containsText" text="transferencia">
      <formula>NOT(ISERROR(SEARCH("transferencia",N609)))</formula>
    </cfRule>
    <cfRule type="containsText" dxfId="1995" priority="484" operator="containsText" text="trasnferência">
      <formula>NOT(ISERROR(SEARCH("trasnferência",N609)))</formula>
    </cfRule>
  </conditionalFormatting>
  <conditionalFormatting sqref="N557:N558">
    <cfRule type="containsText" dxfId="1994" priority="480" operator="containsText" text="Cheque">
      <formula>NOT(ISERROR(SEARCH("Cheque",N557)))</formula>
    </cfRule>
    <cfRule type="containsText" dxfId="1993" priority="481" operator="containsText" text="Dinheiro">
      <formula>NOT(ISERROR(SEARCH("Dinheiro",N557)))</formula>
    </cfRule>
    <cfRule type="cellIs" dxfId="1992" priority="482" operator="greaterThan">
      <formula>0</formula>
    </cfRule>
  </conditionalFormatting>
  <conditionalFormatting sqref="N557:N558">
    <cfRule type="containsText" dxfId="1991" priority="479" operator="containsText" text="Pix">
      <formula>NOT(ISERROR(SEARCH("Pix",N557)))</formula>
    </cfRule>
  </conditionalFormatting>
  <conditionalFormatting sqref="N557:N558">
    <cfRule type="containsText" dxfId="1990" priority="477" operator="containsText" text="transferencia">
      <formula>NOT(ISERROR(SEARCH("transferencia",N557)))</formula>
    </cfRule>
    <cfRule type="containsText" dxfId="1989" priority="478" operator="containsText" text="trasnferência">
      <formula>NOT(ISERROR(SEARCH("trasnferência",N557)))</formula>
    </cfRule>
  </conditionalFormatting>
  <conditionalFormatting sqref="N537:N538">
    <cfRule type="containsText" dxfId="1988" priority="474" operator="containsText" text="Cheque">
      <formula>NOT(ISERROR(SEARCH("Cheque",N537)))</formula>
    </cfRule>
    <cfRule type="containsText" dxfId="1987" priority="475" operator="containsText" text="Dinheiro">
      <formula>NOT(ISERROR(SEARCH("Dinheiro",N537)))</formula>
    </cfRule>
    <cfRule type="cellIs" dxfId="1986" priority="476" operator="greaterThan">
      <formula>0</formula>
    </cfRule>
  </conditionalFormatting>
  <conditionalFormatting sqref="N537:N538">
    <cfRule type="containsText" dxfId="1985" priority="473" operator="containsText" text="Pix">
      <formula>NOT(ISERROR(SEARCH("Pix",N537)))</formula>
    </cfRule>
  </conditionalFormatting>
  <conditionalFormatting sqref="N537:N538">
    <cfRule type="containsText" dxfId="1984" priority="471" operator="containsText" text="transferencia">
      <formula>NOT(ISERROR(SEARCH("transferencia",N537)))</formula>
    </cfRule>
    <cfRule type="containsText" dxfId="1983" priority="472" operator="containsText" text="trasnferência">
      <formula>NOT(ISERROR(SEARCH("trasnferência",N537)))</formula>
    </cfRule>
  </conditionalFormatting>
  <conditionalFormatting sqref="N481:N482">
    <cfRule type="containsText" dxfId="1982" priority="468" operator="containsText" text="Cheque">
      <formula>NOT(ISERROR(SEARCH("Cheque",N481)))</formula>
    </cfRule>
    <cfRule type="containsText" dxfId="1981" priority="469" operator="containsText" text="Dinheiro">
      <formula>NOT(ISERROR(SEARCH("Dinheiro",N481)))</formula>
    </cfRule>
    <cfRule type="cellIs" dxfId="1980" priority="470" operator="greaterThan">
      <formula>0</formula>
    </cfRule>
  </conditionalFormatting>
  <conditionalFormatting sqref="N481:N482">
    <cfRule type="containsText" dxfId="1979" priority="467" operator="containsText" text="Pix">
      <formula>NOT(ISERROR(SEARCH("Pix",N481)))</formula>
    </cfRule>
  </conditionalFormatting>
  <conditionalFormatting sqref="N481:N482">
    <cfRule type="containsText" dxfId="1978" priority="465" operator="containsText" text="transferencia">
      <formula>NOT(ISERROR(SEARCH("transferencia",N481)))</formula>
    </cfRule>
    <cfRule type="containsText" dxfId="1977" priority="466" operator="containsText" text="trasnferência">
      <formula>NOT(ISERROR(SEARCH("trasnferência",N481)))</formula>
    </cfRule>
  </conditionalFormatting>
  <conditionalFormatting sqref="N569:N570">
    <cfRule type="containsText" dxfId="1976" priority="462" operator="containsText" text="Cheque">
      <formula>NOT(ISERROR(SEARCH("Cheque",N569)))</formula>
    </cfRule>
    <cfRule type="containsText" dxfId="1975" priority="463" operator="containsText" text="Dinheiro">
      <formula>NOT(ISERROR(SEARCH("Dinheiro",N569)))</formula>
    </cfRule>
    <cfRule type="cellIs" dxfId="1974" priority="464" operator="greaterThan">
      <formula>0</formula>
    </cfRule>
  </conditionalFormatting>
  <conditionalFormatting sqref="N569:N570">
    <cfRule type="containsText" dxfId="1973" priority="461" operator="containsText" text="Pix">
      <formula>NOT(ISERROR(SEARCH("Pix",N569)))</formula>
    </cfRule>
  </conditionalFormatting>
  <conditionalFormatting sqref="N569:N570">
    <cfRule type="containsText" dxfId="1972" priority="459" operator="containsText" text="transferencia">
      <formula>NOT(ISERROR(SEARCH("transferencia",N569)))</formula>
    </cfRule>
    <cfRule type="containsText" dxfId="1971" priority="460" operator="containsText" text="trasnferência">
      <formula>NOT(ISERROR(SEARCH("trasnferência",N569)))</formula>
    </cfRule>
  </conditionalFormatting>
  <conditionalFormatting sqref="N301:N302">
    <cfRule type="containsText" dxfId="1970" priority="456" operator="containsText" text="Cheque">
      <formula>NOT(ISERROR(SEARCH("Cheque",N301)))</formula>
    </cfRule>
    <cfRule type="containsText" dxfId="1969" priority="457" operator="containsText" text="Dinheiro">
      <formula>NOT(ISERROR(SEARCH("Dinheiro",N301)))</formula>
    </cfRule>
    <cfRule type="cellIs" dxfId="1968" priority="458" operator="greaterThan">
      <formula>0</formula>
    </cfRule>
  </conditionalFormatting>
  <conditionalFormatting sqref="N301:N302">
    <cfRule type="containsText" dxfId="1967" priority="455" operator="containsText" text="Pix">
      <formula>NOT(ISERROR(SEARCH("Pix",N301)))</formula>
    </cfRule>
  </conditionalFormatting>
  <conditionalFormatting sqref="N301:N302">
    <cfRule type="containsText" dxfId="1966" priority="453" operator="containsText" text="transferencia">
      <formula>NOT(ISERROR(SEARCH("transferencia",N301)))</formula>
    </cfRule>
    <cfRule type="containsText" dxfId="1965" priority="454" operator="containsText" text="trasnferência">
      <formula>NOT(ISERROR(SEARCH("trasnferência",N301)))</formula>
    </cfRule>
  </conditionalFormatting>
  <conditionalFormatting sqref="N304">
    <cfRule type="containsText" dxfId="1964" priority="450" operator="containsText" text="Cheque">
      <formula>NOT(ISERROR(SEARCH("Cheque",N304)))</formula>
    </cfRule>
    <cfRule type="containsText" dxfId="1963" priority="451" operator="containsText" text="Dinheiro">
      <formula>NOT(ISERROR(SEARCH("Dinheiro",N304)))</formula>
    </cfRule>
    <cfRule type="cellIs" dxfId="1962" priority="452" operator="greaterThan">
      <formula>0</formula>
    </cfRule>
  </conditionalFormatting>
  <conditionalFormatting sqref="N304">
    <cfRule type="containsText" dxfId="1961" priority="449" operator="containsText" text="Pix">
      <formula>NOT(ISERROR(SEARCH("Pix",N304)))</formula>
    </cfRule>
  </conditionalFormatting>
  <conditionalFormatting sqref="N304">
    <cfRule type="containsText" dxfId="1960" priority="447" operator="containsText" text="transferencia">
      <formula>NOT(ISERROR(SEARCH("transferencia",N304)))</formula>
    </cfRule>
    <cfRule type="containsText" dxfId="1959" priority="448" operator="containsText" text="trasnferência">
      <formula>NOT(ISERROR(SEARCH("trasnferência",N304)))</formula>
    </cfRule>
  </conditionalFormatting>
  <conditionalFormatting sqref="N115:N116">
    <cfRule type="containsText" dxfId="1958" priority="438" operator="containsText" text="Cheque">
      <formula>NOT(ISERROR(SEARCH("Cheque",N115)))</formula>
    </cfRule>
    <cfRule type="containsText" dxfId="1957" priority="439" operator="containsText" text="Dinheiro">
      <formula>NOT(ISERROR(SEARCH("Dinheiro",N115)))</formula>
    </cfRule>
    <cfRule type="cellIs" dxfId="1956" priority="440" operator="greaterThan">
      <formula>0</formula>
    </cfRule>
  </conditionalFormatting>
  <conditionalFormatting sqref="N115:N116">
    <cfRule type="containsText" dxfId="1955" priority="437" operator="containsText" text="Pix">
      <formula>NOT(ISERROR(SEARCH("Pix",N115)))</formula>
    </cfRule>
  </conditionalFormatting>
  <conditionalFormatting sqref="N115:N116">
    <cfRule type="containsText" dxfId="1954" priority="435" operator="containsText" text="transferencia">
      <formula>NOT(ISERROR(SEARCH("transferencia",N115)))</formula>
    </cfRule>
    <cfRule type="containsText" dxfId="1953" priority="436" operator="containsText" text="trasnferência">
      <formula>NOT(ISERROR(SEARCH("trasnferência",N115)))</formula>
    </cfRule>
  </conditionalFormatting>
  <conditionalFormatting sqref="N349:N350">
    <cfRule type="containsText" dxfId="1952" priority="432" operator="containsText" text="Cheque">
      <formula>NOT(ISERROR(SEARCH("Cheque",N349)))</formula>
    </cfRule>
    <cfRule type="containsText" dxfId="1951" priority="433" operator="containsText" text="Dinheiro">
      <formula>NOT(ISERROR(SEARCH("Dinheiro",N349)))</formula>
    </cfRule>
    <cfRule type="cellIs" dxfId="1950" priority="434" operator="greaterThan">
      <formula>0</formula>
    </cfRule>
  </conditionalFormatting>
  <conditionalFormatting sqref="N349:N350">
    <cfRule type="containsText" dxfId="1949" priority="431" operator="containsText" text="Pix">
      <formula>NOT(ISERROR(SEARCH("Pix",N349)))</formula>
    </cfRule>
  </conditionalFormatting>
  <conditionalFormatting sqref="N349:N350">
    <cfRule type="containsText" dxfId="1948" priority="429" operator="containsText" text="transferencia">
      <formula>NOT(ISERROR(SEARCH("transferencia",N349)))</formula>
    </cfRule>
    <cfRule type="containsText" dxfId="1947" priority="430" operator="containsText" text="trasnferência">
      <formula>NOT(ISERROR(SEARCH("trasnferência",N349)))</formula>
    </cfRule>
  </conditionalFormatting>
  <conditionalFormatting sqref="N79:N80">
    <cfRule type="containsText" dxfId="1946" priority="426" operator="containsText" text="Cheque">
      <formula>NOT(ISERROR(SEARCH("Cheque",N79)))</formula>
    </cfRule>
    <cfRule type="containsText" dxfId="1945" priority="427" operator="containsText" text="Dinheiro">
      <formula>NOT(ISERROR(SEARCH("Dinheiro",N79)))</formula>
    </cfRule>
    <cfRule type="cellIs" dxfId="1944" priority="428" operator="greaterThan">
      <formula>0</formula>
    </cfRule>
  </conditionalFormatting>
  <conditionalFormatting sqref="N79:N80">
    <cfRule type="containsText" dxfId="1943" priority="425" operator="containsText" text="Pix">
      <formula>NOT(ISERROR(SEARCH("Pix",N79)))</formula>
    </cfRule>
  </conditionalFormatting>
  <conditionalFormatting sqref="N79:N80">
    <cfRule type="containsText" dxfId="1942" priority="423" operator="containsText" text="transferencia">
      <formula>NOT(ISERROR(SEARCH("transferencia",N79)))</formula>
    </cfRule>
    <cfRule type="containsText" dxfId="1941" priority="424" operator="containsText" text="trasnferência">
      <formula>NOT(ISERROR(SEARCH("trasnferência",N79)))</formula>
    </cfRule>
  </conditionalFormatting>
  <conditionalFormatting sqref="N449:N450">
    <cfRule type="containsText" dxfId="1940" priority="420" operator="containsText" text="Cheque">
      <formula>NOT(ISERROR(SEARCH("Cheque",N449)))</formula>
    </cfRule>
    <cfRule type="containsText" dxfId="1939" priority="421" operator="containsText" text="Dinheiro">
      <formula>NOT(ISERROR(SEARCH("Dinheiro",N449)))</formula>
    </cfRule>
    <cfRule type="cellIs" dxfId="1938" priority="422" operator="greaterThan">
      <formula>0</formula>
    </cfRule>
  </conditionalFormatting>
  <conditionalFormatting sqref="N449:N450">
    <cfRule type="containsText" dxfId="1937" priority="419" operator="containsText" text="Pix">
      <formula>NOT(ISERROR(SEARCH("Pix",N449)))</formula>
    </cfRule>
  </conditionalFormatting>
  <conditionalFormatting sqref="N449:N450">
    <cfRule type="containsText" dxfId="1936" priority="417" operator="containsText" text="transferencia">
      <formula>NOT(ISERROR(SEARCH("transferencia",N449)))</formula>
    </cfRule>
    <cfRule type="containsText" dxfId="1935" priority="418" operator="containsText" text="trasnferência">
      <formula>NOT(ISERROR(SEARCH("trasnferência",N449)))</formula>
    </cfRule>
  </conditionalFormatting>
  <conditionalFormatting sqref="N15:N16">
    <cfRule type="containsText" dxfId="1934" priority="414" operator="containsText" text="Cheque">
      <formula>NOT(ISERROR(SEARCH("Cheque",N15)))</formula>
    </cfRule>
    <cfRule type="containsText" dxfId="1933" priority="415" operator="containsText" text="Dinheiro">
      <formula>NOT(ISERROR(SEARCH("Dinheiro",N15)))</formula>
    </cfRule>
    <cfRule type="cellIs" dxfId="1932" priority="416" operator="greaterThan">
      <formula>0</formula>
    </cfRule>
  </conditionalFormatting>
  <conditionalFormatting sqref="N15:N16">
    <cfRule type="containsText" dxfId="1931" priority="413" operator="containsText" text="Pix">
      <formula>NOT(ISERROR(SEARCH("Pix",N15)))</formula>
    </cfRule>
  </conditionalFormatting>
  <conditionalFormatting sqref="N15:N16">
    <cfRule type="containsText" dxfId="1930" priority="411" operator="containsText" text="transferencia">
      <formula>NOT(ISERROR(SEARCH("transferencia",N15)))</formula>
    </cfRule>
    <cfRule type="containsText" dxfId="1929" priority="412" operator="containsText" text="trasnferência">
      <formula>NOT(ISERROR(SEARCH("trasnferência",N15)))</formula>
    </cfRule>
  </conditionalFormatting>
  <conditionalFormatting sqref="N7:N8">
    <cfRule type="containsText" dxfId="1928" priority="402" operator="containsText" text="Cheque">
      <formula>NOT(ISERROR(SEARCH("Cheque",N7)))</formula>
    </cfRule>
    <cfRule type="containsText" dxfId="1927" priority="403" operator="containsText" text="Dinheiro">
      <formula>NOT(ISERROR(SEARCH("Dinheiro",N7)))</formula>
    </cfRule>
    <cfRule type="cellIs" dxfId="1926" priority="404" operator="greaterThan">
      <formula>0</formula>
    </cfRule>
  </conditionalFormatting>
  <conditionalFormatting sqref="N7:N8">
    <cfRule type="containsText" dxfId="1925" priority="401" operator="containsText" text="Pix">
      <formula>NOT(ISERROR(SEARCH("Pix",N7)))</formula>
    </cfRule>
  </conditionalFormatting>
  <conditionalFormatting sqref="N7:N8">
    <cfRule type="containsText" dxfId="1924" priority="399" operator="containsText" text="transferencia">
      <formula>NOT(ISERROR(SEARCH("transferencia",N7)))</formula>
    </cfRule>
    <cfRule type="containsText" dxfId="1923" priority="400" operator="containsText" text="trasnferência">
      <formula>NOT(ISERROR(SEARCH("trasnferência",N7)))</formula>
    </cfRule>
  </conditionalFormatting>
  <conditionalFormatting sqref="C665:O668">
    <cfRule type="containsText" dxfId="1922" priority="396" operator="containsText" text="Cheque">
      <formula>NOT(ISERROR(SEARCH("Cheque",C665)))</formula>
    </cfRule>
    <cfRule type="containsText" dxfId="1921" priority="397" operator="containsText" text="Dinheiro">
      <formula>NOT(ISERROR(SEARCH("Dinheiro",C665)))</formula>
    </cfRule>
    <cfRule type="cellIs" dxfId="1920" priority="398" operator="greaterThan">
      <formula>0</formula>
    </cfRule>
  </conditionalFormatting>
  <conditionalFormatting sqref="A665:O668">
    <cfRule type="containsText" dxfId="1919" priority="395" operator="containsText" text="Pix">
      <formula>NOT(ISERROR(SEARCH("Pix",A665)))</formula>
    </cfRule>
  </conditionalFormatting>
  <conditionalFormatting sqref="N665:N668">
    <cfRule type="containsText" dxfId="1918" priority="390" operator="containsText" text="Cheque">
      <formula>NOT(ISERROR(SEARCH("Cheque",N665)))</formula>
    </cfRule>
    <cfRule type="containsText" dxfId="1917" priority="391" operator="containsText" text="Dinheiro">
      <formula>NOT(ISERROR(SEARCH("Dinheiro",N665)))</formula>
    </cfRule>
    <cfRule type="cellIs" dxfId="1916" priority="392" operator="greaterThan">
      <formula>0</formula>
    </cfRule>
  </conditionalFormatting>
  <conditionalFormatting sqref="N665:N668">
    <cfRule type="containsText" dxfId="1915" priority="389" operator="containsText" text="Pix">
      <formula>NOT(ISERROR(SEARCH("Pix",N665)))</formula>
    </cfRule>
  </conditionalFormatting>
  <conditionalFormatting sqref="N665:N668">
    <cfRule type="containsText" dxfId="1914" priority="387" operator="containsText" text="transferencia">
      <formula>NOT(ISERROR(SEARCH("transferencia",N665)))</formula>
    </cfRule>
    <cfRule type="containsText" dxfId="1913" priority="388" operator="containsText" text="trasnferência">
      <formula>NOT(ISERROR(SEARCH("trasnferência",N665)))</formula>
    </cfRule>
  </conditionalFormatting>
  <conditionalFormatting sqref="C621:C622">
    <cfRule type="containsText" dxfId="1912" priority="384" operator="containsText" text="Cheque">
      <formula>NOT(ISERROR(SEARCH("Cheque",C621)))</formula>
    </cfRule>
    <cfRule type="containsText" dxfId="1911" priority="385" operator="containsText" text="Dinheiro">
      <formula>NOT(ISERROR(SEARCH("Dinheiro",C621)))</formula>
    </cfRule>
    <cfRule type="cellIs" dxfId="1910" priority="386" operator="greaterThan">
      <formula>0</formula>
    </cfRule>
  </conditionalFormatting>
  <conditionalFormatting sqref="C621:C622">
    <cfRule type="containsText" dxfId="1909" priority="383" operator="containsText" text="Pix">
      <formula>NOT(ISERROR(SEARCH("Pix",C621)))</formula>
    </cfRule>
  </conditionalFormatting>
  <conditionalFormatting sqref="C621:C622">
    <cfRule type="containsText" dxfId="1908" priority="381" operator="containsText" text="transferencia">
      <formula>NOT(ISERROR(SEARCH("transferencia",C621)))</formula>
    </cfRule>
    <cfRule type="containsText" dxfId="1907" priority="382" operator="containsText" text="trasnferência">
      <formula>NOT(ISERROR(SEARCH("trasnferência",C621)))</formula>
    </cfRule>
  </conditionalFormatting>
  <conditionalFormatting sqref="C11:C12">
    <cfRule type="containsText" dxfId="1906" priority="366" operator="containsText" text="Cheque">
      <formula>NOT(ISERROR(SEARCH("Cheque",C11)))</formula>
    </cfRule>
    <cfRule type="containsText" dxfId="1905" priority="367" operator="containsText" text="Dinheiro">
      <formula>NOT(ISERROR(SEARCH("Dinheiro",C11)))</formula>
    </cfRule>
    <cfRule type="cellIs" dxfId="1904" priority="368" operator="greaterThan">
      <formula>0</formula>
    </cfRule>
  </conditionalFormatting>
  <conditionalFormatting sqref="C11:C12">
    <cfRule type="containsText" dxfId="1903" priority="365" operator="containsText" text="Pix">
      <formula>NOT(ISERROR(SEARCH("Pix",C11)))</formula>
    </cfRule>
  </conditionalFormatting>
  <conditionalFormatting sqref="C11:C12">
    <cfRule type="containsText" dxfId="1902" priority="363" operator="containsText" text="transferencia">
      <formula>NOT(ISERROR(SEARCH("transferencia",C11)))</formula>
    </cfRule>
    <cfRule type="containsText" dxfId="1901" priority="364" operator="containsText" text="trasnferência">
      <formula>NOT(ISERROR(SEARCH("trasnferência",C11)))</formula>
    </cfRule>
  </conditionalFormatting>
  <conditionalFormatting sqref="C485:C486">
    <cfRule type="containsText" dxfId="1900" priority="360" operator="containsText" text="Cheque">
      <formula>NOT(ISERROR(SEARCH("Cheque",C485)))</formula>
    </cfRule>
    <cfRule type="containsText" dxfId="1899" priority="361" operator="containsText" text="Dinheiro">
      <formula>NOT(ISERROR(SEARCH("Dinheiro",C485)))</formula>
    </cfRule>
    <cfRule type="cellIs" dxfId="1898" priority="362" operator="greaterThan">
      <formula>0</formula>
    </cfRule>
  </conditionalFormatting>
  <conditionalFormatting sqref="C485:C486">
    <cfRule type="containsText" dxfId="1897" priority="359" operator="containsText" text="Pix">
      <formula>NOT(ISERROR(SEARCH("Pix",C485)))</formula>
    </cfRule>
  </conditionalFormatting>
  <conditionalFormatting sqref="C485:C486">
    <cfRule type="containsText" dxfId="1896" priority="357" operator="containsText" text="transferencia">
      <formula>NOT(ISERROR(SEARCH("transferencia",C485)))</formula>
    </cfRule>
    <cfRule type="containsText" dxfId="1895" priority="358" operator="containsText" text="trasnferência">
      <formula>NOT(ISERROR(SEARCH("trasnferência",C485)))</formula>
    </cfRule>
  </conditionalFormatting>
  <conditionalFormatting sqref="C593">
    <cfRule type="containsText" dxfId="1894" priority="354" operator="containsText" text="Cheque">
      <formula>NOT(ISERROR(SEARCH("Cheque",C593)))</formula>
    </cfRule>
    <cfRule type="containsText" dxfId="1893" priority="355" operator="containsText" text="Dinheiro">
      <formula>NOT(ISERROR(SEARCH("Dinheiro",C593)))</formula>
    </cfRule>
    <cfRule type="cellIs" dxfId="1892" priority="356" operator="greaterThan">
      <formula>0</formula>
    </cfRule>
  </conditionalFormatting>
  <conditionalFormatting sqref="C593">
    <cfRule type="containsText" dxfId="1891" priority="353" operator="containsText" text="Pix">
      <formula>NOT(ISERROR(SEARCH("Pix",C593)))</formula>
    </cfRule>
  </conditionalFormatting>
  <conditionalFormatting sqref="C593:C594">
    <cfRule type="containsText" dxfId="1890" priority="351" operator="containsText" text="transferencia">
      <formula>NOT(ISERROR(SEARCH("transferencia",C593)))</formula>
    </cfRule>
    <cfRule type="containsText" dxfId="1889" priority="352" operator="containsText" text="trasnferência">
      <formula>NOT(ISERROR(SEARCH("trasnferência",C593)))</formula>
    </cfRule>
  </conditionalFormatting>
  <conditionalFormatting sqref="C39:M42 O39:O42">
    <cfRule type="containsText" dxfId="1888" priority="348" operator="containsText" text="Cheque">
      <formula>NOT(ISERROR(SEARCH("Cheque",C39)))</formula>
    </cfRule>
    <cfRule type="containsText" dxfId="1887" priority="349" operator="containsText" text="Dinheiro">
      <formula>NOT(ISERROR(SEARCH("Dinheiro",C39)))</formula>
    </cfRule>
    <cfRule type="cellIs" dxfId="1886" priority="350" operator="greaterThan">
      <formula>0</formula>
    </cfRule>
  </conditionalFormatting>
  <conditionalFormatting sqref="A39:M42 O39:O42">
    <cfRule type="containsText" dxfId="1885" priority="347" operator="containsText" text="Pix">
      <formula>NOT(ISERROR(SEARCH("Pix",A39)))</formula>
    </cfRule>
  </conditionalFormatting>
  <conditionalFormatting sqref="A39:M42 O39:XFD42">
    <cfRule type="containsText" dxfId="1884" priority="345" operator="containsText" text="transferencia">
      <formula>NOT(ISERROR(SEARCH("transferencia",A39)))</formula>
    </cfRule>
    <cfRule type="containsText" dxfId="1883" priority="346" operator="containsText" text="trasnferência">
      <formula>NOT(ISERROR(SEARCH("trasnferência",A39)))</formula>
    </cfRule>
  </conditionalFormatting>
  <conditionalFormatting sqref="N39:N42">
    <cfRule type="containsText" dxfId="1882" priority="342" operator="containsText" text="Cheque">
      <formula>NOT(ISERROR(SEARCH("Cheque",N39)))</formula>
    </cfRule>
    <cfRule type="containsText" dxfId="1881" priority="343" operator="containsText" text="Dinheiro">
      <formula>NOT(ISERROR(SEARCH("Dinheiro",N39)))</formula>
    </cfRule>
    <cfRule type="cellIs" dxfId="1880" priority="344" operator="greaterThan">
      <formula>0</formula>
    </cfRule>
  </conditionalFormatting>
  <conditionalFormatting sqref="N39:N42">
    <cfRule type="containsText" dxfId="1879" priority="341" operator="containsText" text="Pix">
      <formula>NOT(ISERROR(SEARCH("Pix",N39)))</formula>
    </cfRule>
  </conditionalFormatting>
  <conditionalFormatting sqref="N39:N42">
    <cfRule type="containsText" dxfId="1878" priority="339" operator="containsText" text="transferencia">
      <formula>NOT(ISERROR(SEARCH("transferencia",N39)))</formula>
    </cfRule>
    <cfRule type="containsText" dxfId="1877" priority="340" operator="containsText" text="trasnferência">
      <formula>NOT(ISERROR(SEARCH("trasnferência",N39)))</formula>
    </cfRule>
  </conditionalFormatting>
  <conditionalFormatting sqref="C19:C20">
    <cfRule type="containsText" dxfId="1876" priority="336" operator="containsText" text="Cheque">
      <formula>NOT(ISERROR(SEARCH("Cheque",C19)))</formula>
    </cfRule>
    <cfRule type="containsText" dxfId="1875" priority="337" operator="containsText" text="Dinheiro">
      <formula>NOT(ISERROR(SEARCH("Dinheiro",C19)))</formula>
    </cfRule>
    <cfRule type="cellIs" dxfId="1874" priority="338" operator="greaterThan">
      <formula>0</formula>
    </cfRule>
  </conditionalFormatting>
  <conditionalFormatting sqref="C19:C20">
    <cfRule type="containsText" dxfId="1873" priority="335" operator="containsText" text="Pix">
      <formula>NOT(ISERROR(SEARCH("Pix",C19)))</formula>
    </cfRule>
  </conditionalFormatting>
  <conditionalFormatting sqref="C19:C20">
    <cfRule type="containsText" dxfId="1872" priority="333" operator="containsText" text="transferencia">
      <formula>NOT(ISERROR(SEARCH("transferencia",C19)))</formula>
    </cfRule>
    <cfRule type="containsText" dxfId="1871" priority="334" operator="containsText" text="trasnferência">
      <formula>NOT(ISERROR(SEARCH("trasnferência",C19)))</formula>
    </cfRule>
  </conditionalFormatting>
  <conditionalFormatting sqref="C27:C28">
    <cfRule type="containsText" dxfId="1870" priority="330" operator="containsText" text="Cheque">
      <formula>NOT(ISERROR(SEARCH("Cheque",C27)))</formula>
    </cfRule>
    <cfRule type="containsText" dxfId="1869" priority="331" operator="containsText" text="Dinheiro">
      <formula>NOT(ISERROR(SEARCH("Dinheiro",C27)))</formula>
    </cfRule>
    <cfRule type="cellIs" dxfId="1868" priority="332" operator="greaterThan">
      <formula>0</formula>
    </cfRule>
  </conditionalFormatting>
  <conditionalFormatting sqref="C27:C28">
    <cfRule type="containsText" dxfId="1867" priority="329" operator="containsText" text="Pix">
      <formula>NOT(ISERROR(SEARCH("Pix",C27)))</formula>
    </cfRule>
  </conditionalFormatting>
  <conditionalFormatting sqref="C27:C28">
    <cfRule type="containsText" dxfId="1866" priority="327" operator="containsText" text="transferencia">
      <formula>NOT(ISERROR(SEARCH("transferencia",C27)))</formula>
    </cfRule>
    <cfRule type="containsText" dxfId="1865" priority="328" operator="containsText" text="trasnferência">
      <formula>NOT(ISERROR(SEARCH("trasnferência",C27)))</formula>
    </cfRule>
  </conditionalFormatting>
  <conditionalFormatting sqref="C420:C421">
    <cfRule type="containsText" dxfId="1864" priority="324" operator="containsText" text="Cheque">
      <formula>NOT(ISERROR(SEARCH("Cheque",C420)))</formula>
    </cfRule>
    <cfRule type="containsText" dxfId="1863" priority="325" operator="containsText" text="Dinheiro">
      <formula>NOT(ISERROR(SEARCH("Dinheiro",C420)))</formula>
    </cfRule>
    <cfRule type="cellIs" dxfId="1862" priority="326" operator="greaterThan">
      <formula>0</formula>
    </cfRule>
  </conditionalFormatting>
  <conditionalFormatting sqref="C420:C421">
    <cfRule type="containsText" dxfId="1861" priority="323" operator="containsText" text="Pix">
      <formula>NOT(ISERROR(SEARCH("Pix",C420)))</formula>
    </cfRule>
  </conditionalFormatting>
  <conditionalFormatting sqref="C420:C421">
    <cfRule type="containsText" dxfId="1860" priority="321" operator="containsText" text="transferencia">
      <formula>NOT(ISERROR(SEARCH("transferencia",C420)))</formula>
    </cfRule>
    <cfRule type="containsText" dxfId="1859" priority="322" operator="containsText" text="trasnferência">
      <formula>NOT(ISERROR(SEARCH("trasnferência",C420)))</formula>
    </cfRule>
  </conditionalFormatting>
  <conditionalFormatting sqref="C392:C393">
    <cfRule type="containsText" dxfId="1858" priority="318" operator="containsText" text="Cheque">
      <formula>NOT(ISERROR(SEARCH("Cheque",C392)))</formula>
    </cfRule>
    <cfRule type="containsText" dxfId="1857" priority="319" operator="containsText" text="Dinheiro">
      <formula>NOT(ISERROR(SEARCH("Dinheiro",C392)))</formula>
    </cfRule>
    <cfRule type="cellIs" dxfId="1856" priority="320" operator="greaterThan">
      <formula>0</formula>
    </cfRule>
  </conditionalFormatting>
  <conditionalFormatting sqref="C392:C393">
    <cfRule type="containsText" dxfId="1855" priority="317" operator="containsText" text="Pix">
      <formula>NOT(ISERROR(SEARCH("Pix",C392)))</formula>
    </cfRule>
  </conditionalFormatting>
  <conditionalFormatting sqref="C392:C393">
    <cfRule type="containsText" dxfId="1854" priority="315" operator="containsText" text="transferencia">
      <formula>NOT(ISERROR(SEARCH("transferencia",C392)))</formula>
    </cfRule>
    <cfRule type="containsText" dxfId="1853" priority="316" operator="containsText" text="trasnferência">
      <formula>NOT(ISERROR(SEARCH("trasnferência",C392)))</formula>
    </cfRule>
  </conditionalFormatting>
  <conditionalFormatting sqref="D11:D12">
    <cfRule type="containsText" dxfId="1852" priority="300" operator="containsText" text="Cheque">
      <formula>NOT(ISERROR(SEARCH("Cheque",D11)))</formula>
    </cfRule>
    <cfRule type="containsText" dxfId="1851" priority="301" operator="containsText" text="Dinheiro">
      <formula>NOT(ISERROR(SEARCH("Dinheiro",D11)))</formula>
    </cfRule>
    <cfRule type="cellIs" dxfId="1850" priority="302" operator="greaterThan">
      <formula>0</formula>
    </cfRule>
  </conditionalFormatting>
  <conditionalFormatting sqref="D11:D12">
    <cfRule type="containsText" dxfId="1849" priority="299" operator="containsText" text="Pix">
      <formula>NOT(ISERROR(SEARCH("Pix",D11)))</formula>
    </cfRule>
  </conditionalFormatting>
  <conditionalFormatting sqref="D11:D12">
    <cfRule type="containsText" dxfId="1848" priority="297" operator="containsText" text="transferencia">
      <formula>NOT(ISERROR(SEARCH("transferencia",D11)))</formula>
    </cfRule>
    <cfRule type="containsText" dxfId="1847" priority="298" operator="containsText" text="trasnferência">
      <formula>NOT(ISERROR(SEARCH("trasnferência",D11)))</formula>
    </cfRule>
  </conditionalFormatting>
  <conditionalFormatting sqref="D489:D490">
    <cfRule type="containsText" dxfId="1846" priority="294" operator="containsText" text="Cheque">
      <formula>NOT(ISERROR(SEARCH("Cheque",D489)))</formula>
    </cfRule>
    <cfRule type="containsText" dxfId="1845" priority="295" operator="containsText" text="Dinheiro">
      <formula>NOT(ISERROR(SEARCH("Dinheiro",D489)))</formula>
    </cfRule>
    <cfRule type="cellIs" dxfId="1844" priority="296" operator="greaterThan">
      <formula>0</formula>
    </cfRule>
  </conditionalFormatting>
  <conditionalFormatting sqref="D489:D490">
    <cfRule type="containsText" dxfId="1843" priority="293" operator="containsText" text="Pix">
      <formula>NOT(ISERROR(SEARCH("Pix",D489)))</formula>
    </cfRule>
  </conditionalFormatting>
  <conditionalFormatting sqref="D489:D490">
    <cfRule type="containsText" dxfId="1842" priority="291" operator="containsText" text="transferencia">
      <formula>NOT(ISERROR(SEARCH("transferencia",D489)))</formula>
    </cfRule>
    <cfRule type="containsText" dxfId="1841" priority="292" operator="containsText" text="trasnferência">
      <formula>NOT(ISERROR(SEARCH("trasnferência",D489)))</formula>
    </cfRule>
  </conditionalFormatting>
  <conditionalFormatting sqref="E621:E622">
    <cfRule type="containsText" dxfId="1840" priority="288" operator="containsText" text="Cheque">
      <formula>NOT(ISERROR(SEARCH("Cheque",E621)))</formula>
    </cfRule>
    <cfRule type="containsText" dxfId="1839" priority="289" operator="containsText" text="Dinheiro">
      <formula>NOT(ISERROR(SEARCH("Dinheiro",E621)))</formula>
    </cfRule>
    <cfRule type="cellIs" dxfId="1838" priority="290" operator="greaterThan">
      <formula>0</formula>
    </cfRule>
  </conditionalFormatting>
  <conditionalFormatting sqref="E621:E622">
    <cfRule type="containsText" dxfId="1837" priority="287" operator="containsText" text="Pix">
      <formula>NOT(ISERROR(SEARCH("Pix",E621)))</formula>
    </cfRule>
  </conditionalFormatting>
  <conditionalFormatting sqref="E621:E622">
    <cfRule type="containsText" dxfId="1836" priority="285" operator="containsText" text="transferencia">
      <formula>NOT(ISERROR(SEARCH("transferencia",E621)))</formula>
    </cfRule>
    <cfRule type="containsText" dxfId="1835" priority="286" operator="containsText" text="trasnferência">
      <formula>NOT(ISERROR(SEARCH("trasnferência",E621)))</formula>
    </cfRule>
  </conditionalFormatting>
  <conditionalFormatting sqref="D593">
    <cfRule type="containsText" dxfId="1834" priority="282" operator="containsText" text="Cheque">
      <formula>NOT(ISERROR(SEARCH("Cheque",D593)))</formula>
    </cfRule>
    <cfRule type="containsText" dxfId="1833" priority="283" operator="containsText" text="Dinheiro">
      <formula>NOT(ISERROR(SEARCH("Dinheiro",D593)))</formula>
    </cfRule>
    <cfRule type="cellIs" dxfId="1832" priority="284" operator="greaterThan">
      <formula>0</formula>
    </cfRule>
  </conditionalFormatting>
  <conditionalFormatting sqref="D593">
    <cfRule type="containsText" dxfId="1831" priority="281" operator="containsText" text="Pix">
      <formula>NOT(ISERROR(SEARCH("Pix",D593)))</formula>
    </cfRule>
  </conditionalFormatting>
  <conditionalFormatting sqref="D593:D594">
    <cfRule type="containsText" dxfId="1830" priority="279" operator="containsText" text="transferencia">
      <formula>NOT(ISERROR(SEARCH("transferencia",D593)))</formula>
    </cfRule>
    <cfRule type="containsText" dxfId="1829" priority="280" operator="containsText" text="trasnferência">
      <formula>NOT(ISERROR(SEARCH("trasnferência",D593)))</formula>
    </cfRule>
  </conditionalFormatting>
  <conditionalFormatting sqref="D19:D20">
    <cfRule type="containsText" dxfId="1828" priority="276" operator="containsText" text="Cheque">
      <formula>NOT(ISERROR(SEARCH("Cheque",D19)))</formula>
    </cfRule>
    <cfRule type="containsText" dxfId="1827" priority="277" operator="containsText" text="Dinheiro">
      <formula>NOT(ISERROR(SEARCH("Dinheiro",D19)))</formula>
    </cfRule>
    <cfRule type="cellIs" dxfId="1826" priority="278" operator="greaterThan">
      <formula>0</formula>
    </cfRule>
  </conditionalFormatting>
  <conditionalFormatting sqref="D19:D20">
    <cfRule type="containsText" dxfId="1825" priority="275" operator="containsText" text="Pix">
      <formula>NOT(ISERROR(SEARCH("Pix",D19)))</formula>
    </cfRule>
  </conditionalFormatting>
  <conditionalFormatting sqref="D19:D20">
    <cfRule type="containsText" dxfId="1824" priority="273" operator="containsText" text="transferencia">
      <formula>NOT(ISERROR(SEARCH("transferencia",D19)))</formula>
    </cfRule>
    <cfRule type="containsText" dxfId="1823" priority="274" operator="containsText" text="trasnferência">
      <formula>NOT(ISERROR(SEARCH("trasnferência",D19)))</formula>
    </cfRule>
  </conditionalFormatting>
  <conditionalFormatting sqref="D392:D393">
    <cfRule type="containsText" dxfId="1822" priority="270" operator="containsText" text="Cheque">
      <formula>NOT(ISERROR(SEARCH("Cheque",D392)))</formula>
    </cfRule>
    <cfRule type="containsText" dxfId="1821" priority="271" operator="containsText" text="Dinheiro">
      <formula>NOT(ISERROR(SEARCH("Dinheiro",D392)))</formula>
    </cfRule>
    <cfRule type="cellIs" dxfId="1820" priority="272" operator="greaterThan">
      <formula>0</formula>
    </cfRule>
  </conditionalFormatting>
  <conditionalFormatting sqref="D392:D393">
    <cfRule type="containsText" dxfId="1819" priority="269" operator="containsText" text="Pix">
      <formula>NOT(ISERROR(SEARCH("Pix",D392)))</formula>
    </cfRule>
  </conditionalFormatting>
  <conditionalFormatting sqref="D392:D393">
    <cfRule type="containsText" dxfId="1818" priority="267" operator="containsText" text="transferencia">
      <formula>NOT(ISERROR(SEARCH("transferencia",D392)))</formula>
    </cfRule>
    <cfRule type="containsText" dxfId="1817" priority="268" operator="containsText" text="trasnferência">
      <formula>NOT(ISERROR(SEARCH("trasnferência",D392)))</formula>
    </cfRule>
  </conditionalFormatting>
  <conditionalFormatting sqref="B148:XFD149 C1:XFD1 A150:XFD173 J174:XFD177 A174:H177 A2:XFD147 I177 A178:XFD1048576">
    <cfRule type="containsText" dxfId="1816" priority="266" operator="containsText" text="ASAAS">
      <formula>NOT(ISERROR(SEARCH("ASAAS",A1)))</formula>
    </cfRule>
  </conditionalFormatting>
  <conditionalFormatting sqref="E19:E20">
    <cfRule type="containsText" dxfId="1815" priority="251" operator="containsText" text="Cheque">
      <formula>NOT(ISERROR(SEARCH("Cheque",E19)))</formula>
    </cfRule>
    <cfRule type="containsText" dxfId="1814" priority="252" operator="containsText" text="Dinheiro">
      <formula>NOT(ISERROR(SEARCH("Dinheiro",E19)))</formula>
    </cfRule>
    <cfRule type="cellIs" dxfId="1813" priority="253" operator="greaterThan">
      <formula>0</formula>
    </cfRule>
  </conditionalFormatting>
  <conditionalFormatting sqref="E19:E20">
    <cfRule type="containsText" dxfId="1812" priority="250" operator="containsText" text="Pix">
      <formula>NOT(ISERROR(SEARCH("Pix",E19)))</formula>
    </cfRule>
  </conditionalFormatting>
  <conditionalFormatting sqref="E19:E20">
    <cfRule type="containsText" dxfId="1811" priority="248" operator="containsText" text="transferencia">
      <formula>NOT(ISERROR(SEARCH("transferencia",E19)))</formula>
    </cfRule>
    <cfRule type="containsText" dxfId="1810" priority="249" operator="containsText" text="trasnferência">
      <formula>NOT(ISERROR(SEARCH("trasnferência",E19)))</formula>
    </cfRule>
  </conditionalFormatting>
  <conditionalFormatting sqref="F19:F20">
    <cfRule type="containsText" dxfId="1809" priority="245" operator="containsText" text="Cheque">
      <formula>NOT(ISERROR(SEARCH("Cheque",F19)))</formula>
    </cfRule>
    <cfRule type="containsText" dxfId="1808" priority="246" operator="containsText" text="Dinheiro">
      <formula>NOT(ISERROR(SEARCH("Dinheiro",F19)))</formula>
    </cfRule>
    <cfRule type="cellIs" dxfId="1807" priority="247" operator="greaterThan">
      <formula>0</formula>
    </cfRule>
  </conditionalFormatting>
  <conditionalFormatting sqref="F19:F20">
    <cfRule type="containsText" dxfId="1806" priority="244" operator="containsText" text="Pix">
      <formula>NOT(ISERROR(SEARCH("Pix",F19)))</formula>
    </cfRule>
  </conditionalFormatting>
  <conditionalFormatting sqref="F19:F20">
    <cfRule type="containsText" dxfId="1805" priority="242" operator="containsText" text="transferencia">
      <formula>NOT(ISERROR(SEARCH("transferencia",F19)))</formula>
    </cfRule>
    <cfRule type="containsText" dxfId="1804" priority="243" operator="containsText" text="trasnferência">
      <formula>NOT(ISERROR(SEARCH("trasnferência",F19)))</formula>
    </cfRule>
  </conditionalFormatting>
  <conditionalFormatting sqref="F621:F622">
    <cfRule type="containsText" dxfId="1803" priority="239" operator="containsText" text="Cheque">
      <formula>NOT(ISERROR(SEARCH("Cheque",F621)))</formula>
    </cfRule>
    <cfRule type="containsText" dxfId="1802" priority="240" operator="containsText" text="Dinheiro">
      <formula>NOT(ISERROR(SEARCH("Dinheiro",F621)))</formula>
    </cfRule>
    <cfRule type="cellIs" dxfId="1801" priority="241" operator="greaterThan">
      <formula>0</formula>
    </cfRule>
  </conditionalFormatting>
  <conditionalFormatting sqref="F621:F622">
    <cfRule type="containsText" dxfId="1800" priority="238" operator="containsText" text="Pix">
      <formula>NOT(ISERROR(SEARCH("Pix",F621)))</formula>
    </cfRule>
  </conditionalFormatting>
  <conditionalFormatting sqref="F621:F622">
    <cfRule type="containsText" dxfId="1799" priority="236" operator="containsText" text="transferencia">
      <formula>NOT(ISERROR(SEARCH("transferencia",F621)))</formula>
    </cfRule>
    <cfRule type="containsText" dxfId="1798" priority="237" operator="containsText" text="trasnferência">
      <formula>NOT(ISERROR(SEARCH("trasnferência",F621)))</formula>
    </cfRule>
  </conditionalFormatting>
  <conditionalFormatting sqref="F593">
    <cfRule type="containsText" dxfId="1797" priority="227" operator="containsText" text="Cheque">
      <formula>NOT(ISERROR(SEARCH("Cheque",F593)))</formula>
    </cfRule>
    <cfRule type="containsText" dxfId="1796" priority="228" operator="containsText" text="Dinheiro">
      <formula>NOT(ISERROR(SEARCH("Dinheiro",F593)))</formula>
    </cfRule>
    <cfRule type="cellIs" dxfId="1795" priority="229" operator="greaterThan">
      <formula>0</formula>
    </cfRule>
  </conditionalFormatting>
  <conditionalFormatting sqref="F593">
    <cfRule type="containsText" dxfId="1794" priority="226" operator="containsText" text="Pix">
      <formula>NOT(ISERROR(SEARCH("Pix",F593)))</formula>
    </cfRule>
  </conditionalFormatting>
  <conditionalFormatting sqref="F392:F393">
    <cfRule type="containsText" dxfId="1793" priority="223" operator="containsText" text="Cheque">
      <formula>NOT(ISERROR(SEARCH("Cheque",F392)))</formula>
    </cfRule>
    <cfRule type="containsText" dxfId="1792" priority="224" operator="containsText" text="Dinheiro">
      <formula>NOT(ISERROR(SEARCH("Dinheiro",F392)))</formula>
    </cfRule>
    <cfRule type="cellIs" dxfId="1791" priority="225" operator="greaterThan">
      <formula>0</formula>
    </cfRule>
  </conditionalFormatting>
  <conditionalFormatting sqref="F392:F393">
    <cfRule type="containsText" dxfId="1790" priority="222" operator="containsText" text="Pix">
      <formula>NOT(ISERROR(SEARCH("Pix",F392)))</formula>
    </cfRule>
  </conditionalFormatting>
  <conditionalFormatting sqref="F392:F393">
    <cfRule type="containsText" dxfId="1789" priority="220" operator="containsText" text="transferencia">
      <formula>NOT(ISERROR(SEARCH("transferencia",F392)))</formula>
    </cfRule>
    <cfRule type="containsText" dxfId="1788" priority="221" operator="containsText" text="trasnferência">
      <formula>NOT(ISERROR(SEARCH("trasnferência",F392)))</formula>
    </cfRule>
  </conditionalFormatting>
  <conditionalFormatting sqref="G392:G393">
    <cfRule type="containsText" dxfId="1787" priority="217" operator="containsText" text="Cheque">
      <formula>NOT(ISERROR(SEARCH("Cheque",G392)))</formula>
    </cfRule>
    <cfRule type="containsText" dxfId="1786" priority="218" operator="containsText" text="Dinheiro">
      <formula>NOT(ISERROR(SEARCH("Dinheiro",G392)))</formula>
    </cfRule>
    <cfRule type="cellIs" dxfId="1785" priority="219" operator="greaterThan">
      <formula>0</formula>
    </cfRule>
  </conditionalFormatting>
  <conditionalFormatting sqref="G392:G393">
    <cfRule type="containsText" dxfId="1784" priority="216" operator="containsText" text="Pix">
      <formula>NOT(ISERROR(SEARCH("Pix",G392)))</formula>
    </cfRule>
  </conditionalFormatting>
  <conditionalFormatting sqref="G392:G393">
    <cfRule type="containsText" dxfId="1783" priority="214" operator="containsText" text="transferencia">
      <formula>NOT(ISERROR(SEARCH("transferencia",G392)))</formula>
    </cfRule>
    <cfRule type="containsText" dxfId="1782" priority="215" operator="containsText" text="trasnferência">
      <formula>NOT(ISERROR(SEARCH("trasnferência",G392)))</formula>
    </cfRule>
  </conditionalFormatting>
  <conditionalFormatting sqref="D485:D486">
    <cfRule type="containsText" dxfId="1781" priority="211" operator="containsText" text="Cheque">
      <formula>NOT(ISERROR(SEARCH("Cheque",D485)))</formula>
    </cfRule>
    <cfRule type="containsText" dxfId="1780" priority="212" operator="containsText" text="Dinheiro">
      <formula>NOT(ISERROR(SEARCH("Dinheiro",D485)))</formula>
    </cfRule>
    <cfRule type="cellIs" dxfId="1779" priority="213" operator="greaterThan">
      <formula>0</formula>
    </cfRule>
  </conditionalFormatting>
  <conditionalFormatting sqref="D485:D486">
    <cfRule type="containsText" dxfId="1778" priority="210" operator="containsText" text="Pix">
      <formula>NOT(ISERROR(SEARCH("Pix",D485)))</formula>
    </cfRule>
  </conditionalFormatting>
  <conditionalFormatting sqref="D485:D486">
    <cfRule type="containsText" dxfId="1777" priority="208" operator="containsText" text="transferencia">
      <formula>NOT(ISERROR(SEARCH("transferencia",D485)))</formula>
    </cfRule>
    <cfRule type="containsText" dxfId="1776" priority="209" operator="containsText" text="trasnferência">
      <formula>NOT(ISERROR(SEARCH("trasnferência",D485)))</formula>
    </cfRule>
  </conditionalFormatting>
  <conditionalFormatting sqref="C681:M684 O681:O684">
    <cfRule type="containsText" dxfId="1775" priority="205" operator="containsText" text="Cheque">
      <formula>NOT(ISERROR(SEARCH("Cheque",C681)))</formula>
    </cfRule>
    <cfRule type="containsText" dxfId="1774" priority="206" operator="containsText" text="Dinheiro">
      <formula>NOT(ISERROR(SEARCH("Dinheiro",C681)))</formula>
    </cfRule>
    <cfRule type="cellIs" dxfId="1773" priority="207" operator="greaterThan">
      <formula>0</formula>
    </cfRule>
  </conditionalFormatting>
  <conditionalFormatting sqref="A681:M684 O681:O684">
    <cfRule type="containsText" dxfId="1772" priority="204" operator="containsText" text="Pix">
      <formula>NOT(ISERROR(SEARCH("Pix",A681)))</formula>
    </cfRule>
  </conditionalFormatting>
  <conditionalFormatting sqref="N681:N684">
    <cfRule type="containsText" dxfId="1771" priority="201" operator="containsText" text="Cheque">
      <formula>NOT(ISERROR(SEARCH("Cheque",N681)))</formula>
    </cfRule>
    <cfRule type="containsText" dxfId="1770" priority="202" operator="containsText" text="Dinheiro">
      <formula>NOT(ISERROR(SEARCH("Dinheiro",N681)))</formula>
    </cfRule>
    <cfRule type="cellIs" dxfId="1769" priority="203" operator="greaterThan">
      <formula>0</formula>
    </cfRule>
  </conditionalFormatting>
  <conditionalFormatting sqref="N681:N684">
    <cfRule type="containsText" dxfId="1768" priority="200" operator="containsText" text="Pix">
      <formula>NOT(ISERROR(SEARCH("Pix",N681)))</formula>
    </cfRule>
  </conditionalFormatting>
  <conditionalFormatting sqref="N465:N466">
    <cfRule type="containsText" dxfId="1767" priority="197" operator="containsText" text="Cheque">
      <formula>NOT(ISERROR(SEARCH("Cheque",N465)))</formula>
    </cfRule>
    <cfRule type="containsText" dxfId="1766" priority="198" operator="containsText" text="Dinheiro">
      <formula>NOT(ISERROR(SEARCH("Dinheiro",N465)))</formula>
    </cfRule>
    <cfRule type="cellIs" dxfId="1765" priority="199" operator="greaterThan">
      <formula>0</formula>
    </cfRule>
  </conditionalFormatting>
  <conditionalFormatting sqref="N465:N466">
    <cfRule type="containsText" dxfId="1764" priority="196" operator="containsText" text="Pix">
      <formula>NOT(ISERROR(SEARCH("Pix",N465)))</formula>
    </cfRule>
  </conditionalFormatting>
  <conditionalFormatting sqref="N465:N466">
    <cfRule type="containsText" dxfId="1763" priority="194" operator="containsText" text="transferencia">
      <formula>NOT(ISERROR(SEARCH("transferencia",N465)))</formula>
    </cfRule>
    <cfRule type="containsText" dxfId="1762" priority="195" operator="containsText" text="trasnferência">
      <formula>NOT(ISERROR(SEARCH("trasnferência",N465)))</formula>
    </cfRule>
  </conditionalFormatting>
  <conditionalFormatting sqref="D392:D393">
    <cfRule type="containsText" dxfId="1761" priority="191" operator="containsText" text="Cheque">
      <formula>NOT(ISERROR(SEARCH("Cheque",D392)))</formula>
    </cfRule>
    <cfRule type="containsText" dxfId="1760" priority="192" operator="containsText" text="Dinheiro">
      <formula>NOT(ISERROR(SEARCH("Dinheiro",D392)))</formula>
    </cfRule>
    <cfRule type="cellIs" dxfId="1759" priority="193" operator="greaterThan">
      <formula>0</formula>
    </cfRule>
  </conditionalFormatting>
  <conditionalFormatting sqref="D392:D393">
    <cfRule type="containsText" dxfId="1758" priority="190" operator="containsText" text="Pix">
      <formula>NOT(ISERROR(SEARCH("Pix",D392)))</formula>
    </cfRule>
  </conditionalFormatting>
  <conditionalFormatting sqref="D392:D393">
    <cfRule type="containsText" dxfId="1757" priority="188" operator="containsText" text="transferencia">
      <formula>NOT(ISERROR(SEARCH("transferencia",D392)))</formula>
    </cfRule>
    <cfRule type="containsText" dxfId="1756" priority="189" operator="containsText" text="trasnferência">
      <formula>NOT(ISERROR(SEARCH("trasnferência",D392)))</formula>
    </cfRule>
  </conditionalFormatting>
  <conditionalFormatting sqref="N372:N373">
    <cfRule type="containsText" dxfId="1755" priority="185" operator="containsText" text="Cheque">
      <formula>NOT(ISERROR(SEARCH("Cheque",N372)))</formula>
    </cfRule>
    <cfRule type="containsText" dxfId="1754" priority="186" operator="containsText" text="Dinheiro">
      <formula>NOT(ISERROR(SEARCH("Dinheiro",N372)))</formula>
    </cfRule>
    <cfRule type="cellIs" dxfId="1753" priority="187" operator="greaterThan">
      <formula>0</formula>
    </cfRule>
  </conditionalFormatting>
  <conditionalFormatting sqref="N372:N373">
    <cfRule type="containsText" dxfId="1752" priority="184" operator="containsText" text="Pix">
      <formula>NOT(ISERROR(SEARCH("Pix",N372)))</formula>
    </cfRule>
  </conditionalFormatting>
  <conditionalFormatting sqref="N372:N373">
    <cfRule type="containsText" dxfId="1751" priority="182" operator="containsText" text="transferencia">
      <formula>NOT(ISERROR(SEARCH("transferencia",N372)))</formula>
    </cfRule>
    <cfRule type="containsText" dxfId="1750" priority="183" operator="containsText" text="trasnferência">
      <formula>NOT(ISERROR(SEARCH("trasnferência",N372)))</formula>
    </cfRule>
  </conditionalFormatting>
  <conditionalFormatting sqref="N368:N371">
    <cfRule type="containsText" dxfId="1749" priority="179" operator="containsText" text="Cheque">
      <formula>NOT(ISERROR(SEARCH("Cheque",N368)))</formula>
    </cfRule>
    <cfRule type="containsText" dxfId="1748" priority="180" operator="containsText" text="Dinheiro">
      <formula>NOT(ISERROR(SEARCH("Dinheiro",N368)))</formula>
    </cfRule>
    <cfRule type="cellIs" dxfId="1747" priority="181" operator="greaterThan">
      <formula>0</formula>
    </cfRule>
  </conditionalFormatting>
  <conditionalFormatting sqref="N368:N371">
    <cfRule type="containsText" dxfId="1746" priority="178" operator="containsText" text="Pix">
      <formula>NOT(ISERROR(SEARCH("Pix",N368)))</formula>
    </cfRule>
  </conditionalFormatting>
  <conditionalFormatting sqref="N368:N371">
    <cfRule type="containsText" dxfId="1745" priority="176" operator="containsText" text="transferencia">
      <formula>NOT(ISERROR(SEARCH("transferencia",N368)))</formula>
    </cfRule>
    <cfRule type="containsText" dxfId="1744" priority="177" operator="containsText" text="trasnferência">
      <formula>NOT(ISERROR(SEARCH("trasnferência",N368)))</formula>
    </cfRule>
  </conditionalFormatting>
  <conditionalFormatting sqref="N368:N369">
    <cfRule type="containsText" dxfId="1743" priority="173" operator="containsText" text="Cheque">
      <formula>NOT(ISERROR(SEARCH("Cheque",N368)))</formula>
    </cfRule>
    <cfRule type="containsText" dxfId="1742" priority="174" operator="containsText" text="Dinheiro">
      <formula>NOT(ISERROR(SEARCH("Dinheiro",N368)))</formula>
    </cfRule>
    <cfRule type="cellIs" dxfId="1741" priority="175" operator="greaterThan">
      <formula>0</formula>
    </cfRule>
  </conditionalFormatting>
  <conditionalFormatting sqref="N368:N369">
    <cfRule type="containsText" dxfId="1740" priority="172" operator="containsText" text="Pix">
      <formula>NOT(ISERROR(SEARCH("Pix",N368)))</formula>
    </cfRule>
  </conditionalFormatting>
  <conditionalFormatting sqref="N368:N369">
    <cfRule type="containsText" dxfId="1739" priority="170" operator="containsText" text="transferencia">
      <formula>NOT(ISERROR(SEARCH("transferencia",N368)))</formula>
    </cfRule>
    <cfRule type="containsText" dxfId="1738" priority="171" operator="containsText" text="trasnferência">
      <formula>NOT(ISERROR(SEARCH("trasnferência",N368)))</formula>
    </cfRule>
  </conditionalFormatting>
  <conditionalFormatting sqref="E360:M361 O360:O367 C362:M367">
    <cfRule type="containsText" dxfId="1737" priority="167" operator="containsText" text="Cheque">
      <formula>NOT(ISERROR(SEARCH("Cheque",C360)))</formula>
    </cfRule>
    <cfRule type="containsText" dxfId="1736" priority="168" operator="containsText" text="Dinheiro">
      <formula>NOT(ISERROR(SEARCH("Dinheiro",C360)))</formula>
    </cfRule>
    <cfRule type="cellIs" dxfId="1735" priority="169" operator="greaterThan">
      <formula>0</formula>
    </cfRule>
  </conditionalFormatting>
  <conditionalFormatting sqref="A360:B361 E360:M361 O360:O367 A362:M367">
    <cfRule type="containsText" dxfId="1734" priority="166" operator="containsText" text="Pix">
      <formula>NOT(ISERROR(SEARCH("Pix",A360)))</formula>
    </cfRule>
  </conditionalFormatting>
  <conditionalFormatting sqref="A360:B361 E360:M361 O360:P367 A362:M367">
    <cfRule type="containsText" dxfId="1733" priority="164" operator="containsText" text="transferencia">
      <formula>NOT(ISERROR(SEARCH("transferencia",A360)))</formula>
    </cfRule>
    <cfRule type="containsText" dxfId="1732" priority="165" operator="containsText" text="trasnferência">
      <formula>NOT(ISERROR(SEARCH("trasnferência",A360)))</formula>
    </cfRule>
  </conditionalFormatting>
  <conditionalFormatting sqref="N360:N367">
    <cfRule type="containsText" dxfId="1731" priority="161" operator="containsText" text="Cheque">
      <formula>NOT(ISERROR(SEARCH("Cheque",N360)))</formula>
    </cfRule>
    <cfRule type="containsText" dxfId="1730" priority="162" operator="containsText" text="Dinheiro">
      <formula>NOT(ISERROR(SEARCH("Dinheiro",N360)))</formula>
    </cfRule>
    <cfRule type="cellIs" dxfId="1729" priority="163" operator="greaterThan">
      <formula>0</formula>
    </cfRule>
  </conditionalFormatting>
  <conditionalFormatting sqref="N360:N367">
    <cfRule type="containsText" dxfId="1728" priority="160" operator="containsText" text="Pix">
      <formula>NOT(ISERROR(SEARCH("Pix",N360)))</formula>
    </cfRule>
  </conditionalFormatting>
  <conditionalFormatting sqref="N360:N367">
    <cfRule type="containsText" dxfId="1727" priority="158" operator="containsText" text="transferencia">
      <formula>NOT(ISERROR(SEARCH("transferencia",N360)))</formula>
    </cfRule>
    <cfRule type="containsText" dxfId="1726" priority="159" operator="containsText" text="trasnferência">
      <formula>NOT(ISERROR(SEARCH("trasnferência",N360)))</formula>
    </cfRule>
  </conditionalFormatting>
  <conditionalFormatting sqref="C360:C361">
    <cfRule type="containsText" dxfId="1725" priority="155" operator="containsText" text="Cheque">
      <formula>NOT(ISERROR(SEARCH("Cheque",C360)))</formula>
    </cfRule>
    <cfRule type="containsText" dxfId="1724" priority="156" operator="containsText" text="Dinheiro">
      <formula>NOT(ISERROR(SEARCH("Dinheiro",C360)))</formula>
    </cfRule>
    <cfRule type="cellIs" dxfId="1723" priority="157" operator="greaterThan">
      <formula>0</formula>
    </cfRule>
  </conditionalFormatting>
  <conditionalFormatting sqref="C360:C361">
    <cfRule type="containsText" dxfId="1722" priority="154" operator="containsText" text="Pix">
      <formula>NOT(ISERROR(SEARCH("Pix",C360)))</formula>
    </cfRule>
  </conditionalFormatting>
  <conditionalFormatting sqref="C360:C361">
    <cfRule type="containsText" dxfId="1721" priority="152" operator="containsText" text="transferencia">
      <formula>NOT(ISERROR(SEARCH("transferencia",C360)))</formula>
    </cfRule>
    <cfRule type="containsText" dxfId="1720" priority="153" operator="containsText" text="trasnferência">
      <formula>NOT(ISERROR(SEARCH("trasnferência",C360)))</formula>
    </cfRule>
  </conditionalFormatting>
  <conditionalFormatting sqref="D360:D361">
    <cfRule type="containsText" dxfId="1719" priority="149" operator="containsText" text="Cheque">
      <formula>NOT(ISERROR(SEARCH("Cheque",D360)))</formula>
    </cfRule>
    <cfRule type="containsText" dxfId="1718" priority="150" operator="containsText" text="Dinheiro">
      <formula>NOT(ISERROR(SEARCH("Dinheiro",D360)))</formula>
    </cfRule>
    <cfRule type="cellIs" dxfId="1717" priority="151" operator="greaterThan">
      <formula>0</formula>
    </cfRule>
  </conditionalFormatting>
  <conditionalFormatting sqref="D360:D361">
    <cfRule type="containsText" dxfId="1716" priority="148" operator="containsText" text="Pix">
      <formula>NOT(ISERROR(SEARCH("Pix",D360)))</formula>
    </cfRule>
  </conditionalFormatting>
  <conditionalFormatting sqref="D360:D361">
    <cfRule type="containsText" dxfId="1715" priority="146" operator="containsText" text="transferencia">
      <formula>NOT(ISERROR(SEARCH("transferencia",D360)))</formula>
    </cfRule>
    <cfRule type="containsText" dxfId="1714" priority="147" operator="containsText" text="trasnferência">
      <formula>NOT(ISERROR(SEARCH("trasnferência",D360)))</formula>
    </cfRule>
  </conditionalFormatting>
  <conditionalFormatting sqref="E360:E361">
    <cfRule type="containsText" dxfId="1713" priority="143" operator="containsText" text="Cheque">
      <formula>NOT(ISERROR(SEARCH("Cheque",E360)))</formula>
    </cfRule>
    <cfRule type="containsText" dxfId="1712" priority="144" operator="containsText" text="Dinheiro">
      <formula>NOT(ISERROR(SEARCH("Dinheiro",E360)))</formula>
    </cfRule>
    <cfRule type="cellIs" dxfId="1711" priority="145" operator="greaterThan">
      <formula>0</formula>
    </cfRule>
  </conditionalFormatting>
  <conditionalFormatting sqref="E360:E361">
    <cfRule type="containsText" dxfId="1710" priority="142" operator="containsText" text="Pix">
      <formula>NOT(ISERROR(SEARCH("Pix",E360)))</formula>
    </cfRule>
  </conditionalFormatting>
  <conditionalFormatting sqref="E360:E361">
    <cfRule type="containsText" dxfId="1709" priority="140" operator="containsText" text="transferencia">
      <formula>NOT(ISERROR(SEARCH("transferencia",E360)))</formula>
    </cfRule>
    <cfRule type="containsText" dxfId="1708" priority="141" operator="containsText" text="trasnferência">
      <formula>NOT(ISERROR(SEARCH("trasnferência",E360)))</formula>
    </cfRule>
  </conditionalFormatting>
  <conditionalFormatting sqref="F360:F361">
    <cfRule type="containsText" dxfId="1707" priority="137" operator="containsText" text="Cheque">
      <formula>NOT(ISERROR(SEARCH("Cheque",F360)))</formula>
    </cfRule>
    <cfRule type="containsText" dxfId="1706" priority="138" operator="containsText" text="Dinheiro">
      <formula>NOT(ISERROR(SEARCH("Dinheiro",F360)))</formula>
    </cfRule>
    <cfRule type="cellIs" dxfId="1705" priority="139" operator="greaterThan">
      <formula>0</formula>
    </cfRule>
  </conditionalFormatting>
  <conditionalFormatting sqref="F360:F361">
    <cfRule type="containsText" dxfId="1704" priority="136" operator="containsText" text="Pix">
      <formula>NOT(ISERROR(SEARCH("Pix",F360)))</formula>
    </cfRule>
  </conditionalFormatting>
  <conditionalFormatting sqref="F360:F361">
    <cfRule type="containsText" dxfId="1703" priority="134" operator="containsText" text="transferencia">
      <formula>NOT(ISERROR(SEARCH("transferencia",F360)))</formula>
    </cfRule>
    <cfRule type="containsText" dxfId="1702" priority="135" operator="containsText" text="trasnferência">
      <formula>NOT(ISERROR(SEARCH("trasnferência",F360)))</formula>
    </cfRule>
  </conditionalFormatting>
  <conditionalFormatting sqref="C364:C365">
    <cfRule type="containsText" dxfId="1701" priority="131" operator="containsText" text="Cheque">
      <formula>NOT(ISERROR(SEARCH("Cheque",C364)))</formula>
    </cfRule>
    <cfRule type="containsText" dxfId="1700" priority="132" operator="containsText" text="Dinheiro">
      <formula>NOT(ISERROR(SEARCH("Dinheiro",C364)))</formula>
    </cfRule>
    <cfRule type="cellIs" dxfId="1699" priority="133" operator="greaterThan">
      <formula>0</formula>
    </cfRule>
  </conditionalFormatting>
  <conditionalFormatting sqref="C364:C365">
    <cfRule type="containsText" dxfId="1698" priority="130" operator="containsText" text="Pix">
      <formula>NOT(ISERROR(SEARCH("Pix",C364)))</formula>
    </cfRule>
  </conditionalFormatting>
  <conditionalFormatting sqref="C364:C365">
    <cfRule type="containsText" dxfId="1697" priority="128" operator="containsText" text="transferencia">
      <formula>NOT(ISERROR(SEARCH("transferencia",C364)))</formula>
    </cfRule>
    <cfRule type="containsText" dxfId="1696" priority="129" operator="containsText" text="trasnferência">
      <formula>NOT(ISERROR(SEARCH("trasnferência",C364)))</formula>
    </cfRule>
  </conditionalFormatting>
  <conditionalFormatting sqref="D364:D365">
    <cfRule type="containsText" dxfId="1695" priority="125" operator="containsText" text="Cheque">
      <formula>NOT(ISERROR(SEARCH("Cheque",D364)))</formula>
    </cfRule>
    <cfRule type="containsText" dxfId="1694" priority="126" operator="containsText" text="Dinheiro">
      <formula>NOT(ISERROR(SEARCH("Dinheiro",D364)))</formula>
    </cfRule>
    <cfRule type="cellIs" dxfId="1693" priority="127" operator="greaterThan">
      <formula>0</formula>
    </cfRule>
  </conditionalFormatting>
  <conditionalFormatting sqref="D364:D365">
    <cfRule type="containsText" dxfId="1692" priority="124" operator="containsText" text="Pix">
      <formula>NOT(ISERROR(SEARCH("Pix",D364)))</formula>
    </cfRule>
  </conditionalFormatting>
  <conditionalFormatting sqref="D364:D365">
    <cfRule type="containsText" dxfId="1691" priority="122" operator="containsText" text="transferencia">
      <formula>NOT(ISERROR(SEARCH("transferencia",D364)))</formula>
    </cfRule>
    <cfRule type="containsText" dxfId="1690" priority="123" operator="containsText" text="trasnferência">
      <formula>NOT(ISERROR(SEARCH("trasnferência",D364)))</formula>
    </cfRule>
  </conditionalFormatting>
  <conditionalFormatting sqref="E364:E365">
    <cfRule type="containsText" dxfId="1689" priority="119" operator="containsText" text="Cheque">
      <formula>NOT(ISERROR(SEARCH("Cheque",E364)))</formula>
    </cfRule>
    <cfRule type="containsText" dxfId="1688" priority="120" operator="containsText" text="Dinheiro">
      <formula>NOT(ISERROR(SEARCH("Dinheiro",E364)))</formula>
    </cfRule>
    <cfRule type="cellIs" dxfId="1687" priority="121" operator="greaterThan">
      <formula>0</formula>
    </cfRule>
  </conditionalFormatting>
  <conditionalFormatting sqref="E364:E365">
    <cfRule type="containsText" dxfId="1686" priority="118" operator="containsText" text="Pix">
      <formula>NOT(ISERROR(SEARCH("Pix",E364)))</formula>
    </cfRule>
  </conditionalFormatting>
  <conditionalFormatting sqref="E364:E365">
    <cfRule type="containsText" dxfId="1685" priority="116" operator="containsText" text="transferencia">
      <formula>NOT(ISERROR(SEARCH("transferencia",E364)))</formula>
    </cfRule>
    <cfRule type="containsText" dxfId="1684" priority="117" operator="containsText" text="trasnferência">
      <formula>NOT(ISERROR(SEARCH("trasnferência",E364)))</formula>
    </cfRule>
  </conditionalFormatting>
  <conditionalFormatting sqref="F364:F365">
    <cfRule type="containsText" dxfId="1683" priority="113" operator="containsText" text="Cheque">
      <formula>NOT(ISERROR(SEARCH("Cheque",F364)))</formula>
    </cfRule>
    <cfRule type="containsText" dxfId="1682" priority="114" operator="containsText" text="Dinheiro">
      <formula>NOT(ISERROR(SEARCH("Dinheiro",F364)))</formula>
    </cfRule>
    <cfRule type="cellIs" dxfId="1681" priority="115" operator="greaterThan">
      <formula>0</formula>
    </cfRule>
  </conditionalFormatting>
  <conditionalFormatting sqref="F364:F365">
    <cfRule type="containsText" dxfId="1680" priority="112" operator="containsText" text="Pix">
      <formula>NOT(ISERROR(SEARCH("Pix",F364)))</formula>
    </cfRule>
  </conditionalFormatting>
  <conditionalFormatting sqref="F364:F365">
    <cfRule type="containsText" dxfId="1679" priority="110" operator="containsText" text="transferencia">
      <formula>NOT(ISERROR(SEARCH("transferencia",F364)))</formula>
    </cfRule>
    <cfRule type="containsText" dxfId="1678" priority="111" operator="containsText" text="trasnferência">
      <formula>NOT(ISERROR(SEARCH("trasnferência",F364)))</formula>
    </cfRule>
  </conditionalFormatting>
  <conditionalFormatting sqref="O376:O383 C376:M383">
    <cfRule type="containsText" dxfId="1677" priority="107" operator="containsText" text="Cheque">
      <formula>NOT(ISERROR(SEARCH("Cheque",C376)))</formula>
    </cfRule>
    <cfRule type="containsText" dxfId="1676" priority="108" operator="containsText" text="Dinheiro">
      <formula>NOT(ISERROR(SEARCH("Dinheiro",C376)))</formula>
    </cfRule>
    <cfRule type="cellIs" dxfId="1675" priority="109" operator="greaterThan">
      <formula>0</formula>
    </cfRule>
  </conditionalFormatting>
  <conditionalFormatting sqref="O376:O383 A376:M383">
    <cfRule type="containsText" dxfId="1674" priority="106" operator="containsText" text="Pix">
      <formula>NOT(ISERROR(SEARCH("Pix",A376)))</formula>
    </cfRule>
  </conditionalFormatting>
  <conditionalFormatting sqref="O376:P383 A376:M383">
    <cfRule type="containsText" dxfId="1673" priority="104" operator="containsText" text="transferencia">
      <formula>NOT(ISERROR(SEARCH("transferencia",A376)))</formula>
    </cfRule>
    <cfRule type="containsText" dxfId="1672" priority="105" operator="containsText" text="trasnferência">
      <formula>NOT(ISERROR(SEARCH("trasnferência",A376)))</formula>
    </cfRule>
  </conditionalFormatting>
  <conditionalFormatting sqref="N376:N383">
    <cfRule type="containsText" dxfId="1671" priority="101" operator="containsText" text="Cheque">
      <formula>NOT(ISERROR(SEARCH("Cheque",N376)))</formula>
    </cfRule>
    <cfRule type="containsText" dxfId="1670" priority="102" operator="containsText" text="Dinheiro">
      <formula>NOT(ISERROR(SEARCH("Dinheiro",N376)))</formula>
    </cfRule>
    <cfRule type="cellIs" dxfId="1669" priority="103" operator="greaterThan">
      <formula>0</formula>
    </cfRule>
  </conditionalFormatting>
  <conditionalFormatting sqref="N376:N383">
    <cfRule type="containsText" dxfId="1668" priority="100" operator="containsText" text="Pix">
      <formula>NOT(ISERROR(SEARCH("Pix",N376)))</formula>
    </cfRule>
  </conditionalFormatting>
  <conditionalFormatting sqref="N376:N383">
    <cfRule type="containsText" dxfId="1667" priority="98" operator="containsText" text="transferencia">
      <formula>NOT(ISERROR(SEARCH("transferencia",N376)))</formula>
    </cfRule>
    <cfRule type="containsText" dxfId="1666" priority="99" operator="containsText" text="trasnferência">
      <formula>NOT(ISERROR(SEARCH("trasnferência",N376)))</formula>
    </cfRule>
  </conditionalFormatting>
  <conditionalFormatting sqref="C376:C377">
    <cfRule type="containsText" dxfId="1665" priority="95" operator="containsText" text="Cheque">
      <formula>NOT(ISERROR(SEARCH("Cheque",C376)))</formula>
    </cfRule>
    <cfRule type="containsText" dxfId="1664" priority="96" operator="containsText" text="Dinheiro">
      <formula>NOT(ISERROR(SEARCH("Dinheiro",C376)))</formula>
    </cfRule>
    <cfRule type="cellIs" dxfId="1663" priority="97" operator="greaterThan">
      <formula>0</formula>
    </cfRule>
  </conditionalFormatting>
  <conditionalFormatting sqref="C376:C377">
    <cfRule type="containsText" dxfId="1662" priority="94" operator="containsText" text="Pix">
      <formula>NOT(ISERROR(SEARCH("Pix",C376)))</formula>
    </cfRule>
  </conditionalFormatting>
  <conditionalFormatting sqref="C376:C377">
    <cfRule type="containsText" dxfId="1661" priority="92" operator="containsText" text="transferencia">
      <formula>NOT(ISERROR(SEARCH("transferencia",C376)))</formula>
    </cfRule>
    <cfRule type="containsText" dxfId="1660" priority="93" operator="containsText" text="trasnferência">
      <formula>NOT(ISERROR(SEARCH("trasnferência",C376)))</formula>
    </cfRule>
  </conditionalFormatting>
  <conditionalFormatting sqref="D376:D377">
    <cfRule type="containsText" dxfId="1659" priority="89" operator="containsText" text="Cheque">
      <formula>NOT(ISERROR(SEARCH("Cheque",D376)))</formula>
    </cfRule>
    <cfRule type="containsText" dxfId="1658" priority="90" operator="containsText" text="Dinheiro">
      <formula>NOT(ISERROR(SEARCH("Dinheiro",D376)))</formula>
    </cfRule>
    <cfRule type="cellIs" dxfId="1657" priority="91" operator="greaterThan">
      <formula>0</formula>
    </cfRule>
  </conditionalFormatting>
  <conditionalFormatting sqref="D376:D377">
    <cfRule type="containsText" dxfId="1656" priority="88" operator="containsText" text="Pix">
      <formula>NOT(ISERROR(SEARCH("Pix",D376)))</formula>
    </cfRule>
  </conditionalFormatting>
  <conditionalFormatting sqref="D376:D377">
    <cfRule type="containsText" dxfId="1655" priority="86" operator="containsText" text="transferencia">
      <formula>NOT(ISERROR(SEARCH("transferencia",D376)))</formula>
    </cfRule>
    <cfRule type="containsText" dxfId="1654" priority="87" operator="containsText" text="trasnferência">
      <formula>NOT(ISERROR(SEARCH("trasnferência",D376)))</formula>
    </cfRule>
  </conditionalFormatting>
  <conditionalFormatting sqref="E376:E377">
    <cfRule type="containsText" dxfId="1653" priority="83" operator="containsText" text="Cheque">
      <formula>NOT(ISERROR(SEARCH("Cheque",E376)))</formula>
    </cfRule>
    <cfRule type="containsText" dxfId="1652" priority="84" operator="containsText" text="Dinheiro">
      <formula>NOT(ISERROR(SEARCH("Dinheiro",E376)))</formula>
    </cfRule>
    <cfRule type="cellIs" dxfId="1651" priority="85" operator="greaterThan">
      <formula>0</formula>
    </cfRule>
  </conditionalFormatting>
  <conditionalFormatting sqref="E376:E377">
    <cfRule type="containsText" dxfId="1650" priority="82" operator="containsText" text="Pix">
      <formula>NOT(ISERROR(SEARCH("Pix",E376)))</formula>
    </cfRule>
  </conditionalFormatting>
  <conditionalFormatting sqref="E376:E377">
    <cfRule type="containsText" dxfId="1649" priority="80" operator="containsText" text="transferencia">
      <formula>NOT(ISERROR(SEARCH("transferencia",E376)))</formula>
    </cfRule>
    <cfRule type="containsText" dxfId="1648" priority="81" operator="containsText" text="trasnferência">
      <formula>NOT(ISERROR(SEARCH("trasnferência",E376)))</formula>
    </cfRule>
  </conditionalFormatting>
  <conditionalFormatting sqref="F376:F377">
    <cfRule type="containsText" dxfId="1647" priority="77" operator="containsText" text="Cheque">
      <formula>NOT(ISERROR(SEARCH("Cheque",F376)))</formula>
    </cfRule>
    <cfRule type="containsText" dxfId="1646" priority="78" operator="containsText" text="Dinheiro">
      <formula>NOT(ISERROR(SEARCH("Dinheiro",F376)))</formula>
    </cfRule>
    <cfRule type="cellIs" dxfId="1645" priority="79" operator="greaterThan">
      <formula>0</formula>
    </cfRule>
  </conditionalFormatting>
  <conditionalFormatting sqref="F376:F377">
    <cfRule type="containsText" dxfId="1644" priority="76" operator="containsText" text="Pix">
      <formula>NOT(ISERROR(SEARCH("Pix",F376)))</formula>
    </cfRule>
  </conditionalFormatting>
  <conditionalFormatting sqref="F376:F377">
    <cfRule type="containsText" dxfId="1643" priority="74" operator="containsText" text="transferencia">
      <formula>NOT(ISERROR(SEARCH("transferencia",F376)))</formula>
    </cfRule>
    <cfRule type="containsText" dxfId="1642" priority="75" operator="containsText" text="trasnferência">
      <formula>NOT(ISERROR(SEARCH("trasnferência",F376)))</formula>
    </cfRule>
  </conditionalFormatting>
  <conditionalFormatting sqref="C453:M456 O453:O456">
    <cfRule type="containsText" dxfId="1641" priority="71" operator="containsText" text="Cheque">
      <formula>NOT(ISERROR(SEARCH("Cheque",C453)))</formula>
    </cfRule>
    <cfRule type="containsText" dxfId="1640" priority="72" operator="containsText" text="Dinheiro">
      <formula>NOT(ISERROR(SEARCH("Dinheiro",C453)))</formula>
    </cfRule>
    <cfRule type="cellIs" dxfId="1639" priority="73" operator="greaterThan">
      <formula>0</formula>
    </cfRule>
  </conditionalFormatting>
  <conditionalFormatting sqref="A453:M456 O453:O456">
    <cfRule type="containsText" dxfId="1638" priority="70" operator="containsText" text="Pix">
      <formula>NOT(ISERROR(SEARCH("Pix",A453)))</formula>
    </cfRule>
  </conditionalFormatting>
  <conditionalFormatting sqref="N453:N456">
    <cfRule type="containsText" dxfId="1637" priority="67" operator="containsText" text="Cheque">
      <formula>NOT(ISERROR(SEARCH("Cheque",N453)))</formula>
    </cfRule>
    <cfRule type="containsText" dxfId="1636" priority="68" operator="containsText" text="Dinheiro">
      <formula>NOT(ISERROR(SEARCH("Dinheiro",N453)))</formula>
    </cfRule>
    <cfRule type="cellIs" dxfId="1635" priority="69" operator="greaterThan">
      <formula>0</formula>
    </cfRule>
  </conditionalFormatting>
  <conditionalFormatting sqref="N453:N456">
    <cfRule type="containsText" dxfId="1634" priority="66" operator="containsText" text="Pix">
      <formula>NOT(ISERROR(SEARCH("Pix",N453)))</formula>
    </cfRule>
  </conditionalFormatting>
  <conditionalFormatting sqref="N493:N494">
    <cfRule type="containsText" dxfId="1633" priority="63" operator="containsText" text="Cheque">
      <formula>NOT(ISERROR(SEARCH("Cheque",N493)))</formula>
    </cfRule>
    <cfRule type="containsText" dxfId="1632" priority="64" operator="containsText" text="Dinheiro">
      <formula>NOT(ISERROR(SEARCH("Dinheiro",N493)))</formula>
    </cfRule>
    <cfRule type="cellIs" dxfId="1631" priority="65" operator="greaterThan">
      <formula>0</formula>
    </cfRule>
  </conditionalFormatting>
  <conditionalFormatting sqref="N493:N494">
    <cfRule type="containsText" dxfId="1630" priority="62" operator="containsText" text="Pix">
      <formula>NOT(ISERROR(SEARCH("Pix",N493)))</formula>
    </cfRule>
  </conditionalFormatting>
  <conditionalFormatting sqref="N493:N494">
    <cfRule type="containsText" dxfId="1629" priority="60" operator="containsText" text="transferencia">
      <formula>NOT(ISERROR(SEARCH("transferencia",N493)))</formula>
    </cfRule>
    <cfRule type="containsText" dxfId="1628" priority="61" operator="containsText" text="trasnferência">
      <formula>NOT(ISERROR(SEARCH("trasnferência",N493)))</formula>
    </cfRule>
  </conditionalFormatting>
  <conditionalFormatting sqref="N497:N498">
    <cfRule type="containsText" dxfId="1627" priority="57" operator="containsText" text="Cheque">
      <formula>NOT(ISERROR(SEARCH("Cheque",N497)))</formula>
    </cfRule>
    <cfRule type="containsText" dxfId="1626" priority="58" operator="containsText" text="Dinheiro">
      <formula>NOT(ISERROR(SEARCH("Dinheiro",N497)))</formula>
    </cfRule>
    <cfRule type="cellIs" dxfId="1625" priority="59" operator="greaterThan">
      <formula>0</formula>
    </cfRule>
  </conditionalFormatting>
  <conditionalFormatting sqref="N497:N498">
    <cfRule type="containsText" dxfId="1624" priority="56" operator="containsText" text="Pix">
      <formula>NOT(ISERROR(SEARCH("Pix",N497)))</formula>
    </cfRule>
  </conditionalFormatting>
  <conditionalFormatting sqref="N497:N498">
    <cfRule type="containsText" dxfId="1623" priority="54" operator="containsText" text="transferencia">
      <formula>NOT(ISERROR(SEARCH("transferencia",N497)))</formula>
    </cfRule>
    <cfRule type="containsText" dxfId="1622" priority="55" operator="containsText" text="trasnferência">
      <formula>NOT(ISERROR(SEARCH("trasnferência",N497)))</formula>
    </cfRule>
  </conditionalFormatting>
  <conditionalFormatting sqref="O341:P344 A341:M344">
    <cfRule type="containsText" dxfId="1621" priority="34" operator="containsText" text="transferencia">
      <formula>NOT(ISERROR(SEARCH("transferencia",A341)))</formula>
    </cfRule>
    <cfRule type="containsText" dxfId="1620" priority="35" operator="containsText" text="trasnferência">
      <formula>NOT(ISERROR(SEARCH("trasnferência",A341)))</formula>
    </cfRule>
  </conditionalFormatting>
  <conditionalFormatting sqref="O404:O411 C404:M411">
    <cfRule type="containsText" dxfId="1619" priority="30" operator="containsText" text="Cheque">
      <formula>NOT(ISERROR(SEARCH("Cheque",C404)))</formula>
    </cfRule>
    <cfRule type="containsText" dxfId="1618" priority="32" operator="containsText" text="Dinheiro">
      <formula>NOT(ISERROR(SEARCH("Dinheiro",C404)))</formula>
    </cfRule>
    <cfRule type="cellIs" dxfId="1617" priority="33" operator="greaterThan">
      <formula>0</formula>
    </cfRule>
  </conditionalFormatting>
  <conditionalFormatting sqref="C407:C411">
    <cfRule type="containsText" dxfId="1616" priority="31" operator="containsText" text="Cheque">
      <formula>NOT(ISERROR(SEARCH("Cheque",C407)))</formula>
    </cfRule>
  </conditionalFormatting>
  <conditionalFormatting sqref="O404:O411 A404:M411">
    <cfRule type="containsText" dxfId="1615" priority="29" operator="containsText" text="Pix">
      <formula>NOT(ISERROR(SEARCH("Pix",A404)))</formula>
    </cfRule>
  </conditionalFormatting>
  <conditionalFormatting sqref="A404:M411">
    <cfRule type="containsText" dxfId="1614" priority="27" operator="containsText" text="transferencia">
      <formula>NOT(ISERROR(SEARCH("transferencia",A404)))</formula>
    </cfRule>
    <cfRule type="containsText" dxfId="1613" priority="28" operator="containsText" text="trasnferência">
      <formula>NOT(ISERROR(SEARCH("trasnferência",A404)))</formula>
    </cfRule>
  </conditionalFormatting>
  <conditionalFormatting sqref="N404:N411">
    <cfRule type="containsText" dxfId="1612" priority="24" operator="containsText" text="Cheque">
      <formula>NOT(ISERROR(SEARCH("Cheque",N404)))</formula>
    </cfRule>
    <cfRule type="containsText" dxfId="1611" priority="25" operator="containsText" text="Dinheiro">
      <formula>NOT(ISERROR(SEARCH("Dinheiro",N404)))</formula>
    </cfRule>
    <cfRule type="cellIs" dxfId="1610" priority="26" operator="greaterThan">
      <formula>0</formula>
    </cfRule>
  </conditionalFormatting>
  <conditionalFormatting sqref="N404:N411">
    <cfRule type="containsText" dxfId="1609" priority="23" operator="containsText" text="Pix">
      <formula>NOT(ISERROR(SEARCH("Pix",N404)))</formula>
    </cfRule>
  </conditionalFormatting>
  <conditionalFormatting sqref="N404:N411">
    <cfRule type="containsText" dxfId="1608" priority="21" operator="containsText" text="transferencia">
      <formula>NOT(ISERROR(SEARCH("transferencia",N404)))</formula>
    </cfRule>
    <cfRule type="containsText" dxfId="1607" priority="22" operator="containsText" text="trasnferência">
      <formula>NOT(ISERROR(SEARCH("trasnferência",N404)))</formula>
    </cfRule>
  </conditionalFormatting>
  <conditionalFormatting sqref="C337:O338">
    <cfRule type="containsText" dxfId="1606" priority="18" operator="containsText" text="Cheque">
      <formula>NOT(ISERROR(SEARCH("Cheque",C337)))</formula>
    </cfRule>
    <cfRule type="containsText" dxfId="1605" priority="19" operator="containsText" text="Dinheiro">
      <formula>NOT(ISERROR(SEARCH("Dinheiro",C337)))</formula>
    </cfRule>
    <cfRule type="cellIs" dxfId="1604" priority="20" operator="greaterThan">
      <formula>0</formula>
    </cfRule>
  </conditionalFormatting>
  <conditionalFormatting sqref="C337:O338">
    <cfRule type="containsText" dxfId="1603" priority="17" operator="containsText" text="Pix">
      <formula>NOT(ISERROR(SEARCH("Pix",C337)))</formula>
    </cfRule>
  </conditionalFormatting>
  <conditionalFormatting sqref="C337:O338">
    <cfRule type="containsText" dxfId="1602" priority="15" operator="containsText" text="transferencia">
      <formula>NOT(ISERROR(SEARCH("transferencia",C337)))</formula>
    </cfRule>
    <cfRule type="containsText" dxfId="1601" priority="16" operator="containsText" text="trasnferência">
      <formula>NOT(ISERROR(SEARCH("trasnferência",C337)))</formula>
    </cfRule>
  </conditionalFormatting>
  <conditionalFormatting sqref="A1">
    <cfRule type="containsText" dxfId="1600" priority="10" operator="containsText" text="transferencia">
      <formula>NOT(ISERROR(SEARCH("transferencia",A1)))</formula>
    </cfRule>
    <cfRule type="containsText" dxfId="1599" priority="11" operator="containsText" text="trasnferência">
      <formula>NOT(ISERROR(SEARCH("trasnferência",A1)))</formula>
    </cfRule>
  </conditionalFormatting>
  <conditionalFormatting sqref="A1:B1">
    <cfRule type="containsText" dxfId="1598" priority="9" operator="containsText" text="ASAAS">
      <formula>NOT(ISERROR(SEARCH("ASAAS",A1)))</formula>
    </cfRule>
  </conditionalFormatting>
  <conditionalFormatting sqref="N577:N592">
    <cfRule type="containsText" dxfId="1597" priority="6" operator="containsText" text="Cheque">
      <formula>NOT(ISERROR(SEARCH("Cheque",N577)))</formula>
    </cfRule>
    <cfRule type="containsText" dxfId="1596" priority="7" operator="containsText" text="Dinheiro">
      <formula>NOT(ISERROR(SEARCH("Dinheiro",N577)))</formula>
    </cfRule>
    <cfRule type="cellIs" dxfId="1595" priority="8" operator="greaterThan">
      <formula>0</formula>
    </cfRule>
  </conditionalFormatting>
  <conditionalFormatting sqref="N577:N592">
    <cfRule type="containsText" dxfId="1594" priority="5" operator="containsText" text="Pix">
      <formula>NOT(ISERROR(SEARCH("Pix",N577)))</formula>
    </cfRule>
  </conditionalFormatting>
  <conditionalFormatting sqref="N577:N592">
    <cfRule type="containsText" dxfId="1593" priority="3" operator="containsText" text="transferencia">
      <formula>NOT(ISERROR(SEARCH("transferencia",N577)))</formula>
    </cfRule>
    <cfRule type="containsText" dxfId="1592" priority="4" operator="containsText" text="trasnferência">
      <formula>NOT(ISERROR(SEARCH("trasnferência",N577)))</formula>
    </cfRule>
  </conditionalFormatting>
  <conditionalFormatting sqref="N605:N608">
    <cfRule type="containsText" dxfId="1591" priority="1" operator="containsText" text="transferencia">
      <formula>NOT(ISERROR(SEARCH("transferencia",N605)))</formula>
    </cfRule>
    <cfRule type="containsText" dxfId="1590" priority="2" operator="containsText" text="trasnferência">
      <formula>NOT(ISERROR(SEARCH("trasnferência",N605)))</formula>
    </cfRule>
  </conditionalFormatting>
  <hyperlinks>
    <hyperlink ref="D1" location="'2023'!A1" display="'2023'!A1" xr:uid="{00000000-0004-0000-0400-000001000000}"/>
    <hyperlink ref="F1" location="'2024'!A1" display="'2024'!A1" xr:uid="{00000000-0004-0000-0400-000002000000}"/>
    <hyperlink ref="A1:B1" location="dashboard!A1" display="DASHBOARD" xr:uid="{9B81A521-8821-409B-BA35-007104AF426C}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93"/>
  <sheetViews>
    <sheetView tabSelected="1" workbookViewId="0">
      <pane ySplit="1" topLeftCell="A47" activePane="bottomLeft" state="frozen"/>
      <selection pane="bottomLeft" activeCell="A61" sqref="A61"/>
    </sheetView>
  </sheetViews>
  <sheetFormatPr defaultRowHeight="15"/>
  <cols>
    <col min="1" max="1" width="32.7109375" customWidth="1"/>
    <col min="2" max="2" width="23.7109375" style="104" customWidth="1"/>
    <col min="3" max="3" width="20.7109375" style="104" customWidth="1"/>
    <col min="4" max="4" width="17.7109375" style="104" customWidth="1"/>
  </cols>
  <sheetData>
    <row r="1" spans="1:6" s="139" customFormat="1" ht="22.5" customHeight="1">
      <c r="D1" s="592" t="s">
        <v>406</v>
      </c>
      <c r="E1" s="592"/>
      <c r="F1" s="592"/>
    </row>
    <row r="2" spans="1:6">
      <c r="A2" s="353" t="s">
        <v>776</v>
      </c>
      <c r="B2" s="353" t="s">
        <v>1092</v>
      </c>
      <c r="C2" s="353" t="s">
        <v>1380</v>
      </c>
      <c r="D2" s="353" t="s">
        <v>1998</v>
      </c>
    </row>
    <row r="3" spans="1:6">
      <c r="A3" s="101" t="s">
        <v>1381</v>
      </c>
      <c r="B3" s="47" t="s">
        <v>1382</v>
      </c>
      <c r="C3" s="104" t="s">
        <v>1383</v>
      </c>
      <c r="D3" s="47"/>
    </row>
    <row r="4" spans="1:6">
      <c r="A4" s="101" t="s">
        <v>1390</v>
      </c>
      <c r="B4" s="47" t="s">
        <v>1391</v>
      </c>
      <c r="C4" s="47" t="s">
        <v>1392</v>
      </c>
      <c r="D4" s="47"/>
    </row>
    <row r="5" spans="1:6">
      <c r="A5" s="101" t="s">
        <v>1393</v>
      </c>
      <c r="B5" s="47" t="s">
        <v>1394</v>
      </c>
      <c r="C5" s="47" t="s">
        <v>1395</v>
      </c>
      <c r="D5" s="47"/>
    </row>
    <row r="6" spans="1:6">
      <c r="A6" s="101" t="s">
        <v>1396</v>
      </c>
      <c r="B6" s="47"/>
      <c r="C6" s="47" t="s">
        <v>2076</v>
      </c>
      <c r="D6" s="47"/>
    </row>
    <row r="7" spans="1:6">
      <c r="A7" s="101" t="s">
        <v>1397</v>
      </c>
      <c r="B7" s="47" t="s">
        <v>1398</v>
      </c>
      <c r="C7" s="47" t="s">
        <v>1399</v>
      </c>
      <c r="D7" s="47"/>
    </row>
    <row r="8" spans="1:6">
      <c r="A8" s="101" t="s">
        <v>1400</v>
      </c>
      <c r="B8" s="47" t="s">
        <v>1401</v>
      </c>
      <c r="C8" s="47" t="s">
        <v>1402</v>
      </c>
      <c r="D8" s="47"/>
    </row>
    <row r="9" spans="1:6">
      <c r="A9" s="101" t="s">
        <v>1403</v>
      </c>
      <c r="B9" s="47" t="s">
        <v>1404</v>
      </c>
      <c r="C9" s="47" t="s">
        <v>1405</v>
      </c>
      <c r="D9" s="47"/>
    </row>
    <row r="10" spans="1:6">
      <c r="A10" s="101" t="s">
        <v>1406</v>
      </c>
      <c r="B10" s="373" t="s">
        <v>1407</v>
      </c>
      <c r="C10" s="47" t="s">
        <v>2076</v>
      </c>
      <c r="D10" s="47"/>
    </row>
    <row r="11" spans="1:6">
      <c r="A11" s="101" t="s">
        <v>1408</v>
      </c>
      <c r="B11" s="47" t="s">
        <v>1409</v>
      </c>
      <c r="C11" s="104" t="s">
        <v>1410</v>
      </c>
      <c r="D11" s="47"/>
    </row>
    <row r="12" spans="1:6">
      <c r="A12" s="101" t="s">
        <v>1411</v>
      </c>
      <c r="B12" s="47" t="s">
        <v>1412</v>
      </c>
      <c r="C12" s="104" t="s">
        <v>1413</v>
      </c>
      <c r="D12" s="47"/>
    </row>
    <row r="13" spans="1:6">
      <c r="A13" s="101" t="s">
        <v>1416</v>
      </c>
      <c r="B13" s="47" t="s">
        <v>1414</v>
      </c>
      <c r="C13" s="47" t="s">
        <v>1415</v>
      </c>
      <c r="D13" s="47"/>
    </row>
    <row r="14" spans="1:6">
      <c r="A14" s="101" t="s">
        <v>1417</v>
      </c>
      <c r="B14" s="47" t="s">
        <v>1418</v>
      </c>
      <c r="C14" s="47" t="s">
        <v>1419</v>
      </c>
      <c r="D14" s="47"/>
    </row>
    <row r="15" spans="1:6">
      <c r="A15" s="101" t="s">
        <v>1420</v>
      </c>
      <c r="B15" s="47" t="s">
        <v>1421</v>
      </c>
      <c r="C15" s="47" t="s">
        <v>1422</v>
      </c>
      <c r="D15" s="47"/>
    </row>
    <row r="16" spans="1:6">
      <c r="A16" s="101" t="s">
        <v>1423</v>
      </c>
      <c r="B16" s="373" t="s">
        <v>1424</v>
      </c>
      <c r="C16" s="47" t="s">
        <v>1425</v>
      </c>
      <c r="D16" s="47"/>
    </row>
    <row r="17" spans="1:4">
      <c r="A17" s="101" t="s">
        <v>1426</v>
      </c>
      <c r="B17" s="373">
        <v>80595162649</v>
      </c>
      <c r="C17" s="47" t="s">
        <v>2076</v>
      </c>
      <c r="D17" s="47"/>
    </row>
    <row r="18" spans="1:4">
      <c r="A18" s="101" t="s">
        <v>1427</v>
      </c>
      <c r="B18" s="47" t="s">
        <v>1428</v>
      </c>
      <c r="C18" s="104" t="s">
        <v>1429</v>
      </c>
      <c r="D18" s="47"/>
    </row>
    <row r="19" spans="1:4">
      <c r="A19" s="101" t="s">
        <v>1430</v>
      </c>
      <c r="B19" s="47" t="s">
        <v>1431</v>
      </c>
      <c r="C19" s="104" t="s">
        <v>1432</v>
      </c>
      <c r="D19" s="47"/>
    </row>
    <row r="20" spans="1:4">
      <c r="A20" s="101" t="s">
        <v>1438</v>
      </c>
      <c r="B20" s="373">
        <v>43623468649</v>
      </c>
      <c r="C20" s="47" t="s">
        <v>2076</v>
      </c>
      <c r="D20" s="47"/>
    </row>
    <row r="21" spans="1:4">
      <c r="A21" s="101" t="s">
        <v>1439</v>
      </c>
      <c r="B21" s="47" t="s">
        <v>1440</v>
      </c>
      <c r="C21" s="104" t="s">
        <v>1441</v>
      </c>
      <c r="D21" s="47"/>
    </row>
    <row r="22" spans="1:4">
      <c r="A22" s="101" t="s">
        <v>1442</v>
      </c>
      <c r="B22" s="47" t="s">
        <v>1443</v>
      </c>
      <c r="C22" s="47" t="s">
        <v>1444</v>
      </c>
      <c r="D22" s="47"/>
    </row>
    <row r="23" spans="1:4">
      <c r="A23" s="101" t="s">
        <v>1445</v>
      </c>
      <c r="B23" s="47" t="s">
        <v>1446</v>
      </c>
      <c r="C23" s="47" t="s">
        <v>1447</v>
      </c>
      <c r="D23" s="47"/>
    </row>
    <row r="24" spans="1:4">
      <c r="A24" s="101" t="s">
        <v>1393</v>
      </c>
      <c r="B24" s="47" t="s">
        <v>1449</v>
      </c>
      <c r="C24" s="47" t="s">
        <v>1448</v>
      </c>
      <c r="D24" s="47"/>
    </row>
    <row r="25" spans="1:4">
      <c r="A25" s="354" t="s">
        <v>1452</v>
      </c>
      <c r="B25" s="373">
        <v>21012601668</v>
      </c>
      <c r="C25" s="64" t="s">
        <v>1453</v>
      </c>
      <c r="D25" s="47"/>
    </row>
    <row r="26" spans="1:4">
      <c r="A26" s="372" t="s">
        <v>1999</v>
      </c>
      <c r="B26" s="373">
        <v>640082661</v>
      </c>
      <c r="C26" s="374" t="s">
        <v>2000</v>
      </c>
      <c r="D26" s="47"/>
    </row>
    <row r="27" spans="1:4">
      <c r="A27" s="354" t="s">
        <v>2074</v>
      </c>
      <c r="B27" s="373">
        <v>907119638</v>
      </c>
      <c r="C27" s="378" t="s">
        <v>2075</v>
      </c>
      <c r="D27" s="47"/>
    </row>
    <row r="28" spans="1:4">
      <c r="A28" s="354" t="s">
        <v>2077</v>
      </c>
      <c r="B28" s="379">
        <v>77316347600</v>
      </c>
      <c r="C28" s="380" t="s">
        <v>2078</v>
      </c>
      <c r="D28" s="47"/>
    </row>
    <row r="29" spans="1:4">
      <c r="A29" s="372" t="s">
        <v>2079</v>
      </c>
      <c r="B29" s="373">
        <v>385662653</v>
      </c>
      <c r="C29" s="381" t="s">
        <v>2080</v>
      </c>
      <c r="D29" s="47"/>
    </row>
    <row r="30" spans="1:4">
      <c r="A30" s="372" t="s">
        <v>2081</v>
      </c>
      <c r="B30" s="373">
        <v>11409053687</v>
      </c>
      <c r="C30" s="381" t="s">
        <v>2082</v>
      </c>
      <c r="D30" s="47"/>
    </row>
    <row r="31" spans="1:4">
      <c r="A31" s="354" t="s">
        <v>2083</v>
      </c>
      <c r="B31" s="379">
        <v>25949691687</v>
      </c>
      <c r="C31" s="47" t="s">
        <v>2084</v>
      </c>
      <c r="D31" s="47"/>
    </row>
    <row r="32" spans="1:4">
      <c r="A32" s="354" t="s">
        <v>2085</v>
      </c>
      <c r="B32" s="379">
        <v>92353630634</v>
      </c>
      <c r="C32" s="47" t="s">
        <v>2086</v>
      </c>
      <c r="D32" s="47"/>
    </row>
    <row r="33" spans="1:4">
      <c r="A33" s="354" t="s">
        <v>2087</v>
      </c>
      <c r="B33" s="379">
        <v>2620032601</v>
      </c>
      <c r="C33" s="47" t="s">
        <v>2088</v>
      </c>
      <c r="D33" s="47"/>
    </row>
    <row r="34" spans="1:4">
      <c r="A34" s="372" t="s">
        <v>2089</v>
      </c>
      <c r="B34" s="373">
        <v>1108239668</v>
      </c>
      <c r="C34" s="381" t="s">
        <v>2090</v>
      </c>
      <c r="D34" s="47"/>
    </row>
    <row r="35" spans="1:4">
      <c r="A35" s="354" t="s">
        <v>2091</v>
      </c>
      <c r="B35" s="379">
        <v>28520726615</v>
      </c>
      <c r="C35" s="380" t="s">
        <v>2092</v>
      </c>
      <c r="D35" s="47"/>
    </row>
    <row r="36" spans="1:4">
      <c r="A36" s="354" t="s">
        <v>2093</v>
      </c>
      <c r="B36" s="379">
        <v>5718372632</v>
      </c>
      <c r="C36" s="380" t="s">
        <v>2094</v>
      </c>
      <c r="D36" s="47"/>
    </row>
    <row r="37" spans="1:4">
      <c r="A37" s="372" t="s">
        <v>2095</v>
      </c>
      <c r="B37" s="373">
        <v>9757850608</v>
      </c>
      <c r="C37" s="381" t="s">
        <v>2096</v>
      </c>
      <c r="D37" s="47"/>
    </row>
    <row r="38" spans="1:4">
      <c r="A38" s="372" t="s">
        <v>2097</v>
      </c>
      <c r="B38" s="373">
        <v>28523300678</v>
      </c>
      <c r="C38" s="381" t="s">
        <v>2098</v>
      </c>
      <c r="D38" s="47"/>
    </row>
    <row r="39" spans="1:4">
      <c r="A39" s="372" t="s">
        <v>2099</v>
      </c>
      <c r="B39" s="373">
        <v>60484152653</v>
      </c>
      <c r="C39" s="381" t="s">
        <v>2100</v>
      </c>
      <c r="D39" s="47"/>
    </row>
    <row r="40" spans="1:4">
      <c r="A40" s="372" t="s">
        <v>2101</v>
      </c>
      <c r="B40" s="373">
        <v>61299316620</v>
      </c>
      <c r="C40" s="381" t="s">
        <v>2102</v>
      </c>
      <c r="D40" s="47"/>
    </row>
    <row r="41" spans="1:4">
      <c r="A41" s="372" t="s">
        <v>2103</v>
      </c>
      <c r="B41" s="373">
        <v>41026624649</v>
      </c>
      <c r="C41" s="381" t="s">
        <v>2104</v>
      </c>
      <c r="D41" s="47"/>
    </row>
    <row r="42" spans="1:4">
      <c r="A42" s="372" t="s">
        <v>1999</v>
      </c>
      <c r="B42" s="373">
        <v>640082661</v>
      </c>
      <c r="C42" s="104" t="s">
        <v>2000</v>
      </c>
      <c r="D42" s="47"/>
    </row>
    <row r="43" spans="1:4">
      <c r="A43" s="372" t="s">
        <v>2105</v>
      </c>
      <c r="B43" s="373">
        <v>922170606</v>
      </c>
      <c r="C43" s="381" t="s">
        <v>2106</v>
      </c>
      <c r="D43" s="47"/>
    </row>
    <row r="44" spans="1:4">
      <c r="A44" s="372" t="s">
        <v>2107</v>
      </c>
      <c r="B44" s="373">
        <v>9584480600</v>
      </c>
      <c r="C44" s="381" t="s">
        <v>2108</v>
      </c>
      <c r="D44" s="47"/>
    </row>
    <row r="45" spans="1:4">
      <c r="A45" s="372" t="s">
        <v>2109</v>
      </c>
      <c r="B45" s="373">
        <v>28083970620</v>
      </c>
      <c r="C45" s="381" t="s">
        <v>2110</v>
      </c>
      <c r="D45" s="47"/>
    </row>
    <row r="46" spans="1:4">
      <c r="A46" s="372" t="s">
        <v>2111</v>
      </c>
      <c r="B46" s="373">
        <v>90643038604</v>
      </c>
      <c r="C46" s="381" t="s">
        <v>2112</v>
      </c>
      <c r="D46" s="47"/>
    </row>
    <row r="47" spans="1:4">
      <c r="A47" s="372" t="s">
        <v>2113</v>
      </c>
      <c r="B47" s="373">
        <v>18141960644</v>
      </c>
      <c r="C47" s="381" t="s">
        <v>2114</v>
      </c>
      <c r="D47" s="47"/>
    </row>
    <row r="48" spans="1:4">
      <c r="A48" s="372" t="s">
        <v>2115</v>
      </c>
      <c r="B48" s="373">
        <v>64157261615</v>
      </c>
      <c r="C48" s="381" t="s">
        <v>2116</v>
      </c>
      <c r="D48" s="47"/>
    </row>
    <row r="49" spans="1:4">
      <c r="A49" s="372" t="s">
        <v>2117</v>
      </c>
      <c r="B49" s="373">
        <v>37802445787</v>
      </c>
      <c r="C49" s="381" t="s">
        <v>2118</v>
      </c>
      <c r="D49" s="47"/>
    </row>
    <row r="50" spans="1:4">
      <c r="A50" s="372" t="s">
        <v>2119</v>
      </c>
      <c r="B50" s="373">
        <v>9564394627</v>
      </c>
      <c r="C50" s="381" t="s">
        <v>2120</v>
      </c>
      <c r="D50" s="47"/>
    </row>
    <row r="51" spans="1:4">
      <c r="A51" s="372" t="s">
        <v>2121</v>
      </c>
      <c r="B51" s="373">
        <v>2978739622</v>
      </c>
      <c r="C51" s="381" t="s">
        <v>2122</v>
      </c>
      <c r="D51" s="47"/>
    </row>
    <row r="52" spans="1:4">
      <c r="A52" s="354" t="s">
        <v>2123</v>
      </c>
      <c r="B52" s="379">
        <v>4812915635</v>
      </c>
      <c r="C52" s="380" t="s">
        <v>2124</v>
      </c>
      <c r="D52" s="47"/>
    </row>
    <row r="53" spans="1:4">
      <c r="A53" s="372" t="s">
        <v>2125</v>
      </c>
      <c r="B53" s="373">
        <v>94690740682</v>
      </c>
      <c r="C53" s="374" t="s">
        <v>2126</v>
      </c>
      <c r="D53" s="47"/>
    </row>
    <row r="54" spans="1:4">
      <c r="A54" s="372" t="s">
        <v>2127</v>
      </c>
      <c r="B54" s="373">
        <v>61430900687</v>
      </c>
      <c r="C54" s="381" t="s">
        <v>2128</v>
      </c>
      <c r="D54" s="47"/>
    </row>
    <row r="55" spans="1:4">
      <c r="A55" s="372" t="s">
        <v>2129</v>
      </c>
      <c r="B55" s="373">
        <v>52996948653</v>
      </c>
      <c r="C55" s="381" t="s">
        <v>2130</v>
      </c>
      <c r="D55" s="47"/>
    </row>
    <row r="56" spans="1:4">
      <c r="A56" s="372" t="s">
        <v>2131</v>
      </c>
      <c r="B56" s="373">
        <v>67453740649</v>
      </c>
      <c r="C56" s="381" t="s">
        <v>2132</v>
      </c>
      <c r="D56" s="47"/>
    </row>
    <row r="57" spans="1:4">
      <c r="A57" s="372" t="s">
        <v>2133</v>
      </c>
      <c r="B57" s="373">
        <v>77314859604</v>
      </c>
      <c r="C57" s="381" t="s">
        <v>2134</v>
      </c>
      <c r="D57" s="47"/>
    </row>
    <row r="58" spans="1:4">
      <c r="A58" s="372" t="s">
        <v>2135</v>
      </c>
      <c r="B58" s="373">
        <v>16684788620</v>
      </c>
      <c r="C58" s="381" t="s">
        <v>2136</v>
      </c>
      <c r="D58" s="47"/>
    </row>
    <row r="59" spans="1:4">
      <c r="A59" s="354" t="s">
        <v>2137</v>
      </c>
      <c r="B59" s="379">
        <v>6835036699</v>
      </c>
      <c r="C59" s="380" t="s">
        <v>2138</v>
      </c>
      <c r="D59" s="47"/>
    </row>
    <row r="60" spans="1:4">
      <c r="A60" s="101" t="s">
        <v>2156</v>
      </c>
      <c r="B60" s="47" t="s">
        <v>2157</v>
      </c>
      <c r="C60" s="420" t="s">
        <v>2158</v>
      </c>
      <c r="D60" s="47"/>
    </row>
    <row r="61" spans="1:4">
      <c r="A61" s="101" t="s">
        <v>2261</v>
      </c>
      <c r="B61" s="47">
        <v>41877772615</v>
      </c>
      <c r="C61" s="47" t="s">
        <v>2262</v>
      </c>
      <c r="D61" s="47"/>
    </row>
    <row r="62" spans="1:4">
      <c r="A62" s="101"/>
      <c r="B62" s="47"/>
      <c r="C62" s="47"/>
      <c r="D62" s="47"/>
    </row>
    <row r="63" spans="1:4">
      <c r="A63" s="101"/>
      <c r="B63" s="47"/>
      <c r="C63" s="47"/>
      <c r="D63" s="47"/>
    </row>
    <row r="64" spans="1:4">
      <c r="A64" s="101"/>
      <c r="B64" s="47"/>
      <c r="C64" s="47"/>
      <c r="D64" s="47"/>
    </row>
    <row r="65" spans="1:4">
      <c r="A65" s="101"/>
      <c r="B65" s="47"/>
      <c r="C65" s="47"/>
      <c r="D65" s="47"/>
    </row>
    <row r="66" spans="1:4">
      <c r="A66" s="101"/>
      <c r="B66" s="47"/>
      <c r="C66" s="47"/>
      <c r="D66" s="47"/>
    </row>
    <row r="67" spans="1:4">
      <c r="A67" s="101"/>
      <c r="B67" s="47"/>
      <c r="C67" s="47"/>
      <c r="D67" s="47"/>
    </row>
    <row r="68" spans="1:4">
      <c r="A68" s="101"/>
      <c r="B68" s="47"/>
      <c r="C68" s="47"/>
      <c r="D68" s="47"/>
    </row>
    <row r="69" spans="1:4">
      <c r="A69" s="101"/>
      <c r="B69" s="47"/>
      <c r="C69" s="47"/>
      <c r="D69" s="47"/>
    </row>
    <row r="70" spans="1:4">
      <c r="A70" s="101"/>
      <c r="B70" s="47"/>
      <c r="C70" s="47"/>
      <c r="D70" s="47"/>
    </row>
    <row r="71" spans="1:4">
      <c r="A71" s="101"/>
      <c r="B71" s="47"/>
      <c r="C71" s="47"/>
      <c r="D71" s="47"/>
    </row>
    <row r="72" spans="1:4">
      <c r="A72" s="101"/>
      <c r="B72" s="47"/>
      <c r="C72" s="47"/>
      <c r="D72" s="47"/>
    </row>
    <row r="73" spans="1:4">
      <c r="A73" s="101"/>
      <c r="B73" s="47"/>
      <c r="C73" s="47"/>
      <c r="D73" s="47"/>
    </row>
    <row r="74" spans="1:4">
      <c r="A74" s="101"/>
      <c r="B74" s="47"/>
      <c r="C74" s="47"/>
      <c r="D74" s="47"/>
    </row>
    <row r="75" spans="1:4">
      <c r="A75" s="101"/>
      <c r="B75" s="47"/>
      <c r="C75" s="47"/>
      <c r="D75" s="47"/>
    </row>
    <row r="76" spans="1:4">
      <c r="A76" s="101"/>
      <c r="B76" s="47"/>
      <c r="C76" s="47"/>
      <c r="D76" s="47"/>
    </row>
    <row r="77" spans="1:4">
      <c r="A77" s="101"/>
      <c r="B77" s="47"/>
      <c r="C77" s="47"/>
      <c r="D77" s="47"/>
    </row>
    <row r="78" spans="1:4">
      <c r="A78" s="101"/>
      <c r="B78" s="47"/>
      <c r="C78" s="47"/>
      <c r="D78" s="47"/>
    </row>
    <row r="79" spans="1:4">
      <c r="A79" s="101"/>
      <c r="B79" s="47"/>
      <c r="C79" s="47"/>
      <c r="D79" s="47"/>
    </row>
    <row r="80" spans="1:4">
      <c r="A80" s="101"/>
      <c r="B80" s="47"/>
      <c r="C80" s="47"/>
      <c r="D80" s="47"/>
    </row>
    <row r="81" spans="1:4">
      <c r="A81" s="101"/>
      <c r="B81" s="47"/>
      <c r="C81" s="47"/>
      <c r="D81" s="47"/>
    </row>
    <row r="82" spans="1:4">
      <c r="A82" s="101"/>
      <c r="B82" s="47"/>
      <c r="C82" s="47"/>
      <c r="D82" s="47"/>
    </row>
    <row r="83" spans="1:4">
      <c r="A83" s="101"/>
      <c r="B83" s="47"/>
      <c r="C83" s="47"/>
      <c r="D83" s="47"/>
    </row>
    <row r="84" spans="1:4">
      <c r="A84" s="101"/>
      <c r="B84" s="47"/>
      <c r="C84" s="47"/>
      <c r="D84" s="47"/>
    </row>
    <row r="85" spans="1:4">
      <c r="A85" s="101"/>
      <c r="B85" s="47"/>
      <c r="C85" s="47"/>
      <c r="D85" s="47"/>
    </row>
    <row r="86" spans="1:4">
      <c r="A86" s="101"/>
      <c r="B86" s="47"/>
      <c r="C86" s="47"/>
      <c r="D86" s="47"/>
    </row>
    <row r="87" spans="1:4">
      <c r="A87" s="101"/>
      <c r="B87" s="47"/>
      <c r="C87" s="47"/>
      <c r="D87" s="47"/>
    </row>
    <row r="88" spans="1:4">
      <c r="A88" s="101"/>
      <c r="B88" s="47"/>
      <c r="C88" s="47"/>
      <c r="D88" s="47"/>
    </row>
    <row r="89" spans="1:4">
      <c r="A89" s="101"/>
      <c r="B89" s="47"/>
      <c r="C89" s="47"/>
      <c r="D89" s="47"/>
    </row>
    <row r="90" spans="1:4">
      <c r="A90" s="101"/>
      <c r="B90" s="47"/>
      <c r="C90" s="47"/>
      <c r="D90" s="47"/>
    </row>
    <row r="91" spans="1:4">
      <c r="A91" s="101"/>
      <c r="B91" s="47"/>
      <c r="C91" s="47"/>
      <c r="D91" s="47"/>
    </row>
    <row r="92" spans="1:4">
      <c r="A92" s="101"/>
      <c r="B92" s="47"/>
      <c r="C92" s="47"/>
      <c r="D92" s="47"/>
    </row>
    <row r="93" spans="1:4">
      <c r="A93" s="101"/>
      <c r="B93" s="47"/>
      <c r="C93" s="47"/>
      <c r="D93" s="47"/>
    </row>
  </sheetData>
  <mergeCells count="1">
    <mergeCell ref="D1:F1"/>
  </mergeCells>
  <hyperlinks>
    <hyperlink ref="D1" location="dashboard!A1" display="RETONAR AO DASHBOARD" xr:uid="{00000000-0004-0000-0500-000000000000}"/>
    <hyperlink ref="C60" r:id="rId1" xr:uid="{38E2C9E4-DD03-4820-B985-B4649324A905}"/>
  </hyperlinks>
  <pageMargins left="0.511811024" right="0.511811024" top="0.78740157499999996" bottom="0.78740157499999996" header="0.31496062000000002" footer="0.31496062000000002"/>
  <pageSetup orientation="portrait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P630"/>
  <sheetViews>
    <sheetView zoomScale="80" zoomScaleNormal="80" workbookViewId="0">
      <pane ySplit="2" topLeftCell="A3" activePane="bottomLeft" state="frozen"/>
      <selection activeCell="A2" sqref="A2"/>
      <selection pane="bottomLeft" activeCell="F1" sqref="F1"/>
    </sheetView>
  </sheetViews>
  <sheetFormatPr defaultColWidth="18.5703125" defaultRowHeight="15"/>
  <cols>
    <col min="2" max="2" width="22.7109375" customWidth="1"/>
  </cols>
  <sheetData>
    <row r="1" spans="1:16" s="142" customFormat="1" ht="22.5" customHeight="1" thickBot="1">
      <c r="A1" s="583" t="s">
        <v>1706</v>
      </c>
      <c r="B1" s="583"/>
      <c r="D1" s="347">
        <v>2023</v>
      </c>
      <c r="F1" s="367">
        <v>2025</v>
      </c>
    </row>
    <row r="2" spans="1:16" s="257" customFormat="1" ht="35.25" customHeight="1" thickTop="1" thickBot="1">
      <c r="A2" s="254" t="s">
        <v>1774</v>
      </c>
      <c r="B2" s="357">
        <f>SUM(P3:P630)</f>
        <v>751316</v>
      </c>
      <c r="C2" s="255">
        <v>45292</v>
      </c>
      <c r="D2" s="255">
        <v>45323</v>
      </c>
      <c r="E2" s="255">
        <v>45352</v>
      </c>
      <c r="F2" s="255">
        <v>45383</v>
      </c>
      <c r="G2" s="255">
        <v>45413</v>
      </c>
      <c r="H2" s="255">
        <v>45444</v>
      </c>
      <c r="I2" s="255">
        <v>45474</v>
      </c>
      <c r="J2" s="255">
        <v>45505</v>
      </c>
      <c r="K2" s="255">
        <v>45536</v>
      </c>
      <c r="L2" s="255">
        <v>45566</v>
      </c>
      <c r="M2" s="255">
        <v>45597</v>
      </c>
      <c r="N2" s="255" t="s">
        <v>1285</v>
      </c>
      <c r="O2" s="255">
        <v>45627</v>
      </c>
      <c r="P2" s="256" t="s">
        <v>1004</v>
      </c>
    </row>
    <row r="3" spans="1:16" ht="15" customHeight="1" thickTop="1">
      <c r="A3" s="496">
        <v>2</v>
      </c>
      <c r="B3" s="584" t="s">
        <v>148</v>
      </c>
      <c r="C3" s="585">
        <v>560</v>
      </c>
      <c r="D3" s="586">
        <v>560</v>
      </c>
      <c r="E3" s="586">
        <v>600</v>
      </c>
      <c r="F3" s="586">
        <v>600</v>
      </c>
      <c r="G3" s="586">
        <v>600</v>
      </c>
      <c r="H3" s="586">
        <v>600</v>
      </c>
      <c r="I3" s="502">
        <v>600</v>
      </c>
      <c r="J3" s="502">
        <v>600</v>
      </c>
      <c r="K3" s="502">
        <v>600</v>
      </c>
      <c r="L3" s="502">
        <v>600</v>
      </c>
      <c r="M3" s="502">
        <v>600</v>
      </c>
      <c r="N3" s="589">
        <v>600</v>
      </c>
      <c r="O3" s="589">
        <v>600</v>
      </c>
      <c r="P3" s="476">
        <f>SUM(C3:O4)</f>
        <v>7720</v>
      </c>
    </row>
    <row r="4" spans="1:16">
      <c r="A4" s="496"/>
      <c r="B4" s="507"/>
      <c r="C4" s="509"/>
      <c r="D4" s="503"/>
      <c r="E4" s="503"/>
      <c r="F4" s="503"/>
      <c r="G4" s="503"/>
      <c r="H4" s="503"/>
      <c r="I4" s="503"/>
      <c r="J4" s="503"/>
      <c r="K4" s="503"/>
      <c r="L4" s="503"/>
      <c r="M4" s="503"/>
      <c r="N4" s="502"/>
      <c r="O4" s="502"/>
      <c r="P4" s="445"/>
    </row>
    <row r="5" spans="1:16">
      <c r="A5" s="496"/>
      <c r="B5" s="81" t="s">
        <v>363</v>
      </c>
      <c r="C5" s="72">
        <v>45512</v>
      </c>
      <c r="D5" s="65">
        <v>45512</v>
      </c>
      <c r="E5" s="65">
        <v>45562</v>
      </c>
      <c r="F5" s="65">
        <v>45562</v>
      </c>
      <c r="G5" s="65">
        <v>45664</v>
      </c>
      <c r="H5" s="65">
        <v>45664</v>
      </c>
      <c r="I5" s="64">
        <v>45709</v>
      </c>
      <c r="J5" s="64">
        <v>45729</v>
      </c>
      <c r="K5" s="64">
        <v>45729</v>
      </c>
      <c r="L5" s="65">
        <v>45776</v>
      </c>
      <c r="M5" s="65">
        <v>45799</v>
      </c>
      <c r="N5" s="65">
        <v>45799</v>
      </c>
      <c r="O5" s="65">
        <v>45818</v>
      </c>
      <c r="P5" s="101"/>
    </row>
    <row r="6" spans="1:16" ht="15.75" thickBot="1">
      <c r="A6" s="471"/>
      <c r="B6" s="78" t="s">
        <v>377</v>
      </c>
      <c r="C6" s="73" t="s">
        <v>386</v>
      </c>
      <c r="D6" s="54" t="s">
        <v>386</v>
      </c>
      <c r="E6" s="54" t="s">
        <v>386</v>
      </c>
      <c r="F6" s="54" t="s">
        <v>386</v>
      </c>
      <c r="G6" s="54" t="s">
        <v>368</v>
      </c>
      <c r="H6" s="54" t="s">
        <v>386</v>
      </c>
      <c r="I6" s="54" t="s">
        <v>386</v>
      </c>
      <c r="J6" s="54" t="s">
        <v>386</v>
      </c>
      <c r="K6" s="54" t="s">
        <v>386</v>
      </c>
      <c r="L6" s="54" t="s">
        <v>386</v>
      </c>
      <c r="M6" s="54" t="s">
        <v>386</v>
      </c>
      <c r="N6" s="54" t="s">
        <v>386</v>
      </c>
      <c r="O6" s="54" t="s">
        <v>386</v>
      </c>
      <c r="P6" s="101"/>
    </row>
    <row r="7" spans="1:16" ht="15" customHeight="1" thickTop="1">
      <c r="A7" s="496">
        <v>3</v>
      </c>
      <c r="B7" s="584" t="s">
        <v>1219</v>
      </c>
      <c r="C7" s="585">
        <v>580</v>
      </c>
      <c r="D7" s="585">
        <v>580</v>
      </c>
      <c r="E7" s="585"/>
      <c r="F7" s="585">
        <v>580</v>
      </c>
      <c r="G7" s="585">
        <v>580</v>
      </c>
      <c r="H7" s="586">
        <v>580</v>
      </c>
      <c r="I7" s="585">
        <v>580</v>
      </c>
      <c r="J7" s="586">
        <v>580</v>
      </c>
      <c r="K7" s="502">
        <v>580</v>
      </c>
      <c r="L7" s="502">
        <v>580</v>
      </c>
      <c r="M7" s="502">
        <v>580</v>
      </c>
      <c r="N7" s="502">
        <v>580</v>
      </c>
      <c r="O7" s="589">
        <v>580</v>
      </c>
      <c r="P7" s="476">
        <f>SUM(C7:O8)</f>
        <v>6960</v>
      </c>
    </row>
    <row r="8" spans="1:16">
      <c r="A8" s="496"/>
      <c r="B8" s="507"/>
      <c r="C8" s="509"/>
      <c r="D8" s="509"/>
      <c r="E8" s="509"/>
      <c r="F8" s="509"/>
      <c r="G8" s="509"/>
      <c r="H8" s="503"/>
      <c r="I8" s="509"/>
      <c r="J8" s="503"/>
      <c r="K8" s="503"/>
      <c r="L8" s="503"/>
      <c r="M8" s="503"/>
      <c r="N8" s="503"/>
      <c r="O8" s="502"/>
      <c r="P8" s="445"/>
    </row>
    <row r="9" spans="1:16">
      <c r="A9" s="496"/>
      <c r="B9" s="81" t="s">
        <v>363</v>
      </c>
      <c r="C9" s="72">
        <v>45331</v>
      </c>
      <c r="D9" s="65">
        <v>45387</v>
      </c>
      <c r="E9" s="72"/>
      <c r="F9" s="72">
        <v>45420</v>
      </c>
      <c r="G9" s="72">
        <v>45450</v>
      </c>
      <c r="H9" s="65">
        <v>45481</v>
      </c>
      <c r="I9" s="72">
        <v>45516</v>
      </c>
      <c r="J9" s="65">
        <v>45545</v>
      </c>
      <c r="K9" s="65">
        <v>45938</v>
      </c>
      <c r="L9" s="65">
        <v>45983</v>
      </c>
      <c r="M9" s="65">
        <v>46007</v>
      </c>
      <c r="N9" s="65">
        <v>46004</v>
      </c>
      <c r="O9" s="64">
        <v>45670</v>
      </c>
      <c r="P9" s="101"/>
    </row>
    <row r="10" spans="1:16">
      <c r="A10" s="471"/>
      <c r="B10" s="78" t="s">
        <v>377</v>
      </c>
      <c r="C10" s="73" t="s">
        <v>384</v>
      </c>
      <c r="D10" s="54" t="s">
        <v>371</v>
      </c>
      <c r="E10" s="73"/>
      <c r="F10" s="73" t="s">
        <v>371</v>
      </c>
      <c r="G10" s="73" t="s">
        <v>384</v>
      </c>
      <c r="H10" s="54" t="s">
        <v>384</v>
      </c>
      <c r="I10" s="73" t="s">
        <v>384</v>
      </c>
      <c r="J10" s="54" t="s">
        <v>384</v>
      </c>
      <c r="K10" s="54" t="s">
        <v>384</v>
      </c>
      <c r="L10" s="54" t="s">
        <v>384</v>
      </c>
      <c r="M10" s="54" t="s">
        <v>384</v>
      </c>
      <c r="N10" s="54" t="s">
        <v>384</v>
      </c>
      <c r="O10" s="54" t="s">
        <v>384</v>
      </c>
      <c r="P10" s="101"/>
    </row>
    <row r="11" spans="1:16" ht="15" customHeight="1">
      <c r="A11" s="485">
        <v>4</v>
      </c>
      <c r="B11" s="489" t="s">
        <v>2</v>
      </c>
      <c r="C11" s="582">
        <v>760</v>
      </c>
      <c r="D11" s="582">
        <v>760</v>
      </c>
      <c r="E11" s="582">
        <v>760</v>
      </c>
      <c r="F11" s="590"/>
      <c r="G11" s="582">
        <v>760</v>
      </c>
      <c r="H11" s="582"/>
      <c r="I11" s="582">
        <v>760</v>
      </c>
      <c r="J11" s="582">
        <v>760</v>
      </c>
      <c r="K11" s="582">
        <v>760</v>
      </c>
      <c r="L11" s="582">
        <v>760</v>
      </c>
      <c r="M11" s="582">
        <v>760</v>
      </c>
      <c r="N11" s="582"/>
      <c r="O11" s="504">
        <v>760</v>
      </c>
      <c r="P11" s="476">
        <f>SUM(C11:O12)</f>
        <v>7600</v>
      </c>
    </row>
    <row r="12" spans="1:16" ht="21" customHeight="1">
      <c r="A12" s="468"/>
      <c r="B12" s="490"/>
      <c r="C12" s="503"/>
      <c r="D12" s="503"/>
      <c r="E12" s="503"/>
      <c r="F12" s="503"/>
      <c r="G12" s="503"/>
      <c r="H12" s="503"/>
      <c r="I12" s="503"/>
      <c r="J12" s="503"/>
      <c r="K12" s="503"/>
      <c r="L12" s="503"/>
      <c r="M12" s="503"/>
      <c r="N12" s="503"/>
      <c r="O12" s="502"/>
      <c r="P12" s="445"/>
    </row>
    <row r="13" spans="1:16">
      <c r="A13" s="468"/>
      <c r="B13" s="81" t="s">
        <v>363</v>
      </c>
      <c r="C13" s="97">
        <v>45313</v>
      </c>
      <c r="D13" s="65">
        <v>45357</v>
      </c>
      <c r="E13" s="65">
        <v>45385</v>
      </c>
      <c r="F13" s="65"/>
      <c r="G13" s="65">
        <v>45456</v>
      </c>
      <c r="H13" s="65"/>
      <c r="I13" s="65">
        <v>45511</v>
      </c>
      <c r="J13" s="65">
        <v>45508</v>
      </c>
      <c r="K13" s="65">
        <v>45569</v>
      </c>
      <c r="L13" s="65">
        <v>45602</v>
      </c>
      <c r="M13" s="65">
        <v>45631</v>
      </c>
      <c r="N13" s="65"/>
      <c r="O13" s="64">
        <v>45664</v>
      </c>
      <c r="P13" s="101"/>
    </row>
    <row r="14" spans="1:16">
      <c r="A14" s="478"/>
      <c r="B14" s="76" t="s">
        <v>377</v>
      </c>
      <c r="C14" s="73" t="s">
        <v>384</v>
      </c>
      <c r="D14" s="54" t="s">
        <v>386</v>
      </c>
      <c r="E14" s="54" t="s">
        <v>386</v>
      </c>
      <c r="F14" s="54"/>
      <c r="G14" s="54" t="s">
        <v>368</v>
      </c>
      <c r="H14" s="54"/>
      <c r="I14" s="54" t="s">
        <v>386</v>
      </c>
      <c r="J14" s="54" t="s">
        <v>386</v>
      </c>
      <c r="K14" s="54" t="s">
        <v>386</v>
      </c>
      <c r="L14" s="54" t="s">
        <v>386</v>
      </c>
      <c r="M14" s="54" t="s">
        <v>386</v>
      </c>
      <c r="N14" s="54"/>
      <c r="O14" s="54" t="s">
        <v>384</v>
      </c>
      <c r="P14" s="101"/>
    </row>
    <row r="15" spans="1:16" ht="15" customHeight="1">
      <c r="A15" s="485">
        <v>5</v>
      </c>
      <c r="B15" s="489" t="s">
        <v>826</v>
      </c>
      <c r="C15" s="509">
        <v>350</v>
      </c>
      <c r="D15" s="582">
        <v>380</v>
      </c>
      <c r="E15" s="582">
        <v>380</v>
      </c>
      <c r="F15" s="590">
        <v>380</v>
      </c>
      <c r="G15" s="582">
        <v>380</v>
      </c>
      <c r="H15" s="582">
        <v>380</v>
      </c>
      <c r="I15" s="582">
        <v>380</v>
      </c>
      <c r="J15" s="582">
        <v>380</v>
      </c>
      <c r="K15" s="582">
        <v>380</v>
      </c>
      <c r="L15" s="582">
        <v>380</v>
      </c>
      <c r="M15" s="582">
        <v>380</v>
      </c>
      <c r="N15" s="582">
        <v>380</v>
      </c>
      <c r="O15" s="582">
        <v>380</v>
      </c>
      <c r="P15" s="476">
        <f>SUM(C15:O16)</f>
        <v>4910</v>
      </c>
    </row>
    <row r="16" spans="1:16" ht="21" customHeight="1">
      <c r="A16" s="468"/>
      <c r="B16" s="490"/>
      <c r="C16" s="509"/>
      <c r="D16" s="503"/>
      <c r="E16" s="503"/>
      <c r="F16" s="503"/>
      <c r="G16" s="503"/>
      <c r="H16" s="503"/>
      <c r="I16" s="503"/>
      <c r="J16" s="503"/>
      <c r="K16" s="503"/>
      <c r="L16" s="503"/>
      <c r="M16" s="503"/>
      <c r="N16" s="503"/>
      <c r="O16" s="503"/>
      <c r="P16" s="445"/>
    </row>
    <row r="17" spans="1:16">
      <c r="A17" s="468"/>
      <c r="B17" s="81" t="s">
        <v>363</v>
      </c>
      <c r="C17" s="97">
        <v>45301</v>
      </c>
      <c r="D17" s="65">
        <v>45336</v>
      </c>
      <c r="E17" s="65">
        <v>45362</v>
      </c>
      <c r="F17" s="65">
        <v>45392</v>
      </c>
      <c r="G17" s="65">
        <v>45422</v>
      </c>
      <c r="H17" s="65">
        <v>45453</v>
      </c>
      <c r="I17" s="65">
        <v>45483</v>
      </c>
      <c r="J17" s="65">
        <v>45513</v>
      </c>
      <c r="K17" s="65">
        <v>45544</v>
      </c>
      <c r="L17" s="65">
        <v>45940</v>
      </c>
      <c r="M17" s="65">
        <v>45972</v>
      </c>
      <c r="N17" s="65">
        <v>46002</v>
      </c>
      <c r="O17" s="65">
        <v>46002</v>
      </c>
      <c r="P17" s="101"/>
    </row>
    <row r="18" spans="1:16">
      <c r="A18" s="478"/>
      <c r="B18" s="76" t="s">
        <v>377</v>
      </c>
      <c r="C18" s="73" t="s">
        <v>384</v>
      </c>
      <c r="D18" s="54" t="s">
        <v>371</v>
      </c>
      <c r="E18" s="54" t="s">
        <v>371</v>
      </c>
      <c r="F18" s="54" t="s">
        <v>371</v>
      </c>
      <c r="G18" s="54" t="s">
        <v>384</v>
      </c>
      <c r="H18" s="54" t="s">
        <v>384</v>
      </c>
      <c r="I18" s="54" t="s">
        <v>384</v>
      </c>
      <c r="J18" s="54" t="s">
        <v>384</v>
      </c>
      <c r="K18" s="54" t="s">
        <v>384</v>
      </c>
      <c r="L18" s="54" t="s">
        <v>384</v>
      </c>
      <c r="M18" s="54" t="s">
        <v>384</v>
      </c>
      <c r="N18" s="54" t="s">
        <v>384</v>
      </c>
      <c r="O18" s="54" t="s">
        <v>384</v>
      </c>
      <c r="P18" s="101"/>
    </row>
    <row r="19" spans="1:16" ht="15" customHeight="1">
      <c r="A19" s="485">
        <v>6</v>
      </c>
      <c r="B19" s="489" t="s">
        <v>311</v>
      </c>
      <c r="C19" s="479">
        <v>565</v>
      </c>
      <c r="D19" s="481"/>
      <c r="E19" s="481"/>
      <c r="F19" s="481">
        <v>615</v>
      </c>
      <c r="G19" s="500">
        <v>615</v>
      </c>
      <c r="H19" s="481">
        <v>615</v>
      </c>
      <c r="I19" s="481">
        <v>615</v>
      </c>
      <c r="J19" s="481">
        <v>615</v>
      </c>
      <c r="K19" s="481">
        <v>615</v>
      </c>
      <c r="L19" s="481">
        <v>615</v>
      </c>
      <c r="M19" s="481">
        <v>615</v>
      </c>
      <c r="N19" s="481">
        <v>615</v>
      </c>
      <c r="O19" s="491">
        <v>615</v>
      </c>
      <c r="P19" s="476">
        <f>SUM(C19:O20)</f>
        <v>6715</v>
      </c>
    </row>
    <row r="20" spans="1:16">
      <c r="A20" s="468"/>
      <c r="B20" s="490"/>
      <c r="C20" s="480"/>
      <c r="D20" s="482"/>
      <c r="E20" s="482"/>
      <c r="F20" s="482"/>
      <c r="G20" s="482"/>
      <c r="H20" s="482"/>
      <c r="I20" s="482"/>
      <c r="J20" s="482"/>
      <c r="K20" s="482"/>
      <c r="L20" s="482"/>
      <c r="M20" s="482"/>
      <c r="N20" s="482"/>
      <c r="O20" s="492"/>
      <c r="P20" s="445"/>
    </row>
    <row r="21" spans="1:16">
      <c r="A21" s="468"/>
      <c r="B21" s="81" t="s">
        <v>363</v>
      </c>
      <c r="C21" s="97">
        <v>45362</v>
      </c>
      <c r="D21" s="65"/>
      <c r="E21" s="65"/>
      <c r="F21" s="65">
        <v>45422</v>
      </c>
      <c r="G21" s="65">
        <v>45453</v>
      </c>
      <c r="H21" s="65">
        <v>45483</v>
      </c>
      <c r="I21" s="65">
        <v>45524</v>
      </c>
      <c r="J21" s="65">
        <v>45545</v>
      </c>
      <c r="K21" s="65">
        <v>45948</v>
      </c>
      <c r="L21" s="65">
        <v>45972</v>
      </c>
      <c r="M21" s="65">
        <v>46001</v>
      </c>
      <c r="N21" s="65">
        <v>45713</v>
      </c>
      <c r="O21" s="64">
        <v>45713</v>
      </c>
      <c r="P21" s="101"/>
    </row>
    <row r="22" spans="1:16">
      <c r="A22" s="478"/>
      <c r="B22" s="76" t="s">
        <v>377</v>
      </c>
      <c r="C22" s="73" t="s">
        <v>384</v>
      </c>
      <c r="D22" s="54"/>
      <c r="E22" s="54"/>
      <c r="F22" s="54" t="s">
        <v>371</v>
      </c>
      <c r="G22" s="54" t="s">
        <v>384</v>
      </c>
      <c r="H22" s="54" t="s">
        <v>384</v>
      </c>
      <c r="I22" s="54" t="s">
        <v>384</v>
      </c>
      <c r="J22" s="54" t="s">
        <v>384</v>
      </c>
      <c r="K22" s="54" t="s">
        <v>384</v>
      </c>
      <c r="L22" s="54" t="s">
        <v>384</v>
      </c>
      <c r="M22" s="54" t="s">
        <v>384</v>
      </c>
      <c r="N22" s="54" t="s">
        <v>384</v>
      </c>
      <c r="O22" s="54" t="s">
        <v>384</v>
      </c>
      <c r="P22" s="101"/>
    </row>
    <row r="23" spans="1:16" ht="25.5" customHeight="1">
      <c r="A23" s="485">
        <v>7</v>
      </c>
      <c r="B23" s="489" t="s">
        <v>7</v>
      </c>
      <c r="C23" s="582">
        <v>980</v>
      </c>
      <c r="D23" s="582">
        <v>980</v>
      </c>
      <c r="E23" s="582">
        <v>980</v>
      </c>
      <c r="F23" s="582">
        <v>980</v>
      </c>
      <c r="G23" s="481">
        <v>980</v>
      </c>
      <c r="H23" s="481"/>
      <c r="I23" s="481">
        <v>980</v>
      </c>
      <c r="J23" s="481">
        <v>980</v>
      </c>
      <c r="K23" s="486">
        <v>980</v>
      </c>
      <c r="L23" s="486">
        <v>980</v>
      </c>
      <c r="M23" s="486">
        <v>980</v>
      </c>
      <c r="N23" s="486">
        <v>980</v>
      </c>
      <c r="O23" s="487">
        <v>980</v>
      </c>
      <c r="P23" s="549">
        <f>SUM(C23:O24)</f>
        <v>11760</v>
      </c>
    </row>
    <row r="24" spans="1:16">
      <c r="A24" s="468"/>
      <c r="B24" s="490"/>
      <c r="C24" s="503"/>
      <c r="D24" s="503"/>
      <c r="E24" s="503"/>
      <c r="F24" s="503"/>
      <c r="G24" s="482"/>
      <c r="H24" s="482"/>
      <c r="I24" s="482"/>
      <c r="J24" s="482"/>
      <c r="K24" s="486"/>
      <c r="L24" s="486"/>
      <c r="M24" s="486"/>
      <c r="N24" s="486"/>
      <c r="O24" s="488"/>
      <c r="P24" s="549"/>
    </row>
    <row r="25" spans="1:16">
      <c r="A25" s="468"/>
      <c r="B25" s="76" t="s">
        <v>363</v>
      </c>
      <c r="C25" s="97">
        <v>20.02</v>
      </c>
      <c r="D25" s="65">
        <v>45377</v>
      </c>
      <c r="E25" s="65">
        <v>45422</v>
      </c>
      <c r="F25" s="65">
        <v>45422</v>
      </c>
      <c r="G25" s="65">
        <v>45474</v>
      </c>
      <c r="H25" s="65"/>
      <c r="I25" s="65">
        <v>45533</v>
      </c>
      <c r="J25" s="65">
        <v>45559</v>
      </c>
      <c r="K25" s="65">
        <v>45597</v>
      </c>
      <c r="L25" s="65">
        <v>45622</v>
      </c>
      <c r="M25" s="65">
        <v>45646</v>
      </c>
      <c r="N25" s="65">
        <v>45646</v>
      </c>
      <c r="O25" s="64">
        <v>45686</v>
      </c>
      <c r="P25" s="101"/>
    </row>
    <row r="26" spans="1:16">
      <c r="A26" s="501"/>
      <c r="B26" s="79" t="s">
        <v>377</v>
      </c>
      <c r="C26" s="73" t="s">
        <v>386</v>
      </c>
      <c r="D26" s="54" t="s">
        <v>386</v>
      </c>
      <c r="E26" s="54" t="s">
        <v>386</v>
      </c>
      <c r="F26" s="54" t="s">
        <v>386</v>
      </c>
      <c r="G26" s="54" t="s">
        <v>368</v>
      </c>
      <c r="H26" s="54"/>
      <c r="I26" s="54" t="s">
        <v>386</v>
      </c>
      <c r="J26" s="54" t="s">
        <v>386</v>
      </c>
      <c r="K26" s="54" t="s">
        <v>386</v>
      </c>
      <c r="L26" s="54" t="s">
        <v>386</v>
      </c>
      <c r="M26" s="54" t="s">
        <v>386</v>
      </c>
      <c r="N26" s="54" t="s">
        <v>386</v>
      </c>
      <c r="O26" s="54" t="s">
        <v>386</v>
      </c>
      <c r="P26" s="101"/>
    </row>
    <row r="27" spans="1:16" ht="15" customHeight="1">
      <c r="A27" s="467">
        <v>8</v>
      </c>
      <c r="B27" s="489" t="s">
        <v>312</v>
      </c>
      <c r="C27" s="479">
        <v>580</v>
      </c>
      <c r="D27" s="481">
        <v>580</v>
      </c>
      <c r="E27" s="481">
        <v>580</v>
      </c>
      <c r="F27" s="481">
        <v>580</v>
      </c>
      <c r="G27" s="481"/>
      <c r="H27" s="481">
        <v>580</v>
      </c>
      <c r="I27" s="481">
        <v>580</v>
      </c>
      <c r="J27" s="481">
        <v>580</v>
      </c>
      <c r="K27" s="486">
        <v>580</v>
      </c>
      <c r="L27" s="486">
        <v>580</v>
      </c>
      <c r="M27" s="486">
        <v>580</v>
      </c>
      <c r="N27" s="486"/>
      <c r="O27" s="487">
        <v>580</v>
      </c>
      <c r="P27" s="476">
        <f>SUM(C27:O28)</f>
        <v>6380</v>
      </c>
    </row>
    <row r="28" spans="1:16">
      <c r="A28" s="468"/>
      <c r="B28" s="490"/>
      <c r="C28" s="480"/>
      <c r="D28" s="482"/>
      <c r="E28" s="482"/>
      <c r="F28" s="482"/>
      <c r="G28" s="482"/>
      <c r="H28" s="482"/>
      <c r="I28" s="482"/>
      <c r="J28" s="482"/>
      <c r="K28" s="486"/>
      <c r="L28" s="486"/>
      <c r="M28" s="486"/>
      <c r="N28" s="486"/>
      <c r="O28" s="488"/>
      <c r="P28" s="445"/>
    </row>
    <row r="29" spans="1:16">
      <c r="A29" s="468"/>
      <c r="B29" s="81" t="s">
        <v>363</v>
      </c>
      <c r="C29" s="97">
        <v>45379</v>
      </c>
      <c r="D29" s="65">
        <v>45414</v>
      </c>
      <c r="E29" s="65">
        <v>45443</v>
      </c>
      <c r="F29" s="65">
        <v>45474</v>
      </c>
      <c r="G29" s="65"/>
      <c r="H29" s="65">
        <v>45505</v>
      </c>
      <c r="I29" s="65">
        <v>45565</v>
      </c>
      <c r="J29" s="65">
        <v>45565</v>
      </c>
      <c r="K29" s="65">
        <v>45594</v>
      </c>
      <c r="L29" s="65">
        <v>45628</v>
      </c>
      <c r="M29" s="65">
        <v>45653</v>
      </c>
      <c r="N29" s="54"/>
      <c r="O29" s="64">
        <v>45684</v>
      </c>
      <c r="P29" s="101"/>
    </row>
    <row r="30" spans="1:16">
      <c r="A30" s="501"/>
      <c r="B30" s="76" t="s">
        <v>377</v>
      </c>
      <c r="C30" s="73" t="s">
        <v>386</v>
      </c>
      <c r="D30" s="54" t="s">
        <v>386</v>
      </c>
      <c r="E30" s="54" t="s">
        <v>386</v>
      </c>
      <c r="F30" s="54" t="s">
        <v>386</v>
      </c>
      <c r="G30" s="54"/>
      <c r="H30" s="54" t="s">
        <v>386</v>
      </c>
      <c r="I30" s="54" t="s">
        <v>386</v>
      </c>
      <c r="J30" s="54" t="s">
        <v>386</v>
      </c>
      <c r="K30" s="54" t="s">
        <v>386</v>
      </c>
      <c r="L30" s="54" t="s">
        <v>386</v>
      </c>
      <c r="M30" s="54" t="s">
        <v>386</v>
      </c>
      <c r="N30" s="54"/>
      <c r="O30" s="54" t="s">
        <v>386</v>
      </c>
      <c r="P30" s="101"/>
    </row>
    <row r="31" spans="1:16" ht="25.5" customHeight="1">
      <c r="A31" s="467">
        <v>9</v>
      </c>
      <c r="B31" s="489" t="s">
        <v>164</v>
      </c>
      <c r="C31" s="582"/>
      <c r="D31" s="481">
        <v>990</v>
      </c>
      <c r="E31" s="481">
        <v>990</v>
      </c>
      <c r="F31" s="481">
        <v>990</v>
      </c>
      <c r="G31" s="481">
        <v>990</v>
      </c>
      <c r="H31" s="481">
        <v>990</v>
      </c>
      <c r="I31" s="481">
        <v>990</v>
      </c>
      <c r="J31" s="481">
        <v>990</v>
      </c>
      <c r="K31" s="481">
        <v>990</v>
      </c>
      <c r="L31" s="486">
        <v>990</v>
      </c>
      <c r="M31" s="486">
        <v>990</v>
      </c>
      <c r="N31" s="486"/>
      <c r="O31" s="487">
        <v>990</v>
      </c>
      <c r="P31" s="476">
        <f>SUM(C31:O32)</f>
        <v>10890</v>
      </c>
    </row>
    <row r="32" spans="1:16">
      <c r="A32" s="468"/>
      <c r="B32" s="490"/>
      <c r="C32" s="503"/>
      <c r="D32" s="482"/>
      <c r="E32" s="482"/>
      <c r="F32" s="482"/>
      <c r="G32" s="482"/>
      <c r="H32" s="482"/>
      <c r="I32" s="482"/>
      <c r="J32" s="482"/>
      <c r="K32" s="482"/>
      <c r="L32" s="486"/>
      <c r="M32" s="486"/>
      <c r="N32" s="486"/>
      <c r="O32" s="488"/>
      <c r="P32" s="445"/>
    </row>
    <row r="33" spans="1:16">
      <c r="A33" s="468"/>
      <c r="B33" s="81" t="s">
        <v>363</v>
      </c>
      <c r="C33" s="97"/>
      <c r="D33" s="65">
        <v>45351</v>
      </c>
      <c r="E33" s="65">
        <v>45383</v>
      </c>
      <c r="F33" s="65">
        <v>45426</v>
      </c>
      <c r="G33" s="65">
        <v>45456</v>
      </c>
      <c r="H33" s="65">
        <v>45471</v>
      </c>
      <c r="I33" s="65">
        <v>45519</v>
      </c>
      <c r="J33" s="65">
        <v>45551</v>
      </c>
      <c r="K33" s="65">
        <v>45581</v>
      </c>
      <c r="L33" s="65">
        <v>45618</v>
      </c>
      <c r="M33" s="65">
        <v>45642</v>
      </c>
      <c r="N33" s="54"/>
      <c r="O33" s="64">
        <v>45677</v>
      </c>
      <c r="P33" s="101"/>
    </row>
    <row r="34" spans="1:16">
      <c r="A34" s="501"/>
      <c r="B34" s="76" t="s">
        <v>377</v>
      </c>
      <c r="C34" s="73"/>
      <c r="D34" s="54" t="s">
        <v>386</v>
      </c>
      <c r="E34" s="54" t="s">
        <v>386</v>
      </c>
      <c r="F34" s="54" t="s">
        <v>386</v>
      </c>
      <c r="G34" s="54" t="s">
        <v>368</v>
      </c>
      <c r="H34" s="54" t="s">
        <v>386</v>
      </c>
      <c r="I34" s="54" t="s">
        <v>386</v>
      </c>
      <c r="J34" s="54" t="s">
        <v>386</v>
      </c>
      <c r="K34" s="54" t="s">
        <v>386</v>
      </c>
      <c r="L34" s="54" t="s">
        <v>386</v>
      </c>
      <c r="M34" s="54" t="s">
        <v>386</v>
      </c>
      <c r="N34" s="54"/>
      <c r="O34" s="54" t="s">
        <v>386</v>
      </c>
      <c r="P34" s="101"/>
    </row>
    <row r="35" spans="1:16" ht="25.5" customHeight="1">
      <c r="A35" s="467">
        <v>10</v>
      </c>
      <c r="B35" s="489" t="s">
        <v>9</v>
      </c>
      <c r="C35" s="480"/>
      <c r="D35" s="482"/>
      <c r="E35" s="482"/>
      <c r="F35" s="486"/>
      <c r="G35" s="486"/>
      <c r="H35" s="486">
        <v>550</v>
      </c>
      <c r="I35" s="486"/>
      <c r="J35" s="486"/>
      <c r="K35" s="482"/>
      <c r="L35" s="482"/>
      <c r="M35" s="482"/>
      <c r="N35" s="482"/>
      <c r="O35" s="491"/>
      <c r="P35" s="476">
        <f>SUM(C35:O36)</f>
        <v>550</v>
      </c>
    </row>
    <row r="36" spans="1:16">
      <c r="A36" s="468"/>
      <c r="B36" s="490"/>
      <c r="C36" s="480"/>
      <c r="D36" s="482"/>
      <c r="E36" s="482"/>
      <c r="F36" s="486"/>
      <c r="G36" s="486"/>
      <c r="H36" s="486"/>
      <c r="I36" s="486"/>
      <c r="J36" s="486"/>
      <c r="K36" s="482"/>
      <c r="L36" s="482"/>
      <c r="M36" s="482"/>
      <c r="N36" s="482"/>
      <c r="O36" s="492"/>
      <c r="P36" s="445"/>
    </row>
    <row r="37" spans="1:16">
      <c r="A37" s="468"/>
      <c r="B37" s="81" t="s">
        <v>363</v>
      </c>
      <c r="C37" s="73"/>
      <c r="D37" s="54"/>
      <c r="E37" s="54"/>
      <c r="F37" s="54"/>
      <c r="G37" s="54"/>
      <c r="H37" s="65">
        <v>45477</v>
      </c>
      <c r="I37" s="54"/>
      <c r="J37" s="54"/>
      <c r="K37" s="54"/>
      <c r="L37" s="54"/>
      <c r="M37" s="54"/>
      <c r="N37" s="54"/>
      <c r="O37" s="54"/>
      <c r="P37" s="101"/>
    </row>
    <row r="38" spans="1:16" ht="15.75" thickBot="1">
      <c r="A38" s="501"/>
      <c r="B38" s="76" t="s">
        <v>377</v>
      </c>
      <c r="C38" s="73"/>
      <c r="D38" s="54"/>
      <c r="E38" s="54"/>
      <c r="F38" s="54"/>
      <c r="G38" s="54"/>
      <c r="H38" s="54" t="s">
        <v>384</v>
      </c>
      <c r="I38" s="54"/>
      <c r="J38" s="54"/>
      <c r="K38" s="54"/>
      <c r="L38" s="118"/>
      <c r="M38" s="54"/>
      <c r="N38" s="54"/>
      <c r="O38" s="54"/>
      <c r="P38" s="101"/>
    </row>
    <row r="39" spans="1:16" ht="25.5" customHeight="1" thickTop="1">
      <c r="A39" s="467">
        <v>12</v>
      </c>
      <c r="B39" s="489" t="s">
        <v>1225</v>
      </c>
      <c r="C39" s="480"/>
      <c r="D39" s="482"/>
      <c r="E39" s="486">
        <v>430</v>
      </c>
      <c r="F39" s="486"/>
      <c r="G39" s="486">
        <v>430</v>
      </c>
      <c r="H39" s="486">
        <v>430</v>
      </c>
      <c r="I39" s="486">
        <v>430</v>
      </c>
      <c r="J39" s="486">
        <v>430</v>
      </c>
      <c r="K39" s="577"/>
      <c r="L39" s="578"/>
      <c r="M39" s="499"/>
      <c r="N39" s="486"/>
      <c r="O39" s="487"/>
      <c r="P39" s="476">
        <f>SUM(C39:O40)</f>
        <v>2150</v>
      </c>
    </row>
    <row r="40" spans="1:16" ht="15.75" thickBot="1">
      <c r="A40" s="468"/>
      <c r="B40" s="490"/>
      <c r="C40" s="480"/>
      <c r="D40" s="482"/>
      <c r="E40" s="486"/>
      <c r="F40" s="486"/>
      <c r="G40" s="486"/>
      <c r="H40" s="486"/>
      <c r="I40" s="486"/>
      <c r="J40" s="486"/>
      <c r="K40" s="577"/>
      <c r="L40" s="579"/>
      <c r="M40" s="499"/>
      <c r="N40" s="486"/>
      <c r="O40" s="488"/>
      <c r="P40" s="445"/>
    </row>
    <row r="41" spans="1:16" ht="15.75" thickTop="1">
      <c r="A41" s="468"/>
      <c r="B41" s="81" t="s">
        <v>363</v>
      </c>
      <c r="C41" s="97"/>
      <c r="D41" s="54"/>
      <c r="E41" s="65">
        <v>45383</v>
      </c>
      <c r="F41" s="54"/>
      <c r="G41" s="65">
        <v>45463</v>
      </c>
      <c r="H41" s="65">
        <v>45510</v>
      </c>
      <c r="I41" s="65">
        <v>45909</v>
      </c>
      <c r="J41" s="65">
        <v>45558</v>
      </c>
      <c r="K41" s="54"/>
      <c r="L41" s="105"/>
      <c r="M41" s="54"/>
      <c r="N41" s="54"/>
      <c r="O41" s="54"/>
      <c r="P41" s="101"/>
    </row>
    <row r="42" spans="1:16" ht="15.75" thickBot="1">
      <c r="A42" s="501"/>
      <c r="B42" s="76" t="s">
        <v>377</v>
      </c>
      <c r="C42" s="73"/>
      <c r="D42" s="54"/>
      <c r="E42" s="54" t="s">
        <v>371</v>
      </c>
      <c r="F42" s="54"/>
      <c r="G42" s="54" t="s">
        <v>384</v>
      </c>
      <c r="H42" s="54" t="s">
        <v>384</v>
      </c>
      <c r="I42" s="54" t="s">
        <v>384</v>
      </c>
      <c r="J42" s="54" t="s">
        <v>384</v>
      </c>
      <c r="K42" s="54"/>
      <c r="L42" s="54"/>
      <c r="M42" s="54"/>
      <c r="N42" s="54"/>
      <c r="O42" s="54"/>
      <c r="P42" s="101"/>
    </row>
    <row r="43" spans="1:16" ht="25.5" customHeight="1" thickTop="1">
      <c r="A43" s="467">
        <v>14</v>
      </c>
      <c r="B43" s="489" t="s">
        <v>1343</v>
      </c>
      <c r="C43" s="499">
        <v>700</v>
      </c>
      <c r="D43" s="486">
        <v>700</v>
      </c>
      <c r="E43" s="486">
        <v>730</v>
      </c>
      <c r="F43" s="486">
        <v>730</v>
      </c>
      <c r="G43" s="486">
        <v>730</v>
      </c>
      <c r="H43" s="486">
        <v>730</v>
      </c>
      <c r="I43" s="486">
        <v>730</v>
      </c>
      <c r="J43" s="486">
        <v>730</v>
      </c>
      <c r="K43" s="577">
        <v>730</v>
      </c>
      <c r="L43" s="578">
        <v>730</v>
      </c>
      <c r="M43" s="499">
        <v>730</v>
      </c>
      <c r="N43" s="486">
        <v>730</v>
      </c>
      <c r="O43" s="487">
        <v>730</v>
      </c>
      <c r="P43" s="476">
        <f>SUM(C43:O44)</f>
        <v>9430</v>
      </c>
    </row>
    <row r="44" spans="1:16" ht="15.75" thickBot="1">
      <c r="A44" s="468"/>
      <c r="B44" s="490"/>
      <c r="C44" s="499"/>
      <c r="D44" s="486"/>
      <c r="E44" s="486"/>
      <c r="F44" s="486"/>
      <c r="G44" s="486"/>
      <c r="H44" s="486"/>
      <c r="I44" s="486"/>
      <c r="J44" s="486"/>
      <c r="K44" s="577"/>
      <c r="L44" s="579"/>
      <c r="M44" s="499"/>
      <c r="N44" s="486"/>
      <c r="O44" s="488"/>
      <c r="P44" s="445"/>
    </row>
    <row r="45" spans="1:16" ht="15.75" thickTop="1">
      <c r="A45" s="468"/>
      <c r="B45" s="81" t="s">
        <v>363</v>
      </c>
      <c r="C45" s="97">
        <v>45338</v>
      </c>
      <c r="D45" s="65">
        <v>45359</v>
      </c>
      <c r="E45" s="65">
        <v>45393</v>
      </c>
      <c r="F45" s="65">
        <v>45422</v>
      </c>
      <c r="G45" s="65">
        <v>45455</v>
      </c>
      <c r="H45" s="65">
        <v>45484</v>
      </c>
      <c r="I45" s="65">
        <v>45516</v>
      </c>
      <c r="J45" s="65">
        <v>45547</v>
      </c>
      <c r="K45" s="65">
        <v>45946</v>
      </c>
      <c r="L45" s="105">
        <v>45979</v>
      </c>
      <c r="M45" s="65">
        <v>46001</v>
      </c>
      <c r="N45" s="65">
        <v>46001</v>
      </c>
      <c r="O45" s="64">
        <v>45670</v>
      </c>
      <c r="P45" s="101"/>
    </row>
    <row r="46" spans="1:16">
      <c r="A46" s="501"/>
      <c r="B46" s="76" t="s">
        <v>377</v>
      </c>
      <c r="C46" s="73" t="s">
        <v>386</v>
      </c>
      <c r="D46" s="54" t="s">
        <v>371</v>
      </c>
      <c r="E46" s="54" t="s">
        <v>371</v>
      </c>
      <c r="F46" s="54" t="s">
        <v>386</v>
      </c>
      <c r="G46" s="54" t="s">
        <v>385</v>
      </c>
      <c r="H46" s="54" t="s">
        <v>384</v>
      </c>
      <c r="I46" s="54" t="s">
        <v>384</v>
      </c>
      <c r="J46" s="54" t="s">
        <v>384</v>
      </c>
      <c r="K46" s="54" t="s">
        <v>384</v>
      </c>
      <c r="L46" s="54" t="s">
        <v>384</v>
      </c>
      <c r="M46" s="54" t="s">
        <v>384</v>
      </c>
      <c r="N46" s="54" t="s">
        <v>384</v>
      </c>
      <c r="O46" s="54" t="s">
        <v>384</v>
      </c>
      <c r="P46" s="101"/>
    </row>
    <row r="47" spans="1:16" ht="25.5" customHeight="1">
      <c r="A47" s="467">
        <v>16</v>
      </c>
      <c r="B47" s="489" t="s">
        <v>11</v>
      </c>
      <c r="C47" s="480"/>
      <c r="D47" s="482"/>
      <c r="E47" s="482"/>
      <c r="F47" s="482"/>
      <c r="G47" s="482"/>
      <c r="H47" s="482"/>
      <c r="I47" s="482"/>
      <c r="J47" s="481"/>
      <c r="K47" s="481"/>
      <c r="L47" s="482"/>
      <c r="M47" s="482"/>
      <c r="N47" s="482"/>
      <c r="O47" s="491"/>
      <c r="P47" s="476">
        <f>SUM(C47:O48)</f>
        <v>0</v>
      </c>
    </row>
    <row r="48" spans="1:16">
      <c r="A48" s="468"/>
      <c r="B48" s="490"/>
      <c r="C48" s="480"/>
      <c r="D48" s="482"/>
      <c r="E48" s="482"/>
      <c r="F48" s="482"/>
      <c r="G48" s="482"/>
      <c r="H48" s="482"/>
      <c r="I48" s="482"/>
      <c r="J48" s="482"/>
      <c r="K48" s="482"/>
      <c r="L48" s="482"/>
      <c r="M48" s="482"/>
      <c r="N48" s="482"/>
      <c r="O48" s="492"/>
      <c r="P48" s="445"/>
    </row>
    <row r="49" spans="1:16">
      <c r="A49" s="468"/>
      <c r="B49" s="76" t="s">
        <v>363</v>
      </c>
      <c r="C49" s="73"/>
      <c r="D49" s="54"/>
      <c r="E49" s="54"/>
      <c r="F49" s="54"/>
      <c r="G49" s="54"/>
      <c r="H49" s="54"/>
      <c r="I49" s="54"/>
      <c r="J49" s="65"/>
      <c r="K49" s="65"/>
      <c r="L49" s="54"/>
      <c r="M49" s="54"/>
      <c r="N49" s="54"/>
      <c r="O49" s="54"/>
      <c r="P49" s="101"/>
    </row>
    <row r="50" spans="1:16">
      <c r="A50" s="501"/>
      <c r="B50" s="79" t="s">
        <v>377</v>
      </c>
      <c r="C50" s="73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101"/>
    </row>
    <row r="51" spans="1:16" ht="15" customHeight="1">
      <c r="A51" s="467">
        <v>17</v>
      </c>
      <c r="B51" s="489" t="s">
        <v>1339</v>
      </c>
      <c r="C51" s="479">
        <v>575</v>
      </c>
      <c r="D51" s="479">
        <v>575</v>
      </c>
      <c r="E51" s="481">
        <v>575</v>
      </c>
      <c r="F51" s="481">
        <v>575</v>
      </c>
      <c r="G51" s="481">
        <v>575</v>
      </c>
      <c r="H51" s="481">
        <v>575</v>
      </c>
      <c r="I51" s="481">
        <v>575</v>
      </c>
      <c r="J51" s="481">
        <v>575</v>
      </c>
      <c r="K51" s="481">
        <v>575</v>
      </c>
      <c r="L51" s="481">
        <v>575</v>
      </c>
      <c r="M51" s="481">
        <v>575</v>
      </c>
      <c r="N51" s="481">
        <v>575</v>
      </c>
      <c r="O51" s="491">
        <v>575</v>
      </c>
      <c r="P51" s="476">
        <f>SUM(C51:O52)</f>
        <v>7475</v>
      </c>
    </row>
    <row r="52" spans="1:16">
      <c r="A52" s="468"/>
      <c r="B52" s="490"/>
      <c r="C52" s="480"/>
      <c r="D52" s="480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92"/>
      <c r="P52" s="445"/>
    </row>
    <row r="53" spans="1:16">
      <c r="A53" s="468"/>
      <c r="B53" s="81" t="s">
        <v>363</v>
      </c>
      <c r="C53" s="97">
        <v>45330</v>
      </c>
      <c r="D53" s="65">
        <v>45357</v>
      </c>
      <c r="E53" s="65">
        <v>45386</v>
      </c>
      <c r="F53" s="65">
        <v>45426</v>
      </c>
      <c r="G53" s="65">
        <v>45454</v>
      </c>
      <c r="H53" s="65">
        <v>45482</v>
      </c>
      <c r="I53" s="65">
        <v>45512</v>
      </c>
      <c r="J53" s="65">
        <v>45513</v>
      </c>
      <c r="K53" s="65">
        <v>45574</v>
      </c>
      <c r="L53" s="65">
        <v>45602</v>
      </c>
      <c r="M53" s="65">
        <v>45635</v>
      </c>
      <c r="N53" s="65">
        <v>45635</v>
      </c>
      <c r="O53" s="64">
        <v>45666</v>
      </c>
      <c r="P53" s="101"/>
    </row>
    <row r="54" spans="1:16">
      <c r="A54" s="501"/>
      <c r="B54" s="76" t="s">
        <v>377</v>
      </c>
      <c r="C54" s="73" t="s">
        <v>386</v>
      </c>
      <c r="D54" s="73" t="s">
        <v>386</v>
      </c>
      <c r="E54" s="54" t="s">
        <v>386</v>
      </c>
      <c r="F54" s="54" t="s">
        <v>386</v>
      </c>
      <c r="G54" s="54" t="s">
        <v>385</v>
      </c>
      <c r="H54" s="54" t="s">
        <v>386</v>
      </c>
      <c r="I54" s="54" t="s">
        <v>386</v>
      </c>
      <c r="J54" s="54" t="s">
        <v>386</v>
      </c>
      <c r="K54" s="54" t="s">
        <v>386</v>
      </c>
      <c r="L54" s="54" t="s">
        <v>386</v>
      </c>
      <c r="M54" s="54" t="s">
        <v>386</v>
      </c>
      <c r="N54" s="54" t="s">
        <v>386</v>
      </c>
      <c r="O54" s="54" t="s">
        <v>386</v>
      </c>
      <c r="P54" s="101"/>
    </row>
    <row r="55" spans="1:16" ht="15" customHeight="1">
      <c r="A55" s="467">
        <v>18</v>
      </c>
      <c r="B55" s="489" t="s">
        <v>314</v>
      </c>
      <c r="C55" s="479">
        <v>690</v>
      </c>
      <c r="D55" s="479">
        <v>690</v>
      </c>
      <c r="E55" s="479">
        <v>740</v>
      </c>
      <c r="F55" s="482">
        <v>740</v>
      </c>
      <c r="G55" s="481">
        <v>740</v>
      </c>
      <c r="H55" s="481">
        <v>790</v>
      </c>
      <c r="I55" s="481">
        <v>790</v>
      </c>
      <c r="J55" s="486">
        <v>790</v>
      </c>
      <c r="K55" s="486"/>
      <c r="L55" s="486">
        <v>790</v>
      </c>
      <c r="M55" s="486">
        <v>790</v>
      </c>
      <c r="N55" s="486"/>
      <c r="O55" s="487">
        <v>790</v>
      </c>
      <c r="P55" s="476">
        <f>SUM(C55:O56)</f>
        <v>8340</v>
      </c>
    </row>
    <row r="56" spans="1:16">
      <c r="A56" s="468"/>
      <c r="B56" s="490"/>
      <c r="C56" s="480"/>
      <c r="D56" s="480"/>
      <c r="E56" s="480"/>
      <c r="F56" s="482"/>
      <c r="G56" s="482"/>
      <c r="H56" s="482"/>
      <c r="I56" s="482"/>
      <c r="J56" s="486"/>
      <c r="K56" s="486"/>
      <c r="L56" s="486"/>
      <c r="M56" s="486"/>
      <c r="N56" s="486"/>
      <c r="O56" s="488"/>
      <c r="P56" s="445"/>
    </row>
    <row r="57" spans="1:16">
      <c r="A57" s="468"/>
      <c r="B57" s="76" t="s">
        <v>363</v>
      </c>
      <c r="C57" s="97">
        <v>45328</v>
      </c>
      <c r="D57" s="65">
        <v>45355</v>
      </c>
      <c r="E57" s="65">
        <v>45384</v>
      </c>
      <c r="F57" s="65">
        <v>45414</v>
      </c>
      <c r="G57" s="65">
        <v>45449</v>
      </c>
      <c r="H57" s="65">
        <v>45496</v>
      </c>
      <c r="I57" s="65">
        <v>45505</v>
      </c>
      <c r="J57" s="65">
        <v>45568</v>
      </c>
      <c r="K57" s="65"/>
      <c r="L57" s="65">
        <v>45615</v>
      </c>
      <c r="M57" s="65">
        <v>45629</v>
      </c>
      <c r="N57" s="54"/>
      <c r="O57" s="64">
        <v>45663</v>
      </c>
      <c r="P57" s="101"/>
    </row>
    <row r="58" spans="1:16">
      <c r="A58" s="478"/>
      <c r="B58" s="79" t="s">
        <v>377</v>
      </c>
      <c r="C58" s="73" t="s">
        <v>386</v>
      </c>
      <c r="D58" s="54" t="s">
        <v>368</v>
      </c>
      <c r="E58" s="54" t="s">
        <v>385</v>
      </c>
      <c r="F58" s="54" t="s">
        <v>386</v>
      </c>
      <c r="G58" s="54" t="s">
        <v>385</v>
      </c>
      <c r="H58" s="54" t="s">
        <v>374</v>
      </c>
      <c r="I58" s="54" t="s">
        <v>385</v>
      </c>
      <c r="J58" s="54" t="s">
        <v>386</v>
      </c>
      <c r="K58" s="54"/>
      <c r="L58" s="54" t="s">
        <v>386</v>
      </c>
      <c r="M58" s="54" t="s">
        <v>385</v>
      </c>
      <c r="N58" s="54"/>
      <c r="O58" s="54" t="s">
        <v>386</v>
      </c>
      <c r="P58" s="101"/>
    </row>
    <row r="59" spans="1:16" ht="15" customHeight="1">
      <c r="A59" s="485">
        <v>19</v>
      </c>
      <c r="B59" s="489" t="s">
        <v>316</v>
      </c>
      <c r="C59" s="479">
        <v>270</v>
      </c>
      <c r="D59" s="479"/>
      <c r="E59" s="479"/>
      <c r="F59" s="479"/>
      <c r="G59" s="479"/>
      <c r="H59" s="481"/>
      <c r="I59" s="481"/>
      <c r="J59" s="481"/>
      <c r="K59" s="482"/>
      <c r="L59" s="482"/>
      <c r="M59" s="482"/>
      <c r="N59" s="482"/>
      <c r="O59" s="491"/>
      <c r="P59" s="476">
        <f>SUM(C59:O60)</f>
        <v>270</v>
      </c>
    </row>
    <row r="60" spans="1:16">
      <c r="A60" s="468"/>
      <c r="B60" s="490"/>
      <c r="C60" s="480"/>
      <c r="D60" s="480"/>
      <c r="E60" s="480"/>
      <c r="F60" s="480"/>
      <c r="G60" s="480"/>
      <c r="H60" s="482"/>
      <c r="I60" s="482"/>
      <c r="J60" s="482"/>
      <c r="K60" s="482"/>
      <c r="L60" s="482"/>
      <c r="M60" s="482"/>
      <c r="N60" s="482"/>
      <c r="O60" s="492"/>
      <c r="P60" s="445"/>
    </row>
    <row r="61" spans="1:16">
      <c r="A61" s="468"/>
      <c r="B61" s="81" t="s">
        <v>363</v>
      </c>
      <c r="C61" s="97">
        <v>45547</v>
      </c>
      <c r="D61" s="97"/>
      <c r="E61" s="97"/>
      <c r="F61" s="97"/>
      <c r="G61" s="97"/>
      <c r="H61" s="65"/>
      <c r="I61" s="65"/>
      <c r="J61" s="65"/>
      <c r="K61" s="54"/>
      <c r="L61" s="54"/>
      <c r="M61" s="54"/>
      <c r="N61" s="54"/>
      <c r="O61" s="54"/>
      <c r="P61" s="101"/>
    </row>
    <row r="62" spans="1:16">
      <c r="A62" s="501"/>
      <c r="B62" s="76" t="s">
        <v>377</v>
      </c>
      <c r="C62" s="73" t="s">
        <v>384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101"/>
    </row>
    <row r="63" spans="1:16" ht="15" customHeight="1">
      <c r="A63" s="467">
        <v>21</v>
      </c>
      <c r="B63" s="545" t="s">
        <v>317</v>
      </c>
      <c r="C63" s="528">
        <v>890</v>
      </c>
      <c r="D63" s="528">
        <v>890</v>
      </c>
      <c r="E63" s="483">
        <v>890</v>
      </c>
      <c r="F63" s="483"/>
      <c r="G63" s="483">
        <v>890</v>
      </c>
      <c r="H63" s="483">
        <v>890</v>
      </c>
      <c r="I63" s="483">
        <v>890</v>
      </c>
      <c r="J63" s="483"/>
      <c r="K63" s="483"/>
      <c r="L63" s="483"/>
      <c r="M63" s="482"/>
      <c r="N63" s="482"/>
      <c r="O63" s="491"/>
      <c r="P63" s="476">
        <f>SUM(C63:O64)</f>
        <v>5340</v>
      </c>
    </row>
    <row r="64" spans="1:16">
      <c r="A64" s="468"/>
      <c r="B64" s="490"/>
      <c r="C64" s="529"/>
      <c r="D64" s="529"/>
      <c r="E64" s="484"/>
      <c r="F64" s="484"/>
      <c r="G64" s="484"/>
      <c r="H64" s="484"/>
      <c r="I64" s="484"/>
      <c r="J64" s="484"/>
      <c r="K64" s="484"/>
      <c r="L64" s="484"/>
      <c r="M64" s="482"/>
      <c r="N64" s="482"/>
      <c r="O64" s="492"/>
      <c r="P64" s="445"/>
    </row>
    <row r="65" spans="1:16">
      <c r="A65" s="468"/>
      <c r="B65" s="76" t="s">
        <v>363</v>
      </c>
      <c r="C65" s="97">
        <v>45324</v>
      </c>
      <c r="D65" s="65">
        <v>45359</v>
      </c>
      <c r="E65" s="65">
        <v>45412</v>
      </c>
      <c r="F65" s="66"/>
      <c r="G65" s="65">
        <v>45448</v>
      </c>
      <c r="H65" s="65">
        <v>45476</v>
      </c>
      <c r="I65" s="65">
        <v>45516</v>
      </c>
      <c r="J65" s="65"/>
      <c r="K65" s="65"/>
      <c r="L65" s="65"/>
      <c r="M65" s="54"/>
      <c r="N65" s="54"/>
      <c r="O65" s="54"/>
      <c r="P65" s="101"/>
    </row>
    <row r="66" spans="1:16">
      <c r="A66" s="501"/>
      <c r="B66" s="79" t="s">
        <v>377</v>
      </c>
      <c r="C66" s="73" t="s">
        <v>386</v>
      </c>
      <c r="D66" s="54" t="s">
        <v>386</v>
      </c>
      <c r="E66" s="54" t="s">
        <v>386</v>
      </c>
      <c r="F66" s="54"/>
      <c r="G66" s="54" t="s">
        <v>385</v>
      </c>
      <c r="H66" s="54" t="s">
        <v>386</v>
      </c>
      <c r="I66" s="54" t="s">
        <v>386</v>
      </c>
      <c r="J66" s="54"/>
      <c r="K66" s="54"/>
      <c r="L66" s="54"/>
      <c r="M66" s="54"/>
      <c r="N66" s="54"/>
      <c r="O66" s="54"/>
      <c r="P66" s="101"/>
    </row>
    <row r="67" spans="1:16" ht="15" customHeight="1">
      <c r="A67" s="467">
        <v>25</v>
      </c>
      <c r="B67" s="489" t="s">
        <v>172</v>
      </c>
      <c r="C67" s="528">
        <v>820</v>
      </c>
      <c r="D67" s="528">
        <v>820</v>
      </c>
      <c r="E67" s="528">
        <v>820</v>
      </c>
      <c r="F67" s="486">
        <v>820</v>
      </c>
      <c r="G67" s="486">
        <v>820</v>
      </c>
      <c r="H67" s="486">
        <v>820</v>
      </c>
      <c r="I67" s="486">
        <v>820</v>
      </c>
      <c r="J67" s="486"/>
      <c r="K67" s="486"/>
      <c r="L67" s="486"/>
      <c r="M67" s="486"/>
      <c r="N67" s="486"/>
      <c r="O67" s="487"/>
      <c r="P67" s="476">
        <f>SUM(C67:O68)</f>
        <v>5740</v>
      </c>
    </row>
    <row r="68" spans="1:16">
      <c r="A68" s="468"/>
      <c r="B68" s="490"/>
      <c r="C68" s="529"/>
      <c r="D68" s="529"/>
      <c r="E68" s="529"/>
      <c r="F68" s="486"/>
      <c r="G68" s="486"/>
      <c r="H68" s="486"/>
      <c r="I68" s="486"/>
      <c r="J68" s="486"/>
      <c r="K68" s="486"/>
      <c r="L68" s="486"/>
      <c r="M68" s="486"/>
      <c r="N68" s="486"/>
      <c r="O68" s="488"/>
      <c r="P68" s="445"/>
    </row>
    <row r="69" spans="1:16">
      <c r="A69" s="468"/>
      <c r="B69" s="76" t="s">
        <v>363</v>
      </c>
      <c r="C69" s="97">
        <v>45345</v>
      </c>
      <c r="D69" s="65">
        <v>45434</v>
      </c>
      <c r="E69" s="65">
        <v>45434</v>
      </c>
      <c r="F69" s="65">
        <v>45516</v>
      </c>
      <c r="G69" s="65">
        <v>45516</v>
      </c>
      <c r="H69" s="65">
        <v>45604</v>
      </c>
      <c r="I69" s="65">
        <v>45604</v>
      </c>
      <c r="J69" s="54"/>
      <c r="K69" s="54"/>
      <c r="L69" s="54"/>
      <c r="M69" s="54"/>
      <c r="N69" s="54"/>
      <c r="O69" s="54"/>
      <c r="P69" s="101"/>
    </row>
    <row r="70" spans="1:16">
      <c r="A70" s="478"/>
      <c r="B70" s="79" t="s">
        <v>377</v>
      </c>
      <c r="C70" s="73" t="s">
        <v>386</v>
      </c>
      <c r="D70" s="54" t="s">
        <v>386</v>
      </c>
      <c r="E70" s="54" t="s">
        <v>386</v>
      </c>
      <c r="F70" s="54" t="s">
        <v>386</v>
      </c>
      <c r="G70" s="54" t="s">
        <v>368</v>
      </c>
      <c r="H70" s="54" t="s">
        <v>386</v>
      </c>
      <c r="I70" s="54" t="s">
        <v>386</v>
      </c>
      <c r="J70" s="54"/>
      <c r="K70" s="54"/>
      <c r="L70" s="54"/>
      <c r="M70" s="54"/>
      <c r="N70" s="54"/>
      <c r="O70" s="54"/>
      <c r="P70" s="101"/>
    </row>
    <row r="71" spans="1:16" ht="25.5" customHeight="1">
      <c r="A71" s="467">
        <v>27</v>
      </c>
      <c r="B71" s="489" t="s">
        <v>18</v>
      </c>
      <c r="C71" s="480"/>
      <c r="D71" s="482"/>
      <c r="E71" s="482"/>
      <c r="F71" s="473"/>
      <c r="G71" s="473">
        <v>900</v>
      </c>
      <c r="H71" s="473">
        <v>900</v>
      </c>
      <c r="I71" s="473">
        <v>900</v>
      </c>
      <c r="J71" s="473">
        <v>900</v>
      </c>
      <c r="K71" s="473">
        <v>900</v>
      </c>
      <c r="L71" s="473">
        <v>900</v>
      </c>
      <c r="M71" s="473">
        <v>900</v>
      </c>
      <c r="N71" s="473">
        <v>900</v>
      </c>
      <c r="O71" s="474"/>
      <c r="P71" s="476">
        <f>SUM(C71:O72)</f>
        <v>7200</v>
      </c>
    </row>
    <row r="72" spans="1:16">
      <c r="A72" s="468"/>
      <c r="B72" s="490"/>
      <c r="C72" s="480"/>
      <c r="D72" s="482"/>
      <c r="E72" s="482"/>
      <c r="F72" s="473"/>
      <c r="G72" s="473"/>
      <c r="H72" s="473"/>
      <c r="I72" s="473"/>
      <c r="J72" s="473"/>
      <c r="K72" s="473"/>
      <c r="L72" s="473"/>
      <c r="M72" s="473"/>
      <c r="N72" s="473"/>
      <c r="O72" s="475"/>
      <c r="P72" s="445"/>
    </row>
    <row r="73" spans="1:16">
      <c r="A73" s="468"/>
      <c r="B73" s="81" t="s">
        <v>363</v>
      </c>
      <c r="C73" s="73"/>
      <c r="D73" s="54"/>
      <c r="E73" s="54"/>
      <c r="F73" s="54"/>
      <c r="G73" s="65">
        <v>45814</v>
      </c>
      <c r="H73" s="65">
        <v>45842</v>
      </c>
      <c r="I73" s="65">
        <v>45876</v>
      </c>
      <c r="J73" s="65">
        <v>45904</v>
      </c>
      <c r="K73" s="65">
        <v>45932</v>
      </c>
      <c r="L73" s="65">
        <v>45966</v>
      </c>
      <c r="M73" s="65">
        <v>45995</v>
      </c>
      <c r="N73" s="65">
        <v>45995</v>
      </c>
      <c r="O73" s="54"/>
      <c r="P73" s="101"/>
    </row>
    <row r="74" spans="1:16">
      <c r="A74" s="478"/>
      <c r="B74" s="76" t="s">
        <v>377</v>
      </c>
      <c r="C74" s="73"/>
      <c r="D74" s="54"/>
      <c r="E74" s="54"/>
      <c r="F74" s="54"/>
      <c r="G74" s="54" t="s">
        <v>384</v>
      </c>
      <c r="H74" s="54" t="s">
        <v>384</v>
      </c>
      <c r="I74" s="54" t="s">
        <v>384</v>
      </c>
      <c r="J74" s="54" t="s">
        <v>384</v>
      </c>
      <c r="K74" s="54" t="s">
        <v>384</v>
      </c>
      <c r="L74" s="54" t="s">
        <v>384</v>
      </c>
      <c r="M74" s="54" t="s">
        <v>384</v>
      </c>
      <c r="N74" s="54" t="s">
        <v>384</v>
      </c>
      <c r="O74" s="54"/>
      <c r="P74" s="101"/>
    </row>
    <row r="75" spans="1:16" ht="15" customHeight="1">
      <c r="A75" s="485">
        <v>30</v>
      </c>
      <c r="B75" s="489" t="s">
        <v>318</v>
      </c>
      <c r="C75" s="479">
        <v>630</v>
      </c>
      <c r="D75" s="479">
        <v>630</v>
      </c>
      <c r="E75" s="479">
        <v>630</v>
      </c>
      <c r="F75" s="479">
        <v>630</v>
      </c>
      <c r="G75" s="479">
        <v>630</v>
      </c>
      <c r="H75" s="479">
        <v>630</v>
      </c>
      <c r="I75" s="479">
        <v>630</v>
      </c>
      <c r="J75" s="479">
        <v>630</v>
      </c>
      <c r="K75" s="479">
        <v>630</v>
      </c>
      <c r="L75" s="479">
        <v>630</v>
      </c>
      <c r="M75" s="479">
        <v>630</v>
      </c>
      <c r="N75" s="479">
        <v>630</v>
      </c>
      <c r="O75" s="479">
        <v>630</v>
      </c>
      <c r="P75" s="476">
        <f>SUM(C75:O76)</f>
        <v>8190</v>
      </c>
    </row>
    <row r="76" spans="1:16">
      <c r="A76" s="468"/>
      <c r="B76" s="490"/>
      <c r="C76" s="480"/>
      <c r="D76" s="480"/>
      <c r="E76" s="480"/>
      <c r="F76" s="480"/>
      <c r="G76" s="480"/>
      <c r="H76" s="480"/>
      <c r="I76" s="480"/>
      <c r="J76" s="480"/>
      <c r="K76" s="480"/>
      <c r="L76" s="480"/>
      <c r="M76" s="480"/>
      <c r="N76" s="480"/>
      <c r="O76" s="480"/>
      <c r="P76" s="445"/>
    </row>
    <row r="77" spans="1:16">
      <c r="A77" s="468"/>
      <c r="B77" s="78" t="s">
        <v>363</v>
      </c>
      <c r="C77" s="97">
        <v>45762</v>
      </c>
      <c r="D77" s="97">
        <v>45762</v>
      </c>
      <c r="E77" s="97">
        <v>45762</v>
      </c>
      <c r="F77" s="97">
        <v>45762</v>
      </c>
      <c r="G77" s="97">
        <v>45762</v>
      </c>
      <c r="H77" s="97">
        <v>45762</v>
      </c>
      <c r="I77" s="97">
        <v>45762</v>
      </c>
      <c r="J77" s="97">
        <v>45762</v>
      </c>
      <c r="K77" s="97">
        <v>45762</v>
      </c>
      <c r="L77" s="97">
        <v>45762</v>
      </c>
      <c r="M77" s="97">
        <v>45762</v>
      </c>
      <c r="N77" s="97">
        <v>45762</v>
      </c>
      <c r="O77" s="97">
        <v>45762</v>
      </c>
      <c r="P77" s="101"/>
    </row>
    <row r="78" spans="1:16">
      <c r="A78" s="501"/>
      <c r="B78" s="79" t="s">
        <v>377</v>
      </c>
      <c r="C78" s="73" t="s">
        <v>384</v>
      </c>
      <c r="D78" s="73" t="s">
        <v>384</v>
      </c>
      <c r="E78" s="73" t="s">
        <v>384</v>
      </c>
      <c r="F78" s="73" t="s">
        <v>384</v>
      </c>
      <c r="G78" s="73" t="s">
        <v>384</v>
      </c>
      <c r="H78" s="73" t="s">
        <v>384</v>
      </c>
      <c r="I78" s="73" t="s">
        <v>384</v>
      </c>
      <c r="J78" s="73" t="s">
        <v>384</v>
      </c>
      <c r="K78" s="73" t="s">
        <v>384</v>
      </c>
      <c r="L78" s="73" t="s">
        <v>384</v>
      </c>
      <c r="M78" s="73" t="s">
        <v>384</v>
      </c>
      <c r="N78" s="73" t="s">
        <v>384</v>
      </c>
      <c r="O78" s="73" t="s">
        <v>384</v>
      </c>
      <c r="P78" s="101"/>
    </row>
    <row r="79" spans="1:16" ht="25.5" customHeight="1">
      <c r="A79" s="467">
        <v>31</v>
      </c>
      <c r="B79" s="489" t="s">
        <v>175</v>
      </c>
      <c r="C79" s="573">
        <v>1400</v>
      </c>
      <c r="D79" s="481">
        <v>1400</v>
      </c>
      <c r="E79" s="481">
        <v>1400</v>
      </c>
      <c r="F79" s="481">
        <v>1400</v>
      </c>
      <c r="G79" s="481">
        <v>1400</v>
      </c>
      <c r="H79" s="481">
        <v>1400</v>
      </c>
      <c r="I79" s="481">
        <v>1400</v>
      </c>
      <c r="J79" s="481">
        <v>1400</v>
      </c>
      <c r="K79" s="486">
        <v>1400</v>
      </c>
      <c r="L79" s="486">
        <v>1400</v>
      </c>
      <c r="M79" s="486">
        <v>1400</v>
      </c>
      <c r="N79" s="486">
        <v>1400</v>
      </c>
      <c r="O79" s="487">
        <v>1400</v>
      </c>
      <c r="P79" s="476">
        <f>SUM(C79:O80)</f>
        <v>18200</v>
      </c>
    </row>
    <row r="80" spans="1:16">
      <c r="A80" s="468"/>
      <c r="B80" s="490"/>
      <c r="C80" s="574"/>
      <c r="D80" s="482"/>
      <c r="E80" s="482"/>
      <c r="F80" s="482"/>
      <c r="G80" s="482"/>
      <c r="H80" s="482"/>
      <c r="I80" s="482"/>
      <c r="J80" s="482"/>
      <c r="K80" s="486"/>
      <c r="L80" s="486"/>
      <c r="M80" s="486"/>
      <c r="N80" s="486"/>
      <c r="O80" s="488"/>
      <c r="P80" s="445"/>
    </row>
    <row r="81" spans="1:16">
      <c r="A81" s="468"/>
      <c r="B81" s="81" t="s">
        <v>363</v>
      </c>
      <c r="C81" s="97">
        <v>45377</v>
      </c>
      <c r="D81" s="65">
        <v>45377</v>
      </c>
      <c r="E81" s="65">
        <v>45435</v>
      </c>
      <c r="F81" s="65">
        <v>45435</v>
      </c>
      <c r="G81" s="65">
        <v>45477</v>
      </c>
      <c r="H81" s="65">
        <v>45498</v>
      </c>
      <c r="I81" s="65">
        <v>45541</v>
      </c>
      <c r="J81" s="65">
        <v>45575</v>
      </c>
      <c r="K81" s="65">
        <v>45575</v>
      </c>
      <c r="L81" s="64">
        <v>45659</v>
      </c>
      <c r="M81" s="64">
        <v>45659</v>
      </c>
      <c r="N81" s="64">
        <v>45659</v>
      </c>
      <c r="O81" s="64">
        <v>45319</v>
      </c>
      <c r="P81" s="101"/>
    </row>
    <row r="82" spans="1:16">
      <c r="A82" s="478"/>
      <c r="B82" s="76" t="s">
        <v>377</v>
      </c>
      <c r="C82" s="73" t="s">
        <v>371</v>
      </c>
      <c r="D82" s="54" t="s">
        <v>371</v>
      </c>
      <c r="E82" s="54" t="s">
        <v>386</v>
      </c>
      <c r="F82" s="54" t="s">
        <v>386</v>
      </c>
      <c r="G82" s="54" t="s">
        <v>368</v>
      </c>
      <c r="H82" s="54" t="s">
        <v>386</v>
      </c>
      <c r="I82" s="54" t="s">
        <v>386</v>
      </c>
      <c r="J82" s="54" t="s">
        <v>386</v>
      </c>
      <c r="K82" s="54" t="s">
        <v>386</v>
      </c>
      <c r="L82" s="54" t="s">
        <v>386</v>
      </c>
      <c r="M82" s="54" t="s">
        <v>386</v>
      </c>
      <c r="N82" s="54" t="s">
        <v>386</v>
      </c>
      <c r="O82" s="54" t="s">
        <v>386</v>
      </c>
      <c r="P82" s="101"/>
    </row>
    <row r="83" spans="1:16" ht="25.5" customHeight="1">
      <c r="A83" s="467">
        <v>32</v>
      </c>
      <c r="B83" s="470" t="s">
        <v>176</v>
      </c>
      <c r="C83" s="479">
        <v>880</v>
      </c>
      <c r="D83" s="481">
        <v>1019</v>
      </c>
      <c r="E83" s="481">
        <v>850</v>
      </c>
      <c r="F83" s="481">
        <v>850</v>
      </c>
      <c r="G83" s="481">
        <v>850</v>
      </c>
      <c r="H83" s="481">
        <v>850</v>
      </c>
      <c r="I83" s="481">
        <v>850</v>
      </c>
      <c r="J83" s="481"/>
      <c r="K83" s="481">
        <v>850</v>
      </c>
      <c r="L83" s="486">
        <v>850</v>
      </c>
      <c r="M83" s="486">
        <v>850</v>
      </c>
      <c r="N83" s="486">
        <v>850</v>
      </c>
      <c r="O83" s="487">
        <v>850</v>
      </c>
      <c r="P83" s="476">
        <f>SUM(C83:O84)</f>
        <v>10399</v>
      </c>
    </row>
    <row r="84" spans="1:16">
      <c r="A84" s="468"/>
      <c r="B84" s="471"/>
      <c r="C84" s="480"/>
      <c r="D84" s="482"/>
      <c r="E84" s="482"/>
      <c r="F84" s="482"/>
      <c r="G84" s="482"/>
      <c r="H84" s="482"/>
      <c r="I84" s="482"/>
      <c r="J84" s="482"/>
      <c r="K84" s="482"/>
      <c r="L84" s="486"/>
      <c r="M84" s="486"/>
      <c r="N84" s="486"/>
      <c r="O84" s="488"/>
      <c r="P84" s="445"/>
    </row>
    <row r="85" spans="1:16">
      <c r="A85" s="468"/>
      <c r="B85" s="79" t="s">
        <v>363</v>
      </c>
      <c r="C85" s="97">
        <v>45338</v>
      </c>
      <c r="D85" s="65">
        <v>45359</v>
      </c>
      <c r="E85" s="65">
        <v>45393</v>
      </c>
      <c r="F85" s="64">
        <v>45422</v>
      </c>
      <c r="G85" s="65">
        <v>45454</v>
      </c>
      <c r="H85" s="65">
        <v>45484</v>
      </c>
      <c r="I85" s="65">
        <v>45516</v>
      </c>
      <c r="J85" s="65"/>
      <c r="K85" s="65">
        <v>45946</v>
      </c>
      <c r="L85" s="65">
        <v>45979</v>
      </c>
      <c r="M85" s="65">
        <v>46001</v>
      </c>
      <c r="N85" s="65">
        <v>46001</v>
      </c>
      <c r="O85" s="64">
        <v>45670</v>
      </c>
      <c r="P85" s="101"/>
    </row>
    <row r="86" spans="1:16">
      <c r="A86" s="501"/>
      <c r="B86" s="80" t="s">
        <v>377</v>
      </c>
      <c r="C86" s="73" t="s">
        <v>386</v>
      </c>
      <c r="D86" s="54" t="s">
        <v>371</v>
      </c>
      <c r="E86" s="54" t="s">
        <v>371</v>
      </c>
      <c r="F86" s="54" t="s">
        <v>386</v>
      </c>
      <c r="G86" s="54" t="s">
        <v>385</v>
      </c>
      <c r="H86" s="54" t="s">
        <v>384</v>
      </c>
      <c r="I86" s="54" t="s">
        <v>384</v>
      </c>
      <c r="J86" s="54"/>
      <c r="K86" s="54" t="s">
        <v>384</v>
      </c>
      <c r="L86" s="54" t="s">
        <v>384</v>
      </c>
      <c r="M86" s="54" t="s">
        <v>384</v>
      </c>
      <c r="N86" s="54" t="s">
        <v>384</v>
      </c>
      <c r="O86" s="54" t="s">
        <v>384</v>
      </c>
      <c r="P86" s="101"/>
    </row>
    <row r="87" spans="1:16">
      <c r="A87" s="536">
        <v>34</v>
      </c>
      <c r="B87" s="536" t="s">
        <v>382</v>
      </c>
      <c r="C87" s="569"/>
      <c r="D87" s="483"/>
      <c r="E87" s="483"/>
      <c r="F87" s="483"/>
      <c r="G87" s="483"/>
      <c r="H87" s="483"/>
      <c r="I87" s="483"/>
      <c r="J87" s="483"/>
      <c r="K87" s="483"/>
      <c r="L87" s="491"/>
      <c r="M87" s="491"/>
      <c r="N87" s="491"/>
      <c r="O87" s="491"/>
      <c r="P87" s="476">
        <f>SUM(C87:O88)</f>
        <v>0</v>
      </c>
    </row>
    <row r="88" spans="1:16">
      <c r="A88" s="536"/>
      <c r="B88" s="536"/>
      <c r="C88" s="570"/>
      <c r="D88" s="492"/>
      <c r="E88" s="492"/>
      <c r="F88" s="492"/>
      <c r="G88" s="492"/>
      <c r="H88" s="492"/>
      <c r="I88" s="492"/>
      <c r="J88" s="492"/>
      <c r="K88" s="492"/>
      <c r="L88" s="492"/>
      <c r="M88" s="492"/>
      <c r="N88" s="492"/>
      <c r="O88" s="492"/>
      <c r="P88" s="445"/>
    </row>
    <row r="89" spans="1:16">
      <c r="A89" s="536"/>
      <c r="B89" s="76" t="s">
        <v>363</v>
      </c>
      <c r="C89" s="73"/>
      <c r="D89" s="65"/>
      <c r="E89" s="65"/>
      <c r="F89" s="65"/>
      <c r="G89" s="65"/>
      <c r="H89" s="65"/>
      <c r="I89" s="65"/>
      <c r="J89" s="65"/>
      <c r="K89" s="65"/>
      <c r="L89" s="54"/>
      <c r="M89" s="54"/>
      <c r="N89" s="54"/>
      <c r="O89" s="54"/>
      <c r="P89" s="101"/>
    </row>
    <row r="90" spans="1:16">
      <c r="A90" s="536"/>
      <c r="B90" s="76" t="s">
        <v>377</v>
      </c>
      <c r="C90" s="73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101"/>
    </row>
    <row r="91" spans="1:16" ht="15" customHeight="1">
      <c r="A91" s="467">
        <v>33</v>
      </c>
      <c r="B91" s="470" t="s">
        <v>1249</v>
      </c>
      <c r="C91" s="479">
        <v>600</v>
      </c>
      <c r="D91" s="479">
        <v>600</v>
      </c>
      <c r="E91" s="479">
        <v>600</v>
      </c>
      <c r="F91" s="481">
        <v>600</v>
      </c>
      <c r="G91" s="481">
        <v>600</v>
      </c>
      <c r="H91" s="481">
        <v>600</v>
      </c>
      <c r="I91" s="481">
        <v>600</v>
      </c>
      <c r="J91" s="481">
        <v>600</v>
      </c>
      <c r="K91" s="481">
        <v>600</v>
      </c>
      <c r="L91" s="486">
        <v>600</v>
      </c>
      <c r="M91" s="486">
        <v>600</v>
      </c>
      <c r="N91" s="486">
        <v>600</v>
      </c>
      <c r="O91" s="487">
        <v>600</v>
      </c>
      <c r="P91" s="476">
        <f>SUM(C91:O92)</f>
        <v>7800</v>
      </c>
    </row>
    <row r="92" spans="1:16">
      <c r="A92" s="468"/>
      <c r="B92" s="496"/>
      <c r="C92" s="480"/>
      <c r="D92" s="480"/>
      <c r="E92" s="480"/>
      <c r="F92" s="482"/>
      <c r="G92" s="482"/>
      <c r="H92" s="482"/>
      <c r="I92" s="482"/>
      <c r="J92" s="482"/>
      <c r="K92" s="482"/>
      <c r="L92" s="486"/>
      <c r="M92" s="486"/>
      <c r="N92" s="486"/>
      <c r="O92" s="488"/>
      <c r="P92" s="445"/>
    </row>
    <row r="93" spans="1:16">
      <c r="A93" s="468"/>
      <c r="B93" s="76" t="s">
        <v>363</v>
      </c>
      <c r="C93" s="97">
        <v>45337</v>
      </c>
      <c r="D93" s="65">
        <v>45366</v>
      </c>
      <c r="E93" s="65">
        <v>45399</v>
      </c>
      <c r="F93" s="65">
        <v>45415</v>
      </c>
      <c r="G93" s="65">
        <v>45453</v>
      </c>
      <c r="H93" s="65">
        <v>45488</v>
      </c>
      <c r="I93" s="65">
        <v>45517</v>
      </c>
      <c r="J93" s="65">
        <v>45548</v>
      </c>
      <c r="K93" s="65">
        <v>45579</v>
      </c>
      <c r="L93" s="65">
        <v>45974</v>
      </c>
      <c r="M93" s="65">
        <v>45642</v>
      </c>
      <c r="N93" s="65">
        <v>45642</v>
      </c>
      <c r="O93" s="64">
        <v>45672</v>
      </c>
      <c r="P93" s="101"/>
    </row>
    <row r="94" spans="1:16">
      <c r="A94" s="501"/>
      <c r="B94" s="80" t="s">
        <v>377</v>
      </c>
      <c r="C94" s="73" t="s">
        <v>386</v>
      </c>
      <c r="D94" s="54" t="s">
        <v>386</v>
      </c>
      <c r="E94" s="54" t="s">
        <v>386</v>
      </c>
      <c r="F94" s="54" t="s">
        <v>371</v>
      </c>
      <c r="G94" s="54" t="s">
        <v>384</v>
      </c>
      <c r="H94" s="54" t="s">
        <v>386</v>
      </c>
      <c r="I94" s="54" t="s">
        <v>386</v>
      </c>
      <c r="J94" s="54" t="s">
        <v>386</v>
      </c>
      <c r="K94" s="54" t="s">
        <v>386</v>
      </c>
      <c r="L94" s="54" t="s">
        <v>384</v>
      </c>
      <c r="M94" s="54" t="s">
        <v>386</v>
      </c>
      <c r="N94" s="54" t="s">
        <v>386</v>
      </c>
      <c r="O94" s="54" t="s">
        <v>386</v>
      </c>
      <c r="P94" s="101"/>
    </row>
    <row r="95" spans="1:16">
      <c r="A95" s="467">
        <v>38</v>
      </c>
      <c r="B95" s="489" t="s">
        <v>177</v>
      </c>
      <c r="C95" s="479">
        <v>645</v>
      </c>
      <c r="D95" s="479">
        <v>645</v>
      </c>
      <c r="E95" s="481">
        <v>645</v>
      </c>
      <c r="F95" s="481">
        <v>645</v>
      </c>
      <c r="G95" s="481">
        <v>645</v>
      </c>
      <c r="H95" s="481">
        <v>645</v>
      </c>
      <c r="I95" s="481">
        <v>645</v>
      </c>
      <c r="J95" s="481">
        <v>645</v>
      </c>
      <c r="K95" s="481">
        <v>645</v>
      </c>
      <c r="L95" s="486">
        <v>645</v>
      </c>
      <c r="M95" s="486">
        <v>645</v>
      </c>
      <c r="N95" s="486">
        <v>645</v>
      </c>
      <c r="O95" s="487">
        <v>645</v>
      </c>
      <c r="P95" s="476">
        <f>SUM(C95:O96)</f>
        <v>8385</v>
      </c>
    </row>
    <row r="96" spans="1:16">
      <c r="A96" s="468"/>
      <c r="B96" s="490"/>
      <c r="C96" s="480"/>
      <c r="D96" s="480"/>
      <c r="E96" s="482"/>
      <c r="F96" s="482"/>
      <c r="G96" s="482"/>
      <c r="H96" s="482"/>
      <c r="I96" s="482"/>
      <c r="J96" s="482"/>
      <c r="K96" s="482"/>
      <c r="L96" s="486"/>
      <c r="M96" s="486"/>
      <c r="N96" s="486"/>
      <c r="O96" s="488"/>
      <c r="P96" s="445"/>
    </row>
    <row r="97" spans="1:16">
      <c r="A97" s="468"/>
      <c r="B97" s="80" t="s">
        <v>363</v>
      </c>
      <c r="C97" s="97">
        <v>45328</v>
      </c>
      <c r="D97" s="97">
        <v>45356</v>
      </c>
      <c r="E97" s="65">
        <v>45387</v>
      </c>
      <c r="F97" s="65">
        <v>45419</v>
      </c>
      <c r="G97" s="65">
        <v>45450</v>
      </c>
      <c r="H97" s="65">
        <v>45479</v>
      </c>
      <c r="I97" s="65">
        <v>45510</v>
      </c>
      <c r="J97" s="65">
        <v>45541</v>
      </c>
      <c r="K97" s="65">
        <v>45573</v>
      </c>
      <c r="L97" s="65">
        <v>45603</v>
      </c>
      <c r="M97" s="65">
        <v>45635</v>
      </c>
      <c r="N97" s="65">
        <v>46000</v>
      </c>
      <c r="O97" s="64">
        <v>45665</v>
      </c>
      <c r="P97" s="101"/>
    </row>
    <row r="98" spans="1:16">
      <c r="A98" s="478"/>
      <c r="B98" s="76" t="s">
        <v>377</v>
      </c>
      <c r="C98" s="73" t="s">
        <v>386</v>
      </c>
      <c r="D98" s="73" t="s">
        <v>368</v>
      </c>
      <c r="E98" s="54" t="s">
        <v>386</v>
      </c>
      <c r="F98" s="54" t="s">
        <v>386</v>
      </c>
      <c r="G98" s="54" t="s">
        <v>386</v>
      </c>
      <c r="H98" s="54" t="s">
        <v>386</v>
      </c>
      <c r="I98" s="54" t="s">
        <v>386</v>
      </c>
      <c r="J98" s="54" t="s">
        <v>386</v>
      </c>
      <c r="K98" s="54" t="s">
        <v>386</v>
      </c>
      <c r="L98" s="54" t="s">
        <v>386</v>
      </c>
      <c r="M98" s="54" t="s">
        <v>386</v>
      </c>
      <c r="N98" s="54" t="s">
        <v>386</v>
      </c>
      <c r="O98" s="54" t="s">
        <v>386</v>
      </c>
      <c r="P98" s="101"/>
    </row>
    <row r="99" spans="1:16" ht="15" customHeight="1">
      <c r="A99" s="467">
        <v>39</v>
      </c>
      <c r="B99" s="497" t="s">
        <v>178</v>
      </c>
      <c r="C99" s="481">
        <v>720</v>
      </c>
      <c r="D99" s="481">
        <v>720</v>
      </c>
      <c r="E99" s="481">
        <v>720</v>
      </c>
      <c r="F99" s="481">
        <v>720</v>
      </c>
      <c r="G99" s="481">
        <v>720</v>
      </c>
      <c r="H99" s="481">
        <v>720</v>
      </c>
      <c r="I99" s="481">
        <v>720</v>
      </c>
      <c r="J99" s="481">
        <v>720</v>
      </c>
      <c r="K99" s="481">
        <v>720</v>
      </c>
      <c r="L99" s="481">
        <v>720</v>
      </c>
      <c r="M99" s="482">
        <v>720</v>
      </c>
      <c r="N99" s="482"/>
      <c r="O99" s="491">
        <v>720</v>
      </c>
      <c r="P99" s="476">
        <f>SUM(C99:O100)</f>
        <v>8640</v>
      </c>
    </row>
    <row r="100" spans="1:16">
      <c r="A100" s="468"/>
      <c r="B100" s="542"/>
      <c r="C100" s="482"/>
      <c r="D100" s="482"/>
      <c r="E100" s="482"/>
      <c r="F100" s="482"/>
      <c r="G100" s="482"/>
      <c r="H100" s="482"/>
      <c r="I100" s="482"/>
      <c r="J100" s="482"/>
      <c r="K100" s="482"/>
      <c r="L100" s="482"/>
      <c r="M100" s="482"/>
      <c r="N100" s="482"/>
      <c r="O100" s="492"/>
      <c r="P100" s="445"/>
    </row>
    <row r="101" spans="1:16">
      <c r="A101" s="468"/>
      <c r="B101" s="82" t="s">
        <v>363</v>
      </c>
      <c r="C101" s="65">
        <v>45329</v>
      </c>
      <c r="D101" s="65">
        <v>45362</v>
      </c>
      <c r="E101" s="65">
        <v>45390</v>
      </c>
      <c r="F101" s="65">
        <v>45420</v>
      </c>
      <c r="G101" s="65">
        <v>45450</v>
      </c>
      <c r="H101" s="65">
        <v>45478</v>
      </c>
      <c r="I101" s="65">
        <v>45511</v>
      </c>
      <c r="J101" s="65">
        <v>45541</v>
      </c>
      <c r="K101" s="65">
        <v>45569</v>
      </c>
      <c r="L101" s="65">
        <v>45604</v>
      </c>
      <c r="M101" s="65">
        <v>45632</v>
      </c>
      <c r="N101" s="54"/>
      <c r="O101" s="64">
        <v>45665</v>
      </c>
      <c r="P101" s="101"/>
    </row>
    <row r="102" spans="1:16">
      <c r="A102" s="478"/>
      <c r="B102" s="84" t="s">
        <v>377</v>
      </c>
      <c r="C102" s="54" t="s">
        <v>386</v>
      </c>
      <c r="D102" s="54" t="s">
        <v>386</v>
      </c>
      <c r="E102" s="54" t="s">
        <v>386</v>
      </c>
      <c r="F102" s="54" t="s">
        <v>386</v>
      </c>
      <c r="G102" s="54" t="s">
        <v>386</v>
      </c>
      <c r="H102" s="54" t="s">
        <v>386</v>
      </c>
      <c r="I102" s="54" t="s">
        <v>386</v>
      </c>
      <c r="J102" s="54" t="s">
        <v>386</v>
      </c>
      <c r="K102" s="54" t="s">
        <v>386</v>
      </c>
      <c r="L102" s="54" t="s">
        <v>386</v>
      </c>
      <c r="M102" s="54" t="s">
        <v>386</v>
      </c>
      <c r="N102" s="54"/>
      <c r="O102" s="54" t="s">
        <v>386</v>
      </c>
      <c r="P102" s="101"/>
    </row>
    <row r="103" spans="1:16" ht="25.5" customHeight="1">
      <c r="A103" s="485">
        <v>41</v>
      </c>
      <c r="B103" s="470" t="s">
        <v>27</v>
      </c>
      <c r="C103" s="479">
        <v>375</v>
      </c>
      <c r="D103" s="479">
        <v>375</v>
      </c>
      <c r="E103" s="481">
        <v>375</v>
      </c>
      <c r="F103" s="481">
        <v>375</v>
      </c>
      <c r="G103" s="481">
        <v>375</v>
      </c>
      <c r="H103" s="481">
        <v>375</v>
      </c>
      <c r="I103" s="481">
        <v>375</v>
      </c>
      <c r="J103" s="481">
        <v>375</v>
      </c>
      <c r="K103" s="481">
        <v>375</v>
      </c>
      <c r="L103" s="486">
        <v>375</v>
      </c>
      <c r="M103" s="486">
        <v>375</v>
      </c>
      <c r="N103" s="486"/>
      <c r="O103" s="487">
        <v>375</v>
      </c>
      <c r="P103" s="476">
        <f>SUM(C103:O104)</f>
        <v>4500</v>
      </c>
    </row>
    <row r="104" spans="1:16">
      <c r="A104" s="468"/>
      <c r="B104" s="471"/>
      <c r="C104" s="480"/>
      <c r="D104" s="480"/>
      <c r="E104" s="482"/>
      <c r="F104" s="482"/>
      <c r="G104" s="482"/>
      <c r="H104" s="482"/>
      <c r="I104" s="482"/>
      <c r="J104" s="482"/>
      <c r="K104" s="482"/>
      <c r="L104" s="486"/>
      <c r="M104" s="486"/>
      <c r="N104" s="486"/>
      <c r="O104" s="488"/>
      <c r="P104" s="445"/>
    </row>
    <row r="105" spans="1:16">
      <c r="A105" s="468"/>
      <c r="B105" s="86" t="s">
        <v>363</v>
      </c>
      <c r="C105" s="97">
        <v>45331</v>
      </c>
      <c r="D105" s="97">
        <v>45358</v>
      </c>
      <c r="E105" s="65">
        <v>45390</v>
      </c>
      <c r="F105" s="65">
        <v>45425</v>
      </c>
      <c r="G105" s="65">
        <v>45453</v>
      </c>
      <c r="H105" s="65">
        <v>45484</v>
      </c>
      <c r="I105" s="65">
        <v>45516</v>
      </c>
      <c r="J105" s="65">
        <v>45545</v>
      </c>
      <c r="K105" s="65">
        <v>45937</v>
      </c>
      <c r="L105" s="65">
        <v>45972</v>
      </c>
      <c r="M105" s="65">
        <v>46000</v>
      </c>
      <c r="N105" s="54"/>
      <c r="O105" s="65">
        <v>45664</v>
      </c>
      <c r="P105" s="101"/>
    </row>
    <row r="106" spans="1:16">
      <c r="A106" s="501"/>
      <c r="B106" s="76" t="s">
        <v>377</v>
      </c>
      <c r="C106" s="73" t="s">
        <v>371</v>
      </c>
      <c r="D106" s="73" t="s">
        <v>371</v>
      </c>
      <c r="E106" s="54" t="s">
        <v>371</v>
      </c>
      <c r="F106" s="54" t="s">
        <v>384</v>
      </c>
      <c r="G106" s="54" t="s">
        <v>384</v>
      </c>
      <c r="H106" s="54" t="s">
        <v>384</v>
      </c>
      <c r="I106" s="54" t="s">
        <v>384</v>
      </c>
      <c r="J106" s="54" t="s">
        <v>384</v>
      </c>
      <c r="K106" s="54" t="s">
        <v>384</v>
      </c>
      <c r="L106" s="54" t="s">
        <v>384</v>
      </c>
      <c r="M106" s="54" t="s">
        <v>384</v>
      </c>
      <c r="N106" s="54"/>
      <c r="O106" s="54" t="s">
        <v>384</v>
      </c>
      <c r="P106" s="101"/>
    </row>
    <row r="107" spans="1:16" ht="25.5" customHeight="1">
      <c r="A107" s="467">
        <v>43</v>
      </c>
      <c r="B107" s="470" t="s">
        <v>179</v>
      </c>
      <c r="C107" s="481">
        <v>880</v>
      </c>
      <c r="D107" s="481">
        <v>880</v>
      </c>
      <c r="E107" s="486">
        <v>880</v>
      </c>
      <c r="F107" s="486">
        <v>880</v>
      </c>
      <c r="G107" s="486">
        <v>880</v>
      </c>
      <c r="H107" s="486">
        <v>880</v>
      </c>
      <c r="I107" s="486">
        <v>880</v>
      </c>
      <c r="J107" s="486" t="s">
        <v>1829</v>
      </c>
      <c r="K107" s="486" t="s">
        <v>1830</v>
      </c>
      <c r="L107" s="486" t="s">
        <v>1830</v>
      </c>
      <c r="M107" s="486" t="s">
        <v>1830</v>
      </c>
      <c r="N107" s="486" t="s">
        <v>1830</v>
      </c>
      <c r="O107" s="487" t="s">
        <v>1830</v>
      </c>
      <c r="P107" s="476">
        <f>SUM(C107:O108)</f>
        <v>6160</v>
      </c>
    </row>
    <row r="108" spans="1:16">
      <c r="A108" s="468"/>
      <c r="B108" s="471"/>
      <c r="C108" s="482"/>
      <c r="D108" s="482"/>
      <c r="E108" s="486"/>
      <c r="F108" s="486"/>
      <c r="G108" s="486"/>
      <c r="H108" s="486"/>
      <c r="I108" s="486"/>
      <c r="J108" s="486"/>
      <c r="K108" s="486"/>
      <c r="L108" s="486"/>
      <c r="M108" s="486"/>
      <c r="N108" s="486"/>
      <c r="O108" s="488"/>
      <c r="P108" s="445"/>
    </row>
    <row r="109" spans="1:16">
      <c r="A109" s="468"/>
      <c r="B109" s="86" t="s">
        <v>363</v>
      </c>
      <c r="C109" s="97">
        <v>45345</v>
      </c>
      <c r="D109" s="65">
        <v>45434</v>
      </c>
      <c r="E109" s="65">
        <v>45434</v>
      </c>
      <c r="F109" s="65">
        <v>45516</v>
      </c>
      <c r="G109" s="65">
        <v>45516</v>
      </c>
      <c r="H109" s="65">
        <v>45604</v>
      </c>
      <c r="I109" s="65">
        <v>45604</v>
      </c>
      <c r="J109" s="64">
        <v>45736</v>
      </c>
      <c r="K109" s="64">
        <v>45702</v>
      </c>
      <c r="L109" s="64">
        <v>45707</v>
      </c>
      <c r="M109" s="64">
        <v>45758</v>
      </c>
      <c r="N109" s="64">
        <v>45761</v>
      </c>
      <c r="O109" s="64">
        <v>45789</v>
      </c>
      <c r="P109" s="101"/>
    </row>
    <row r="110" spans="1:16">
      <c r="A110" s="501"/>
      <c r="B110" s="76" t="s">
        <v>377</v>
      </c>
      <c r="C110" s="73" t="s">
        <v>386</v>
      </c>
      <c r="D110" s="54" t="s">
        <v>386</v>
      </c>
      <c r="E110" s="54" t="s">
        <v>386</v>
      </c>
      <c r="F110" s="54" t="s">
        <v>386</v>
      </c>
      <c r="G110" s="54" t="s">
        <v>368</v>
      </c>
      <c r="H110" s="54" t="s">
        <v>386</v>
      </c>
      <c r="I110" s="54" t="s">
        <v>386</v>
      </c>
      <c r="J110" s="54" t="s">
        <v>384</v>
      </c>
      <c r="K110" s="54" t="s">
        <v>384</v>
      </c>
      <c r="L110" s="54" t="s">
        <v>384</v>
      </c>
      <c r="M110" s="54" t="s">
        <v>384</v>
      </c>
      <c r="N110" s="54" t="s">
        <v>384</v>
      </c>
      <c r="O110" s="54" t="s">
        <v>384</v>
      </c>
      <c r="P110" s="101"/>
    </row>
    <row r="111" spans="1:16" ht="15" customHeight="1">
      <c r="A111" s="467">
        <v>44</v>
      </c>
      <c r="B111" s="470" t="s">
        <v>319</v>
      </c>
      <c r="C111" s="479">
        <v>1300</v>
      </c>
      <c r="D111" s="481">
        <v>1300</v>
      </c>
      <c r="E111" s="481">
        <v>1300</v>
      </c>
      <c r="F111" s="481">
        <v>1300</v>
      </c>
      <c r="G111" s="481">
        <v>1300</v>
      </c>
      <c r="H111" s="481">
        <v>1300</v>
      </c>
      <c r="I111" s="481">
        <v>1300</v>
      </c>
      <c r="J111" s="483">
        <v>1300</v>
      </c>
      <c r="K111" s="487">
        <v>1300</v>
      </c>
      <c r="L111" s="487">
        <v>1300</v>
      </c>
      <c r="M111" s="486">
        <v>1300</v>
      </c>
      <c r="N111" s="486"/>
      <c r="O111" s="487"/>
      <c r="P111" s="476">
        <f>SUM(C111:O112)</f>
        <v>14300</v>
      </c>
    </row>
    <row r="112" spans="1:16">
      <c r="A112" s="468"/>
      <c r="B112" s="471"/>
      <c r="C112" s="480"/>
      <c r="D112" s="482"/>
      <c r="E112" s="482"/>
      <c r="F112" s="482"/>
      <c r="G112" s="482"/>
      <c r="H112" s="482"/>
      <c r="I112" s="482"/>
      <c r="J112" s="484"/>
      <c r="K112" s="488"/>
      <c r="L112" s="488"/>
      <c r="M112" s="486"/>
      <c r="N112" s="486"/>
      <c r="O112" s="488"/>
      <c r="P112" s="445"/>
    </row>
    <row r="113" spans="1:16">
      <c r="A113" s="468"/>
      <c r="B113" s="76" t="s">
        <v>363</v>
      </c>
      <c r="C113" s="97">
        <v>45356</v>
      </c>
      <c r="D113" s="65">
        <v>45390</v>
      </c>
      <c r="E113" s="65">
        <v>45443</v>
      </c>
      <c r="F113" s="65">
        <v>45471</v>
      </c>
      <c r="G113" s="65">
        <v>45505</v>
      </c>
      <c r="H113" s="65">
        <v>45537</v>
      </c>
      <c r="I113" s="65">
        <v>45565</v>
      </c>
      <c r="J113" s="65">
        <v>45960</v>
      </c>
      <c r="K113" s="65">
        <v>45993</v>
      </c>
      <c r="L113" s="65">
        <v>45293</v>
      </c>
      <c r="M113" s="65">
        <v>45692</v>
      </c>
      <c r="N113" s="54"/>
      <c r="O113" s="54"/>
      <c r="P113" s="101"/>
    </row>
    <row r="114" spans="1:16" ht="15.75" thickBot="1">
      <c r="A114" s="501"/>
      <c r="B114" s="92" t="s">
        <v>377</v>
      </c>
      <c r="C114" s="73" t="s">
        <v>371</v>
      </c>
      <c r="D114" s="54" t="s">
        <v>371</v>
      </c>
      <c r="E114" s="54" t="s">
        <v>384</v>
      </c>
      <c r="F114" s="54" t="s">
        <v>384</v>
      </c>
      <c r="G114" s="54" t="s">
        <v>384</v>
      </c>
      <c r="H114" s="54" t="s">
        <v>384</v>
      </c>
      <c r="I114" s="118" t="s">
        <v>384</v>
      </c>
      <c r="J114" s="54" t="s">
        <v>384</v>
      </c>
      <c r="K114" s="54" t="s">
        <v>384</v>
      </c>
      <c r="L114" s="54" t="s">
        <v>384</v>
      </c>
      <c r="M114" s="54" t="s">
        <v>384</v>
      </c>
      <c r="N114" s="54"/>
      <c r="O114" s="54"/>
      <c r="P114" s="101"/>
    </row>
    <row r="115" spans="1:16" ht="25.5" customHeight="1">
      <c r="A115" s="534">
        <v>45</v>
      </c>
      <c r="B115" s="567" t="s">
        <v>181</v>
      </c>
      <c r="C115" s="479">
        <v>840</v>
      </c>
      <c r="D115" s="481">
        <v>840</v>
      </c>
      <c r="E115" s="481">
        <v>840</v>
      </c>
      <c r="F115" s="481">
        <v>840</v>
      </c>
      <c r="G115" s="481">
        <v>840</v>
      </c>
      <c r="H115" s="537">
        <v>600</v>
      </c>
      <c r="I115" s="600">
        <v>600</v>
      </c>
      <c r="J115" s="499"/>
      <c r="K115" s="486"/>
      <c r="L115" s="486"/>
      <c r="M115" s="486"/>
      <c r="N115" s="486"/>
      <c r="O115" s="487">
        <v>600</v>
      </c>
      <c r="P115" s="549">
        <f>SUM(C115:O116)</f>
        <v>6000</v>
      </c>
    </row>
    <row r="116" spans="1:16" ht="15.75" thickBot="1">
      <c r="A116" s="535"/>
      <c r="B116" s="568"/>
      <c r="C116" s="480"/>
      <c r="D116" s="482"/>
      <c r="E116" s="482"/>
      <c r="F116" s="482"/>
      <c r="G116" s="482"/>
      <c r="H116" s="538"/>
      <c r="I116" s="601"/>
      <c r="J116" s="499"/>
      <c r="K116" s="486"/>
      <c r="L116" s="486"/>
      <c r="M116" s="486"/>
      <c r="N116" s="486"/>
      <c r="O116" s="488"/>
      <c r="P116" s="549"/>
    </row>
    <row r="117" spans="1:16">
      <c r="A117" s="468"/>
      <c r="B117" s="92" t="s">
        <v>363</v>
      </c>
      <c r="C117" s="97">
        <v>45450</v>
      </c>
      <c r="D117" s="65">
        <v>45450</v>
      </c>
      <c r="E117" s="65">
        <v>45450</v>
      </c>
      <c r="F117" s="65">
        <v>45450</v>
      </c>
      <c r="G117" s="65">
        <v>45450</v>
      </c>
      <c r="H117" s="65">
        <v>45503</v>
      </c>
      <c r="I117" s="105">
        <v>609</v>
      </c>
      <c r="J117" s="65"/>
      <c r="K117" s="54"/>
      <c r="L117" s="54"/>
      <c r="M117" s="54"/>
      <c r="N117" s="54"/>
      <c r="O117" s="64">
        <v>45992</v>
      </c>
      <c r="P117" s="101"/>
    </row>
    <row r="118" spans="1:16">
      <c r="A118" s="501"/>
      <c r="B118" s="76" t="s">
        <v>377</v>
      </c>
      <c r="C118" s="73" t="s">
        <v>385</v>
      </c>
      <c r="D118" s="54" t="s">
        <v>385</v>
      </c>
      <c r="E118" s="54" t="s">
        <v>385</v>
      </c>
      <c r="F118" s="54" t="s">
        <v>374</v>
      </c>
      <c r="G118" s="54" t="s">
        <v>385</v>
      </c>
      <c r="H118" s="54" t="s">
        <v>385</v>
      </c>
      <c r="I118" s="54" t="s">
        <v>386</v>
      </c>
      <c r="J118" s="54"/>
      <c r="K118" s="54"/>
      <c r="L118" s="54"/>
      <c r="M118" s="54"/>
      <c r="N118" s="54"/>
      <c r="O118" s="54" t="s">
        <v>386</v>
      </c>
      <c r="P118" s="101"/>
    </row>
    <row r="119" spans="1:16" ht="25.5" customHeight="1">
      <c r="A119" s="467">
        <v>46</v>
      </c>
      <c r="B119" s="470" t="s">
        <v>31</v>
      </c>
      <c r="C119" s="479"/>
      <c r="D119" s="481">
        <v>350</v>
      </c>
      <c r="E119" s="481">
        <v>350</v>
      </c>
      <c r="F119" s="481">
        <v>350</v>
      </c>
      <c r="G119" s="481">
        <v>350</v>
      </c>
      <c r="H119" s="481">
        <v>350</v>
      </c>
      <c r="I119" s="486">
        <v>350</v>
      </c>
      <c r="J119" s="486">
        <v>350</v>
      </c>
      <c r="K119" s="486">
        <v>350</v>
      </c>
      <c r="L119" s="486">
        <v>350</v>
      </c>
      <c r="M119" s="486">
        <v>350</v>
      </c>
      <c r="N119" s="486"/>
      <c r="O119" s="487">
        <v>350</v>
      </c>
      <c r="P119" s="476">
        <f>SUM(C119:O120)</f>
        <v>3850</v>
      </c>
    </row>
    <row r="120" spans="1:16">
      <c r="A120" s="468"/>
      <c r="B120" s="471"/>
      <c r="C120" s="480"/>
      <c r="D120" s="482"/>
      <c r="E120" s="482"/>
      <c r="F120" s="482"/>
      <c r="G120" s="482"/>
      <c r="H120" s="482"/>
      <c r="I120" s="486"/>
      <c r="J120" s="486"/>
      <c r="K120" s="486"/>
      <c r="L120" s="486"/>
      <c r="M120" s="486"/>
      <c r="N120" s="486"/>
      <c r="O120" s="488"/>
      <c r="P120" s="445"/>
    </row>
    <row r="121" spans="1:16">
      <c r="A121" s="468"/>
      <c r="B121" s="86" t="s">
        <v>363</v>
      </c>
      <c r="C121" s="97"/>
      <c r="D121" s="97">
        <v>45370</v>
      </c>
      <c r="E121" s="65">
        <v>45337</v>
      </c>
      <c r="F121" s="65">
        <v>45432</v>
      </c>
      <c r="G121" s="65">
        <v>45467</v>
      </c>
      <c r="H121" s="65">
        <v>45498</v>
      </c>
      <c r="I121" s="65">
        <v>45530</v>
      </c>
      <c r="J121" s="65">
        <v>45565</v>
      </c>
      <c r="K121" s="65">
        <v>45565</v>
      </c>
      <c r="L121" s="65">
        <v>45960</v>
      </c>
      <c r="M121" s="65">
        <v>45987</v>
      </c>
      <c r="N121" s="65"/>
      <c r="O121" s="65">
        <v>45679</v>
      </c>
      <c r="P121" s="101"/>
    </row>
    <row r="122" spans="1:16">
      <c r="A122" s="478"/>
      <c r="B122" s="76" t="s">
        <v>377</v>
      </c>
      <c r="C122" s="73"/>
      <c r="D122" s="73" t="s">
        <v>371</v>
      </c>
      <c r="E122" s="54" t="s">
        <v>384</v>
      </c>
      <c r="F122" s="54" t="s">
        <v>384</v>
      </c>
      <c r="G122" s="54" t="s">
        <v>384</v>
      </c>
      <c r="H122" s="54" t="s">
        <v>384</v>
      </c>
      <c r="I122" s="54" t="s">
        <v>384</v>
      </c>
      <c r="J122" s="54" t="s">
        <v>384</v>
      </c>
      <c r="K122" s="54" t="s">
        <v>384</v>
      </c>
      <c r="L122" s="54" t="s">
        <v>384</v>
      </c>
      <c r="M122" s="54" t="s">
        <v>384</v>
      </c>
      <c r="N122" s="54"/>
      <c r="O122" s="54" t="s">
        <v>384</v>
      </c>
      <c r="P122" s="101"/>
    </row>
    <row r="123" spans="1:16" ht="15" customHeight="1">
      <c r="A123" s="485">
        <v>47</v>
      </c>
      <c r="B123" s="470" t="s">
        <v>320</v>
      </c>
      <c r="C123" s="479">
        <v>650</v>
      </c>
      <c r="D123" s="481">
        <v>650</v>
      </c>
      <c r="E123" s="481">
        <v>650</v>
      </c>
      <c r="F123" s="483">
        <v>650</v>
      </c>
      <c r="G123" s="481">
        <v>650</v>
      </c>
      <c r="H123" s="481">
        <v>650</v>
      </c>
      <c r="I123" s="481">
        <v>650</v>
      </c>
      <c r="J123" s="481">
        <v>650</v>
      </c>
      <c r="K123" s="481">
        <v>650</v>
      </c>
      <c r="L123" s="486">
        <v>650</v>
      </c>
      <c r="M123" s="486">
        <v>650</v>
      </c>
      <c r="N123" s="486">
        <v>650</v>
      </c>
      <c r="O123" s="487">
        <v>650</v>
      </c>
      <c r="P123" s="476">
        <f>SUM(C123:O124)</f>
        <v>8450</v>
      </c>
    </row>
    <row r="124" spans="1:16">
      <c r="A124" s="468"/>
      <c r="B124" s="471"/>
      <c r="C124" s="480"/>
      <c r="D124" s="482"/>
      <c r="E124" s="482"/>
      <c r="F124" s="484"/>
      <c r="G124" s="482"/>
      <c r="H124" s="482"/>
      <c r="I124" s="482"/>
      <c r="J124" s="482"/>
      <c r="K124" s="482"/>
      <c r="L124" s="486"/>
      <c r="M124" s="486"/>
      <c r="N124" s="486"/>
      <c r="O124" s="488"/>
      <c r="P124" s="445"/>
    </row>
    <row r="125" spans="1:16">
      <c r="A125" s="468"/>
      <c r="B125" s="86" t="s">
        <v>363</v>
      </c>
      <c r="C125" s="97">
        <v>45349</v>
      </c>
      <c r="D125" s="65">
        <v>45373</v>
      </c>
      <c r="E125" s="65">
        <v>45404</v>
      </c>
      <c r="F125" s="65">
        <v>45435</v>
      </c>
      <c r="G125" s="65">
        <v>45464</v>
      </c>
      <c r="H125" s="65">
        <v>45492</v>
      </c>
      <c r="I125" s="65">
        <v>45492</v>
      </c>
      <c r="J125" s="65">
        <v>45526</v>
      </c>
      <c r="K125" s="65">
        <v>45555</v>
      </c>
      <c r="L125" s="65">
        <v>45961</v>
      </c>
      <c r="M125" s="65">
        <v>45990</v>
      </c>
      <c r="N125" s="64">
        <v>45681</v>
      </c>
      <c r="O125" s="64">
        <v>45681</v>
      </c>
      <c r="P125" s="101"/>
    </row>
    <row r="126" spans="1:16">
      <c r="A126" s="501"/>
      <c r="B126" s="76" t="s">
        <v>377</v>
      </c>
      <c r="C126" s="73" t="s">
        <v>371</v>
      </c>
      <c r="D126" s="54" t="s">
        <v>384</v>
      </c>
      <c r="E126" s="54" t="s">
        <v>384</v>
      </c>
      <c r="F126" s="54" t="s">
        <v>371</v>
      </c>
      <c r="G126" s="54" t="s">
        <v>384</v>
      </c>
      <c r="H126" s="54" t="s">
        <v>386</v>
      </c>
      <c r="I126" s="54" t="s">
        <v>384</v>
      </c>
      <c r="J126" s="54" t="s">
        <v>384</v>
      </c>
      <c r="K126" s="54" t="s">
        <v>384</v>
      </c>
      <c r="L126" s="54" t="s">
        <v>384</v>
      </c>
      <c r="M126" s="54" t="s">
        <v>384</v>
      </c>
      <c r="N126" s="54" t="s">
        <v>384</v>
      </c>
      <c r="O126" s="54" t="s">
        <v>384</v>
      </c>
      <c r="P126" s="101"/>
    </row>
    <row r="127" spans="1:16" ht="15" customHeight="1">
      <c r="A127" s="467">
        <v>49</v>
      </c>
      <c r="B127" s="470" t="s">
        <v>183</v>
      </c>
      <c r="C127" s="479">
        <v>1210</v>
      </c>
      <c r="D127" s="479">
        <v>1210</v>
      </c>
      <c r="E127" s="479">
        <v>1210</v>
      </c>
      <c r="F127" s="479">
        <v>1210</v>
      </c>
      <c r="G127" s="481"/>
      <c r="H127" s="482"/>
      <c r="I127" s="482"/>
      <c r="J127" s="482"/>
      <c r="K127" s="482"/>
      <c r="L127" s="482"/>
      <c r="M127" s="482"/>
      <c r="N127" s="482"/>
      <c r="O127" s="491"/>
      <c r="P127" s="476">
        <f>SUM(C127:O128)</f>
        <v>4840</v>
      </c>
    </row>
    <row r="128" spans="1:16">
      <c r="A128" s="468"/>
      <c r="B128" s="471"/>
      <c r="C128" s="480"/>
      <c r="D128" s="480"/>
      <c r="E128" s="480"/>
      <c r="F128" s="480"/>
      <c r="G128" s="482"/>
      <c r="H128" s="482"/>
      <c r="I128" s="482"/>
      <c r="J128" s="482"/>
      <c r="K128" s="482"/>
      <c r="L128" s="482"/>
      <c r="M128" s="482"/>
      <c r="N128" s="482"/>
      <c r="O128" s="492"/>
      <c r="P128" s="445"/>
    </row>
    <row r="129" spans="1:16">
      <c r="A129" s="468"/>
      <c r="B129" s="76" t="s">
        <v>363</v>
      </c>
      <c r="C129" s="97">
        <v>45412</v>
      </c>
      <c r="D129" s="97">
        <v>45412</v>
      </c>
      <c r="E129" s="97">
        <v>45412</v>
      </c>
      <c r="F129" s="97">
        <v>45412</v>
      </c>
      <c r="G129" s="65"/>
      <c r="H129" s="54"/>
      <c r="I129" s="54"/>
      <c r="J129" s="54"/>
      <c r="K129" s="54"/>
      <c r="L129" s="54"/>
      <c r="M129" s="54"/>
      <c r="N129" s="54"/>
      <c r="O129" s="54"/>
      <c r="P129" s="101"/>
    </row>
    <row r="130" spans="1:16">
      <c r="A130" s="478"/>
      <c r="B130" s="77" t="s">
        <v>377</v>
      </c>
      <c r="C130" s="73" t="s">
        <v>386</v>
      </c>
      <c r="D130" s="54" t="s">
        <v>386</v>
      </c>
      <c r="E130" s="54" t="s">
        <v>386</v>
      </c>
      <c r="F130" s="54" t="s">
        <v>386</v>
      </c>
      <c r="G130" s="54"/>
      <c r="H130" s="54"/>
      <c r="I130" s="54"/>
      <c r="J130" s="54"/>
      <c r="K130" s="54"/>
      <c r="L130" s="54"/>
      <c r="M130" s="54"/>
      <c r="N130" s="54"/>
      <c r="O130" s="54"/>
      <c r="P130" s="101"/>
    </row>
    <row r="131" spans="1:16">
      <c r="A131" s="467">
        <v>50</v>
      </c>
      <c r="B131" s="470" t="s">
        <v>184</v>
      </c>
      <c r="C131" s="479"/>
      <c r="D131" s="481"/>
      <c r="E131" s="482"/>
      <c r="F131" s="482"/>
      <c r="G131" s="482"/>
      <c r="H131" s="482"/>
      <c r="I131" s="482"/>
      <c r="J131" s="482"/>
      <c r="K131" s="482"/>
      <c r="L131" s="482"/>
      <c r="M131" s="482"/>
      <c r="N131" s="482"/>
      <c r="O131" s="491"/>
      <c r="P131" s="476">
        <f>SUM(C131:O132)</f>
        <v>0</v>
      </c>
    </row>
    <row r="132" spans="1:16">
      <c r="A132" s="468"/>
      <c r="B132" s="471"/>
      <c r="C132" s="480"/>
      <c r="D132" s="482"/>
      <c r="E132" s="482"/>
      <c r="F132" s="482"/>
      <c r="G132" s="482"/>
      <c r="H132" s="482"/>
      <c r="I132" s="482"/>
      <c r="J132" s="482"/>
      <c r="K132" s="482"/>
      <c r="L132" s="482"/>
      <c r="M132" s="482"/>
      <c r="N132" s="482"/>
      <c r="O132" s="492"/>
      <c r="P132" s="445"/>
    </row>
    <row r="133" spans="1:16">
      <c r="A133" s="468"/>
      <c r="B133" s="76" t="s">
        <v>363</v>
      </c>
      <c r="C133" s="97"/>
      <c r="D133" s="65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101"/>
    </row>
    <row r="134" spans="1:16">
      <c r="A134" s="478"/>
      <c r="B134" s="77" t="s">
        <v>377</v>
      </c>
      <c r="C134" s="73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101"/>
    </row>
    <row r="135" spans="1:16" ht="15" customHeight="1">
      <c r="A135" s="467">
        <v>51</v>
      </c>
      <c r="B135" s="470" t="s">
        <v>33</v>
      </c>
      <c r="C135" s="481">
        <v>770</v>
      </c>
      <c r="D135" s="481">
        <v>770</v>
      </c>
      <c r="E135" s="481">
        <v>770</v>
      </c>
      <c r="F135" s="481">
        <v>770</v>
      </c>
      <c r="G135" s="481">
        <v>770</v>
      </c>
      <c r="H135" s="481">
        <v>770</v>
      </c>
      <c r="I135" s="481">
        <v>770</v>
      </c>
      <c r="J135" s="481">
        <v>770</v>
      </c>
      <c r="K135" s="481">
        <v>770</v>
      </c>
      <c r="L135" s="486">
        <v>770</v>
      </c>
      <c r="M135" s="486">
        <v>770</v>
      </c>
      <c r="N135" s="486"/>
      <c r="O135" s="487">
        <v>770</v>
      </c>
      <c r="P135" s="476">
        <f>SUM(C135:O136)</f>
        <v>9240</v>
      </c>
    </row>
    <row r="136" spans="1:16">
      <c r="A136" s="468"/>
      <c r="B136" s="471"/>
      <c r="C136" s="482"/>
      <c r="D136" s="482"/>
      <c r="E136" s="482"/>
      <c r="F136" s="482"/>
      <c r="G136" s="482"/>
      <c r="H136" s="482"/>
      <c r="I136" s="482"/>
      <c r="J136" s="482"/>
      <c r="K136" s="482"/>
      <c r="L136" s="486"/>
      <c r="M136" s="486"/>
      <c r="N136" s="486"/>
      <c r="O136" s="488"/>
      <c r="P136" s="445"/>
    </row>
    <row r="137" spans="1:16">
      <c r="A137" s="468"/>
      <c r="B137" s="86" t="s">
        <v>363</v>
      </c>
      <c r="C137" s="97">
        <v>45379</v>
      </c>
      <c r="D137" s="65">
        <v>45414</v>
      </c>
      <c r="E137" s="65">
        <v>45443</v>
      </c>
      <c r="F137" s="65">
        <v>45474</v>
      </c>
      <c r="G137" s="65">
        <v>45505</v>
      </c>
      <c r="H137" s="65">
        <v>45537</v>
      </c>
      <c r="I137" s="65">
        <v>45565</v>
      </c>
      <c r="J137" s="65">
        <v>45594</v>
      </c>
      <c r="K137" s="65">
        <v>45628</v>
      </c>
      <c r="L137" s="65" t="s">
        <v>1768</v>
      </c>
      <c r="M137" s="64">
        <v>45684</v>
      </c>
      <c r="N137" s="54"/>
      <c r="O137" s="64">
        <v>45716</v>
      </c>
      <c r="P137" s="101"/>
    </row>
    <row r="138" spans="1:16">
      <c r="A138" s="478"/>
      <c r="B138" s="76" t="s">
        <v>377</v>
      </c>
      <c r="C138" s="73" t="s">
        <v>386</v>
      </c>
      <c r="D138" s="54" t="s">
        <v>386</v>
      </c>
      <c r="E138" s="54" t="s">
        <v>386</v>
      </c>
      <c r="F138" s="54" t="s">
        <v>386</v>
      </c>
      <c r="G138" s="54" t="s">
        <v>386</v>
      </c>
      <c r="H138" s="54" t="s">
        <v>386</v>
      </c>
      <c r="I138" s="54" t="s">
        <v>386</v>
      </c>
      <c r="J138" s="54" t="s">
        <v>386</v>
      </c>
      <c r="K138" s="54" t="s">
        <v>386</v>
      </c>
      <c r="L138" s="54" t="s">
        <v>386</v>
      </c>
      <c r="M138" s="54" t="s">
        <v>386</v>
      </c>
      <c r="N138" s="54"/>
      <c r="O138" s="54" t="s">
        <v>386</v>
      </c>
      <c r="P138" s="101"/>
    </row>
    <row r="139" spans="1:16">
      <c r="A139" s="467">
        <v>52</v>
      </c>
      <c r="B139" s="470" t="s">
        <v>321</v>
      </c>
      <c r="C139" s="479">
        <v>525</v>
      </c>
      <c r="D139" s="481"/>
      <c r="E139" s="481"/>
      <c r="F139" s="481"/>
      <c r="G139" s="482"/>
      <c r="H139" s="482"/>
      <c r="I139" s="482"/>
      <c r="J139" s="482"/>
      <c r="K139" s="482"/>
      <c r="L139" s="486"/>
      <c r="M139" s="486">
        <v>610</v>
      </c>
      <c r="N139" s="486">
        <v>610</v>
      </c>
      <c r="O139" s="487"/>
      <c r="P139" s="476">
        <f>SUM(C139:O140)</f>
        <v>1745</v>
      </c>
    </row>
    <row r="140" spans="1:16">
      <c r="A140" s="468"/>
      <c r="B140" s="471"/>
      <c r="C140" s="480"/>
      <c r="D140" s="482"/>
      <c r="E140" s="482"/>
      <c r="F140" s="482"/>
      <c r="G140" s="482"/>
      <c r="H140" s="482"/>
      <c r="I140" s="482"/>
      <c r="J140" s="482"/>
      <c r="K140" s="482"/>
      <c r="L140" s="486"/>
      <c r="M140" s="486"/>
      <c r="N140" s="486"/>
      <c r="O140" s="488"/>
      <c r="P140" s="445"/>
    </row>
    <row r="141" spans="1:16">
      <c r="A141" s="468"/>
      <c r="B141" s="86" t="s">
        <v>363</v>
      </c>
      <c r="C141" s="97">
        <v>45342</v>
      </c>
      <c r="D141" s="65"/>
      <c r="E141" s="65"/>
      <c r="F141" s="65"/>
      <c r="G141" s="54"/>
      <c r="H141" s="54"/>
      <c r="I141" s="54"/>
      <c r="J141" s="54"/>
      <c r="K141" s="54"/>
      <c r="L141" s="54"/>
      <c r="M141" s="65">
        <v>46004</v>
      </c>
      <c r="N141" s="65">
        <v>46004</v>
      </c>
      <c r="O141" s="54"/>
      <c r="P141" s="101"/>
    </row>
    <row r="142" spans="1:16">
      <c r="A142" s="501"/>
      <c r="B142" s="76" t="s">
        <v>377</v>
      </c>
      <c r="C142" s="73" t="s">
        <v>371</v>
      </c>
      <c r="D142" s="54"/>
      <c r="E142" s="54"/>
      <c r="F142" s="54"/>
      <c r="G142" s="54"/>
      <c r="H142" s="54"/>
      <c r="I142" s="54"/>
      <c r="J142" s="54"/>
      <c r="K142" s="54"/>
      <c r="L142" s="54"/>
      <c r="M142" s="54" t="s">
        <v>384</v>
      </c>
      <c r="N142" s="54" t="s">
        <v>384</v>
      </c>
      <c r="O142" s="54"/>
      <c r="P142" s="101"/>
    </row>
    <row r="143" spans="1:16" ht="15" customHeight="1">
      <c r="A143" s="467">
        <v>53</v>
      </c>
      <c r="B143" s="533" t="s">
        <v>187</v>
      </c>
      <c r="C143" s="481"/>
      <c r="D143" s="482"/>
      <c r="E143" s="482"/>
      <c r="F143" s="482"/>
      <c r="G143" s="482"/>
      <c r="H143" s="482"/>
      <c r="I143" s="482"/>
      <c r="J143" s="482"/>
      <c r="K143" s="482"/>
      <c r="L143" s="482"/>
      <c r="M143" s="482"/>
      <c r="N143" s="482"/>
      <c r="O143" s="491"/>
      <c r="P143" s="476">
        <f>SUM(C143:O144)</f>
        <v>0</v>
      </c>
    </row>
    <row r="144" spans="1:16">
      <c r="A144" s="468"/>
      <c r="B144" s="533"/>
      <c r="C144" s="482"/>
      <c r="D144" s="482"/>
      <c r="E144" s="482"/>
      <c r="F144" s="482"/>
      <c r="G144" s="482"/>
      <c r="H144" s="482"/>
      <c r="I144" s="482"/>
      <c r="J144" s="482"/>
      <c r="K144" s="482"/>
      <c r="L144" s="482"/>
      <c r="M144" s="482"/>
      <c r="N144" s="482"/>
      <c r="O144" s="492"/>
      <c r="P144" s="445"/>
    </row>
    <row r="145" spans="1:16">
      <c r="A145" s="468"/>
      <c r="B145" s="82" t="s">
        <v>363</v>
      </c>
      <c r="C145" s="65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101"/>
    </row>
    <row r="146" spans="1:16">
      <c r="A146" s="501"/>
      <c r="B146" s="82" t="s">
        <v>377</v>
      </c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101"/>
    </row>
    <row r="147" spans="1:16" ht="15" customHeight="1">
      <c r="A147" s="467">
        <v>57</v>
      </c>
      <c r="B147" s="497" t="s">
        <v>39</v>
      </c>
      <c r="C147" s="481">
        <v>450</v>
      </c>
      <c r="D147" s="481">
        <v>450</v>
      </c>
      <c r="E147" s="481">
        <v>450</v>
      </c>
      <c r="F147" s="481">
        <v>450</v>
      </c>
      <c r="G147" s="483">
        <v>450</v>
      </c>
      <c r="H147" s="483">
        <v>450</v>
      </c>
      <c r="I147" s="483">
        <v>560</v>
      </c>
      <c r="J147" s="483">
        <v>450</v>
      </c>
      <c r="K147" s="487">
        <v>450</v>
      </c>
      <c r="L147" s="487">
        <v>450</v>
      </c>
      <c r="M147" s="486">
        <v>450</v>
      </c>
      <c r="N147" s="486">
        <v>450</v>
      </c>
      <c r="O147" s="487">
        <v>450</v>
      </c>
      <c r="P147" s="476">
        <f>SUM(C147:O148)</f>
        <v>5960</v>
      </c>
    </row>
    <row r="148" spans="1:16">
      <c r="A148" s="468"/>
      <c r="B148" s="542"/>
      <c r="C148" s="482"/>
      <c r="D148" s="482"/>
      <c r="E148" s="482"/>
      <c r="F148" s="482"/>
      <c r="G148" s="484"/>
      <c r="H148" s="484"/>
      <c r="I148" s="484"/>
      <c r="J148" s="484"/>
      <c r="K148" s="488"/>
      <c r="L148" s="488"/>
      <c r="M148" s="486"/>
      <c r="N148" s="486"/>
      <c r="O148" s="488"/>
      <c r="P148" s="445"/>
    </row>
    <row r="149" spans="1:16">
      <c r="A149" s="468"/>
      <c r="B149" s="87" t="s">
        <v>363</v>
      </c>
      <c r="C149" s="65">
        <v>45342</v>
      </c>
      <c r="D149" s="65">
        <v>45371</v>
      </c>
      <c r="E149" s="65">
        <v>45401</v>
      </c>
      <c r="F149" s="65">
        <v>45432</v>
      </c>
      <c r="G149" s="65">
        <v>45463</v>
      </c>
      <c r="H149" s="65">
        <v>45495</v>
      </c>
      <c r="I149" s="65">
        <v>45524</v>
      </c>
      <c r="J149" s="65">
        <v>45555</v>
      </c>
      <c r="K149" s="65">
        <v>45586</v>
      </c>
      <c r="L149" s="65">
        <v>45584</v>
      </c>
      <c r="M149" s="65">
        <v>45642</v>
      </c>
      <c r="N149" s="65">
        <v>45642</v>
      </c>
      <c r="O149" s="64">
        <v>45674</v>
      </c>
      <c r="P149" s="101"/>
    </row>
    <row r="150" spans="1:16">
      <c r="A150" s="501"/>
      <c r="B150" s="84" t="s">
        <v>377</v>
      </c>
      <c r="C150" s="54" t="s">
        <v>386</v>
      </c>
      <c r="D150" s="54" t="s">
        <v>386</v>
      </c>
      <c r="E150" s="54" t="s">
        <v>385</v>
      </c>
      <c r="F150" s="54" t="s">
        <v>386</v>
      </c>
      <c r="G150" s="54" t="s">
        <v>386</v>
      </c>
      <c r="H150" s="54" t="s">
        <v>386</v>
      </c>
      <c r="I150" s="54" t="s">
        <v>386</v>
      </c>
      <c r="J150" s="54" t="s">
        <v>386</v>
      </c>
      <c r="K150" s="54" t="s">
        <v>385</v>
      </c>
      <c r="L150" s="54" t="s">
        <v>385</v>
      </c>
      <c r="M150" s="54" t="s">
        <v>385</v>
      </c>
      <c r="N150" s="54" t="s">
        <v>385</v>
      </c>
      <c r="O150" s="54" t="s">
        <v>386</v>
      </c>
      <c r="P150" s="101"/>
    </row>
    <row r="151" spans="1:16" ht="15" customHeight="1">
      <c r="A151" s="467">
        <v>60</v>
      </c>
      <c r="B151" s="497" t="s">
        <v>322</v>
      </c>
      <c r="C151" s="481">
        <v>350</v>
      </c>
      <c r="D151" s="481">
        <v>350</v>
      </c>
      <c r="E151" s="481">
        <v>350</v>
      </c>
      <c r="F151" s="481">
        <v>350</v>
      </c>
      <c r="G151" s="481">
        <v>350</v>
      </c>
      <c r="H151" s="481">
        <v>350</v>
      </c>
      <c r="I151" s="481">
        <v>350</v>
      </c>
      <c r="J151" s="481">
        <v>350</v>
      </c>
      <c r="K151" s="486">
        <v>350</v>
      </c>
      <c r="L151" s="486">
        <v>350</v>
      </c>
      <c r="M151" s="486">
        <v>350</v>
      </c>
      <c r="N151" s="486">
        <v>350</v>
      </c>
      <c r="O151" s="487"/>
      <c r="P151" s="476">
        <f>SUM(C151:O152)</f>
        <v>4200</v>
      </c>
    </row>
    <row r="152" spans="1:16">
      <c r="A152" s="468"/>
      <c r="B152" s="558"/>
      <c r="C152" s="482"/>
      <c r="D152" s="482"/>
      <c r="E152" s="482"/>
      <c r="F152" s="482"/>
      <c r="G152" s="482"/>
      <c r="H152" s="482"/>
      <c r="I152" s="482"/>
      <c r="J152" s="482"/>
      <c r="K152" s="486"/>
      <c r="L152" s="486"/>
      <c r="M152" s="486"/>
      <c r="N152" s="486"/>
      <c r="O152" s="488"/>
      <c r="P152" s="445"/>
    </row>
    <row r="153" spans="1:16">
      <c r="A153" s="468"/>
      <c r="B153" s="84" t="s">
        <v>363</v>
      </c>
      <c r="C153" s="65">
        <v>45349</v>
      </c>
      <c r="D153" s="65">
        <v>45371</v>
      </c>
      <c r="E153" s="65">
        <v>45404</v>
      </c>
      <c r="F153" s="65">
        <v>45435</v>
      </c>
      <c r="G153" s="65">
        <v>45464</v>
      </c>
      <c r="H153" s="65">
        <v>45492</v>
      </c>
      <c r="I153" s="65">
        <v>45526</v>
      </c>
      <c r="J153" s="65">
        <v>45555</v>
      </c>
      <c r="K153" s="65">
        <v>45597</v>
      </c>
      <c r="L153" s="65">
        <v>45625</v>
      </c>
      <c r="M153" s="64">
        <v>45681</v>
      </c>
      <c r="N153" s="64">
        <v>45681</v>
      </c>
      <c r="O153" s="54"/>
      <c r="P153" s="101"/>
    </row>
    <row r="154" spans="1:16">
      <c r="A154" s="501"/>
      <c r="B154" s="84" t="s">
        <v>377</v>
      </c>
      <c r="C154" s="54" t="s">
        <v>386</v>
      </c>
      <c r="D154" s="54" t="s">
        <v>386</v>
      </c>
      <c r="E154" s="54" t="s">
        <v>386</v>
      </c>
      <c r="F154" s="54" t="s">
        <v>386</v>
      </c>
      <c r="G154" s="54" t="s">
        <v>385</v>
      </c>
      <c r="H154" s="54" t="s">
        <v>386</v>
      </c>
      <c r="I154" s="54" t="s">
        <v>386</v>
      </c>
      <c r="J154" s="54" t="s">
        <v>385</v>
      </c>
      <c r="K154" s="54" t="s">
        <v>386</v>
      </c>
      <c r="L154" s="54" t="s">
        <v>385</v>
      </c>
      <c r="M154" s="54" t="s">
        <v>385</v>
      </c>
      <c r="N154" s="54" t="s">
        <v>385</v>
      </c>
      <c r="O154" s="54"/>
      <c r="P154" s="101"/>
    </row>
    <row r="155" spans="1:16" ht="15" customHeight="1">
      <c r="A155" s="467">
        <v>61</v>
      </c>
      <c r="B155" s="497" t="s">
        <v>323</v>
      </c>
      <c r="C155" s="482"/>
      <c r="D155" s="482">
        <v>720</v>
      </c>
      <c r="E155" s="482">
        <v>720</v>
      </c>
      <c r="F155" s="482">
        <v>720</v>
      </c>
      <c r="G155" s="482">
        <v>720</v>
      </c>
      <c r="H155" s="482">
        <v>720</v>
      </c>
      <c r="I155" s="482">
        <v>720</v>
      </c>
      <c r="J155" s="482">
        <v>720</v>
      </c>
      <c r="K155" s="482">
        <v>720</v>
      </c>
      <c r="L155" s="482">
        <v>720</v>
      </c>
      <c r="M155" s="482">
        <v>720</v>
      </c>
      <c r="N155" s="482"/>
      <c r="O155" s="491">
        <v>720</v>
      </c>
      <c r="P155" s="476">
        <f>SUM(C155:O156)</f>
        <v>7920</v>
      </c>
    </row>
    <row r="156" spans="1:16">
      <c r="A156" s="468"/>
      <c r="B156" s="558"/>
      <c r="C156" s="482"/>
      <c r="D156" s="482"/>
      <c r="E156" s="482"/>
      <c r="F156" s="482"/>
      <c r="G156" s="482"/>
      <c r="H156" s="482"/>
      <c r="I156" s="482"/>
      <c r="J156" s="482"/>
      <c r="K156" s="482"/>
      <c r="L156" s="482"/>
      <c r="M156" s="482"/>
      <c r="N156" s="482"/>
      <c r="O156" s="492"/>
      <c r="P156" s="445"/>
    </row>
    <row r="157" spans="1:16">
      <c r="A157" s="468"/>
      <c r="B157" s="84" t="s">
        <v>363</v>
      </c>
      <c r="C157" s="54"/>
      <c r="D157" s="65">
        <v>45371</v>
      </c>
      <c r="E157" s="65">
        <v>45393</v>
      </c>
      <c r="F157" s="65">
        <v>45422</v>
      </c>
      <c r="G157" s="65">
        <v>45454</v>
      </c>
      <c r="H157" s="65">
        <v>45848</v>
      </c>
      <c r="I157" s="65">
        <v>45888</v>
      </c>
      <c r="J157" s="65">
        <v>45920</v>
      </c>
      <c r="K157" s="65">
        <v>45951</v>
      </c>
      <c r="L157" s="65">
        <v>45982</v>
      </c>
      <c r="M157" s="65">
        <v>46011</v>
      </c>
      <c r="N157" s="64"/>
      <c r="O157" s="64">
        <v>45981</v>
      </c>
      <c r="P157" s="101"/>
    </row>
    <row r="158" spans="1:16">
      <c r="A158" s="478"/>
      <c r="B158" s="82" t="s">
        <v>377</v>
      </c>
      <c r="C158" s="54"/>
      <c r="D158" s="54" t="s">
        <v>1486</v>
      </c>
      <c r="E158" s="54" t="s">
        <v>1486</v>
      </c>
      <c r="F158" s="54" t="s">
        <v>1486</v>
      </c>
      <c r="G158" s="54" t="s">
        <v>1486</v>
      </c>
      <c r="H158" s="54" t="s">
        <v>1486</v>
      </c>
      <c r="I158" s="54" t="s">
        <v>1486</v>
      </c>
      <c r="J158" s="54" t="s">
        <v>1486</v>
      </c>
      <c r="K158" s="54" t="s">
        <v>1486</v>
      </c>
      <c r="L158" s="54" t="s">
        <v>1486</v>
      </c>
      <c r="M158" s="54" t="s">
        <v>1486</v>
      </c>
      <c r="N158" s="54"/>
      <c r="O158" s="54" t="s">
        <v>1486</v>
      </c>
      <c r="P158" s="101"/>
    </row>
    <row r="159" spans="1:16" ht="15" customHeight="1">
      <c r="A159" s="467">
        <v>63</v>
      </c>
      <c r="B159" s="497" t="s">
        <v>389</v>
      </c>
      <c r="C159" s="481"/>
      <c r="D159" s="481"/>
      <c r="E159" s="481"/>
      <c r="F159" s="481"/>
      <c r="G159" s="481"/>
      <c r="H159" s="481"/>
      <c r="I159" s="481"/>
      <c r="J159" s="481"/>
      <c r="K159" s="482"/>
      <c r="L159" s="482"/>
      <c r="M159" s="482"/>
      <c r="N159" s="482"/>
      <c r="O159" s="491"/>
      <c r="P159" s="476">
        <f>SUM(C159:O160)</f>
        <v>0</v>
      </c>
    </row>
    <row r="160" spans="1:16">
      <c r="A160" s="468"/>
      <c r="B160" s="558"/>
      <c r="C160" s="482"/>
      <c r="D160" s="482"/>
      <c r="E160" s="482"/>
      <c r="F160" s="482"/>
      <c r="G160" s="482"/>
      <c r="H160" s="482"/>
      <c r="I160" s="482"/>
      <c r="J160" s="482"/>
      <c r="K160" s="482"/>
      <c r="L160" s="482"/>
      <c r="M160" s="482"/>
      <c r="N160" s="482"/>
      <c r="O160" s="492"/>
      <c r="P160" s="445"/>
    </row>
    <row r="161" spans="1:16">
      <c r="A161" s="468"/>
      <c r="B161" s="84" t="s">
        <v>363</v>
      </c>
      <c r="C161" s="65"/>
      <c r="D161" s="65"/>
      <c r="E161" s="65"/>
      <c r="F161" s="65"/>
      <c r="G161" s="65"/>
      <c r="H161" s="65"/>
      <c r="I161" s="65"/>
      <c r="J161" s="54"/>
      <c r="K161" s="54"/>
      <c r="L161" s="54"/>
      <c r="M161" s="54"/>
      <c r="N161" s="54"/>
      <c r="O161" s="54"/>
      <c r="P161" s="101"/>
    </row>
    <row r="162" spans="1:16">
      <c r="A162" s="478"/>
      <c r="B162" s="82" t="s">
        <v>377</v>
      </c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101"/>
    </row>
    <row r="163" spans="1:16" ht="25.5" customHeight="1">
      <c r="A163" s="485">
        <v>64</v>
      </c>
      <c r="B163" s="497" t="s">
        <v>192</v>
      </c>
      <c r="C163" s="481">
        <v>1200</v>
      </c>
      <c r="D163" s="481">
        <v>1200</v>
      </c>
      <c r="E163" s="481">
        <v>1200</v>
      </c>
      <c r="F163" s="481">
        <v>1200</v>
      </c>
      <c r="G163" s="481">
        <v>1200</v>
      </c>
      <c r="H163" s="481">
        <v>1200</v>
      </c>
      <c r="I163" s="481">
        <v>1200</v>
      </c>
      <c r="J163" s="481">
        <v>1200</v>
      </c>
      <c r="K163" s="486">
        <v>1200</v>
      </c>
      <c r="L163" s="486">
        <v>1200</v>
      </c>
      <c r="M163" s="486">
        <v>1200</v>
      </c>
      <c r="N163" s="486">
        <v>1200</v>
      </c>
      <c r="O163" s="487">
        <v>1200</v>
      </c>
      <c r="P163" s="476">
        <f>SUM(C163:O164)</f>
        <v>15600</v>
      </c>
    </row>
    <row r="164" spans="1:16">
      <c r="A164" s="468"/>
      <c r="B164" s="542"/>
      <c r="C164" s="482"/>
      <c r="D164" s="482"/>
      <c r="E164" s="482"/>
      <c r="F164" s="482"/>
      <c r="G164" s="482"/>
      <c r="H164" s="482"/>
      <c r="I164" s="482"/>
      <c r="J164" s="482"/>
      <c r="K164" s="486"/>
      <c r="L164" s="486"/>
      <c r="M164" s="486"/>
      <c r="N164" s="486"/>
      <c r="O164" s="488"/>
      <c r="P164" s="445"/>
    </row>
    <row r="165" spans="1:16">
      <c r="A165" s="468"/>
      <c r="B165" s="82" t="s">
        <v>363</v>
      </c>
      <c r="C165" s="65">
        <v>45348</v>
      </c>
      <c r="D165" s="65">
        <v>45742</v>
      </c>
      <c r="E165" s="65">
        <v>45397</v>
      </c>
      <c r="F165" s="65">
        <v>45421</v>
      </c>
      <c r="G165" s="65">
        <v>45818</v>
      </c>
      <c r="H165" s="65">
        <v>45848</v>
      </c>
      <c r="I165" s="65">
        <v>45509</v>
      </c>
      <c r="J165" s="65">
        <v>45910</v>
      </c>
      <c r="K165" s="65">
        <v>45940</v>
      </c>
      <c r="L165" s="65">
        <v>45971</v>
      </c>
      <c r="M165" s="65">
        <v>46001</v>
      </c>
      <c r="N165" s="65">
        <v>46001</v>
      </c>
      <c r="O165" s="64">
        <v>45672</v>
      </c>
      <c r="P165" s="101"/>
    </row>
    <row r="166" spans="1:16">
      <c r="A166" s="501"/>
      <c r="B166" s="87" t="s">
        <v>377</v>
      </c>
      <c r="C166" s="54" t="s">
        <v>385</v>
      </c>
      <c r="D166" s="54" t="s">
        <v>385</v>
      </c>
      <c r="E166" s="54" t="s">
        <v>385</v>
      </c>
      <c r="F166" s="54" t="s">
        <v>374</v>
      </c>
      <c r="G166" s="54" t="s">
        <v>385</v>
      </c>
      <c r="H166" s="54" t="s">
        <v>385</v>
      </c>
      <c r="I166" s="54" t="s">
        <v>385</v>
      </c>
      <c r="J166" s="54" t="s">
        <v>385</v>
      </c>
      <c r="K166" s="54" t="s">
        <v>385</v>
      </c>
      <c r="L166" s="54" t="s">
        <v>385</v>
      </c>
      <c r="M166" s="54" t="s">
        <v>385</v>
      </c>
      <c r="N166" s="54" t="s">
        <v>385</v>
      </c>
      <c r="O166" s="54" t="s">
        <v>385</v>
      </c>
      <c r="P166" s="101"/>
    </row>
    <row r="167" spans="1:16" ht="25.5" customHeight="1">
      <c r="A167" s="467">
        <v>65</v>
      </c>
      <c r="B167" s="497" t="s">
        <v>324</v>
      </c>
      <c r="C167" s="481"/>
      <c r="D167" s="481"/>
      <c r="E167" s="481"/>
      <c r="F167" s="481"/>
      <c r="G167" s="481"/>
      <c r="H167" s="481"/>
      <c r="I167" s="482"/>
      <c r="J167" s="481"/>
      <c r="K167" s="482"/>
      <c r="L167" s="482"/>
      <c r="M167" s="482"/>
      <c r="N167" s="482"/>
      <c r="O167" s="491"/>
      <c r="P167" s="476">
        <f>SUM(C167:O168)</f>
        <v>0</v>
      </c>
    </row>
    <row r="168" spans="1:16">
      <c r="A168" s="468"/>
      <c r="B168" s="542"/>
      <c r="C168" s="482"/>
      <c r="D168" s="482"/>
      <c r="E168" s="482"/>
      <c r="F168" s="482"/>
      <c r="G168" s="482"/>
      <c r="H168" s="482"/>
      <c r="I168" s="482"/>
      <c r="J168" s="482"/>
      <c r="K168" s="482"/>
      <c r="L168" s="482"/>
      <c r="M168" s="482"/>
      <c r="N168" s="482"/>
      <c r="O168" s="492"/>
      <c r="P168" s="445"/>
    </row>
    <row r="169" spans="1:16">
      <c r="A169" s="468"/>
      <c r="B169" s="82" t="s">
        <v>363</v>
      </c>
      <c r="C169" s="65"/>
      <c r="D169" s="65"/>
      <c r="E169" s="65"/>
      <c r="F169" s="65"/>
      <c r="G169" s="65"/>
      <c r="H169" s="65"/>
      <c r="I169" s="54"/>
      <c r="J169" s="65"/>
      <c r="K169" s="54"/>
      <c r="L169" s="54"/>
      <c r="M169" s="54"/>
      <c r="N169" s="54"/>
      <c r="O169" s="54"/>
      <c r="P169" s="101"/>
    </row>
    <row r="170" spans="1:16">
      <c r="A170" s="478"/>
      <c r="B170" s="87" t="s">
        <v>377</v>
      </c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101"/>
    </row>
    <row r="171" spans="1:16" ht="15" customHeight="1">
      <c r="A171" s="485">
        <v>66</v>
      </c>
      <c r="B171" s="497" t="s">
        <v>194</v>
      </c>
      <c r="C171" s="481"/>
      <c r="D171" s="481">
        <v>1200</v>
      </c>
      <c r="E171" s="486">
        <v>1200</v>
      </c>
      <c r="F171" s="486">
        <v>100</v>
      </c>
      <c r="G171" s="486">
        <v>1200</v>
      </c>
      <c r="H171" s="486"/>
      <c r="I171" s="486"/>
      <c r="J171" s="486"/>
      <c r="K171" s="486"/>
      <c r="L171" s="486"/>
      <c r="M171" s="486"/>
      <c r="N171" s="486"/>
      <c r="O171" s="487"/>
      <c r="P171" s="476">
        <f>SUM(C171:O172)</f>
        <v>3700</v>
      </c>
    </row>
    <row r="172" spans="1:16">
      <c r="A172" s="468"/>
      <c r="B172" s="558"/>
      <c r="C172" s="482"/>
      <c r="D172" s="482"/>
      <c r="E172" s="486"/>
      <c r="F172" s="486"/>
      <c r="G172" s="486"/>
      <c r="H172" s="486"/>
      <c r="I172" s="486"/>
      <c r="J172" s="486"/>
      <c r="K172" s="486"/>
      <c r="L172" s="486"/>
      <c r="M172" s="486"/>
      <c r="N172" s="486"/>
      <c r="O172" s="488"/>
      <c r="P172" s="445"/>
    </row>
    <row r="173" spans="1:16">
      <c r="A173" s="468"/>
      <c r="B173" s="84" t="s">
        <v>363</v>
      </c>
      <c r="C173" s="65"/>
      <c r="D173" s="65">
        <v>45370</v>
      </c>
      <c r="E173" s="65">
        <v>45463</v>
      </c>
      <c r="F173" s="65">
        <v>45467</v>
      </c>
      <c r="G173" s="65">
        <v>45495</v>
      </c>
      <c r="H173" s="54"/>
      <c r="I173" s="54"/>
      <c r="J173" s="54"/>
      <c r="K173" s="54"/>
      <c r="L173" s="54"/>
      <c r="M173" s="54"/>
      <c r="N173" s="54"/>
      <c r="O173" s="54"/>
      <c r="P173" s="101"/>
    </row>
    <row r="174" spans="1:16">
      <c r="A174" s="501"/>
      <c r="B174" s="76" t="s">
        <v>377</v>
      </c>
      <c r="C174" s="73"/>
      <c r="D174" s="54" t="s">
        <v>368</v>
      </c>
      <c r="E174" s="54" t="s">
        <v>386</v>
      </c>
      <c r="F174" s="54" t="s">
        <v>386</v>
      </c>
      <c r="G174" s="54" t="s">
        <v>386</v>
      </c>
      <c r="H174" s="54"/>
      <c r="I174" s="54"/>
      <c r="J174" s="54"/>
      <c r="K174" s="54"/>
      <c r="L174" s="54"/>
      <c r="M174" s="54"/>
      <c r="N174" s="54"/>
      <c r="O174" s="54"/>
      <c r="P174" s="101"/>
    </row>
    <row r="175" spans="1:16" ht="15" customHeight="1">
      <c r="A175" s="467">
        <v>69</v>
      </c>
      <c r="B175" s="470" t="s">
        <v>44</v>
      </c>
      <c r="C175" s="479"/>
      <c r="D175" s="482">
        <v>1400</v>
      </c>
      <c r="E175" s="481">
        <v>1400</v>
      </c>
      <c r="F175" s="481">
        <v>1400</v>
      </c>
      <c r="G175" s="481"/>
      <c r="H175" s="481"/>
      <c r="I175" s="483"/>
      <c r="J175" s="481"/>
      <c r="K175" s="491"/>
      <c r="L175" s="486"/>
      <c r="M175" s="486">
        <v>1400</v>
      </c>
      <c r="N175" s="486">
        <v>1400</v>
      </c>
      <c r="O175" s="487"/>
      <c r="P175" s="549">
        <f>SUM(C175:O176)</f>
        <v>7000</v>
      </c>
    </row>
    <row r="176" spans="1:16">
      <c r="A176" s="468"/>
      <c r="B176" s="471"/>
      <c r="C176" s="480"/>
      <c r="D176" s="482"/>
      <c r="E176" s="482"/>
      <c r="F176" s="482"/>
      <c r="G176" s="482"/>
      <c r="H176" s="482"/>
      <c r="I176" s="484"/>
      <c r="J176" s="482"/>
      <c r="K176" s="492"/>
      <c r="L176" s="486"/>
      <c r="M176" s="486"/>
      <c r="N176" s="486"/>
      <c r="O176" s="488"/>
      <c r="P176" s="549"/>
    </row>
    <row r="177" spans="1:16">
      <c r="A177" s="468"/>
      <c r="B177" s="86" t="s">
        <v>363</v>
      </c>
      <c r="C177" s="97"/>
      <c r="D177" s="65">
        <v>45383</v>
      </c>
      <c r="E177" s="65">
        <v>45537</v>
      </c>
      <c r="F177" s="65">
        <v>45537</v>
      </c>
      <c r="G177" s="65"/>
      <c r="H177" s="65"/>
      <c r="I177" s="65"/>
      <c r="J177" s="65"/>
      <c r="K177" s="54"/>
      <c r="L177" s="54"/>
      <c r="M177" s="65">
        <v>45965</v>
      </c>
      <c r="N177" s="65">
        <v>45965</v>
      </c>
      <c r="O177" s="54"/>
      <c r="P177" s="101"/>
    </row>
    <row r="178" spans="1:16">
      <c r="A178" s="478"/>
      <c r="B178" s="86" t="s">
        <v>377</v>
      </c>
      <c r="C178" s="73"/>
      <c r="D178" s="54" t="s">
        <v>386</v>
      </c>
      <c r="E178" s="54" t="s">
        <v>371</v>
      </c>
      <c r="F178" s="54" t="s">
        <v>384</v>
      </c>
      <c r="G178" s="54"/>
      <c r="H178" s="54"/>
      <c r="I178" s="54"/>
      <c r="J178" s="54"/>
      <c r="K178" s="54"/>
      <c r="L178" s="54"/>
      <c r="M178" s="54" t="s">
        <v>384</v>
      </c>
      <c r="N178" s="54" t="s">
        <v>384</v>
      </c>
      <c r="O178" s="54"/>
      <c r="P178" s="101"/>
    </row>
    <row r="179" spans="1:16" ht="15" customHeight="1">
      <c r="A179" s="467">
        <v>71</v>
      </c>
      <c r="B179" s="470" t="s">
        <v>1514</v>
      </c>
      <c r="C179" s="479"/>
      <c r="D179" s="482"/>
      <c r="E179" s="481"/>
      <c r="F179" s="481"/>
      <c r="G179" s="481"/>
      <c r="H179" s="481"/>
      <c r="I179" s="483"/>
      <c r="J179" s="486">
        <v>340</v>
      </c>
      <c r="K179" s="487">
        <v>340</v>
      </c>
      <c r="L179" s="486">
        <v>340</v>
      </c>
      <c r="M179" s="486">
        <v>340</v>
      </c>
      <c r="N179" s="486"/>
      <c r="O179" s="487">
        <v>340</v>
      </c>
      <c r="P179" s="476">
        <f>SUM(C179:O180)</f>
        <v>1700</v>
      </c>
    </row>
    <row r="180" spans="1:16">
      <c r="A180" s="468"/>
      <c r="B180" s="471"/>
      <c r="C180" s="480"/>
      <c r="D180" s="482"/>
      <c r="E180" s="482"/>
      <c r="F180" s="482"/>
      <c r="G180" s="482"/>
      <c r="H180" s="482"/>
      <c r="I180" s="484"/>
      <c r="J180" s="486"/>
      <c r="K180" s="488"/>
      <c r="L180" s="486"/>
      <c r="M180" s="486"/>
      <c r="N180" s="486"/>
      <c r="O180" s="488"/>
      <c r="P180" s="445"/>
    </row>
    <row r="181" spans="1:16">
      <c r="A181" s="468"/>
      <c r="B181" s="86" t="s">
        <v>363</v>
      </c>
      <c r="C181" s="97"/>
      <c r="D181" s="65"/>
      <c r="E181" s="65"/>
      <c r="F181" s="65"/>
      <c r="G181" s="65"/>
      <c r="H181" s="65"/>
      <c r="I181" s="65"/>
      <c r="J181" s="65">
        <v>45524</v>
      </c>
      <c r="K181" s="65">
        <v>45918</v>
      </c>
      <c r="L181" s="65">
        <v>45979</v>
      </c>
      <c r="M181" s="65">
        <v>46001</v>
      </c>
      <c r="N181" s="64"/>
      <c r="O181" s="64">
        <v>45695</v>
      </c>
      <c r="P181" s="101"/>
    </row>
    <row r="182" spans="1:16">
      <c r="A182" s="478"/>
      <c r="B182" s="86" t="s">
        <v>377</v>
      </c>
      <c r="C182" s="73"/>
      <c r="D182" s="54"/>
      <c r="E182" s="54"/>
      <c r="F182" s="54"/>
      <c r="G182" s="54"/>
      <c r="H182" s="54"/>
      <c r="I182" s="54"/>
      <c r="J182" s="54" t="s">
        <v>384</v>
      </c>
      <c r="K182" s="54" t="s">
        <v>384</v>
      </c>
      <c r="L182" s="54" t="s">
        <v>384</v>
      </c>
      <c r="M182" s="54" t="s">
        <v>384</v>
      </c>
      <c r="N182" s="54"/>
      <c r="O182" s="54" t="s">
        <v>384</v>
      </c>
      <c r="P182" s="101"/>
    </row>
    <row r="183" spans="1:16" ht="25.5" customHeight="1">
      <c r="A183" s="467">
        <v>74</v>
      </c>
      <c r="B183" s="470" t="s">
        <v>197</v>
      </c>
      <c r="C183" s="479">
        <v>980</v>
      </c>
      <c r="D183" s="479">
        <v>980</v>
      </c>
      <c r="E183" s="481">
        <v>980</v>
      </c>
      <c r="F183" s="481">
        <v>980</v>
      </c>
      <c r="G183" s="481">
        <v>980</v>
      </c>
      <c r="H183" s="481">
        <v>980</v>
      </c>
      <c r="I183" s="481"/>
      <c r="J183" s="481"/>
      <c r="K183" s="481">
        <v>980</v>
      </c>
      <c r="L183" s="481">
        <v>980</v>
      </c>
      <c r="M183" s="486">
        <v>980</v>
      </c>
      <c r="N183" s="486">
        <v>980</v>
      </c>
      <c r="O183" s="487">
        <v>980</v>
      </c>
      <c r="P183" s="476">
        <f>SUM(C183:O184)</f>
        <v>10780</v>
      </c>
    </row>
    <row r="184" spans="1:16">
      <c r="A184" s="468"/>
      <c r="B184" s="471"/>
      <c r="C184" s="480"/>
      <c r="D184" s="480"/>
      <c r="E184" s="482"/>
      <c r="F184" s="482"/>
      <c r="G184" s="482"/>
      <c r="H184" s="482"/>
      <c r="I184" s="482"/>
      <c r="J184" s="482"/>
      <c r="K184" s="482"/>
      <c r="L184" s="482"/>
      <c r="M184" s="486"/>
      <c r="N184" s="486"/>
      <c r="O184" s="488"/>
      <c r="P184" s="445"/>
    </row>
    <row r="185" spans="1:16">
      <c r="A185" s="468"/>
      <c r="B185" s="87" t="s">
        <v>363</v>
      </c>
      <c r="C185" s="65">
        <v>45324</v>
      </c>
      <c r="D185" s="65">
        <v>45355</v>
      </c>
      <c r="E185" s="65">
        <v>45390</v>
      </c>
      <c r="F185" s="65">
        <v>45426</v>
      </c>
      <c r="G185" s="65">
        <v>45450</v>
      </c>
      <c r="H185" s="65">
        <v>45482</v>
      </c>
      <c r="I185" s="65"/>
      <c r="J185" s="65"/>
      <c r="K185" s="65">
        <v>45940</v>
      </c>
      <c r="L185" s="65">
        <v>45974</v>
      </c>
      <c r="M185" s="65">
        <v>46002</v>
      </c>
      <c r="N185" s="65">
        <v>46002</v>
      </c>
      <c r="O185" s="64">
        <v>45667</v>
      </c>
      <c r="P185" s="101"/>
    </row>
    <row r="186" spans="1:16">
      <c r="A186" s="478"/>
      <c r="B186" s="76" t="s">
        <v>377</v>
      </c>
      <c r="C186" s="73" t="s">
        <v>386</v>
      </c>
      <c r="D186" s="54" t="s">
        <v>384</v>
      </c>
      <c r="E186" s="54" t="s">
        <v>371</v>
      </c>
      <c r="F186" s="54" t="s">
        <v>384</v>
      </c>
      <c r="G186" s="54" t="s">
        <v>384</v>
      </c>
      <c r="H186" s="54" t="s">
        <v>384</v>
      </c>
      <c r="I186" s="54"/>
      <c r="J186" s="54"/>
      <c r="K186" s="54" t="s">
        <v>384</v>
      </c>
      <c r="L186" s="54" t="s">
        <v>384</v>
      </c>
      <c r="M186" s="54" t="s">
        <v>384</v>
      </c>
      <c r="N186" s="54" t="s">
        <v>384</v>
      </c>
      <c r="O186" s="54" t="s">
        <v>386</v>
      </c>
      <c r="P186" s="101"/>
    </row>
    <row r="187" spans="1:16" ht="15" customHeight="1">
      <c r="A187" s="485">
        <v>75</v>
      </c>
      <c r="B187" s="470" t="s">
        <v>198</v>
      </c>
      <c r="C187" s="479">
        <v>260</v>
      </c>
      <c r="D187" s="479">
        <v>260</v>
      </c>
      <c r="E187" s="481">
        <v>260</v>
      </c>
      <c r="F187" s="481">
        <v>260</v>
      </c>
      <c r="G187" s="481">
        <v>260</v>
      </c>
      <c r="H187" s="481">
        <v>260</v>
      </c>
      <c r="I187" s="481">
        <v>260</v>
      </c>
      <c r="J187" s="481">
        <v>260</v>
      </c>
      <c r="K187" s="486">
        <v>260</v>
      </c>
      <c r="L187" s="486">
        <v>260</v>
      </c>
      <c r="M187" s="486">
        <v>260</v>
      </c>
      <c r="N187" s="486"/>
      <c r="O187" s="487">
        <v>260</v>
      </c>
      <c r="P187" s="476">
        <f>SUM(C187:O188)</f>
        <v>3120</v>
      </c>
    </row>
    <row r="188" spans="1:16">
      <c r="A188" s="468"/>
      <c r="B188" s="471"/>
      <c r="C188" s="480"/>
      <c r="D188" s="480"/>
      <c r="E188" s="482"/>
      <c r="F188" s="482"/>
      <c r="G188" s="482"/>
      <c r="H188" s="482"/>
      <c r="I188" s="482"/>
      <c r="J188" s="482"/>
      <c r="K188" s="486"/>
      <c r="L188" s="486"/>
      <c r="M188" s="486"/>
      <c r="N188" s="486"/>
      <c r="O188" s="488"/>
      <c r="P188" s="445"/>
    </row>
    <row r="189" spans="1:16">
      <c r="A189" s="468"/>
      <c r="B189" s="87" t="s">
        <v>363</v>
      </c>
      <c r="C189" s="65">
        <v>45328</v>
      </c>
      <c r="D189" s="65">
        <v>45361</v>
      </c>
      <c r="E189" s="65">
        <v>45391</v>
      </c>
      <c r="F189" s="65">
        <v>45421</v>
      </c>
      <c r="G189" s="65">
        <v>45453</v>
      </c>
      <c r="H189" s="65">
        <v>45482</v>
      </c>
      <c r="I189" s="65">
        <v>45877</v>
      </c>
      <c r="J189" s="65">
        <v>45910</v>
      </c>
      <c r="K189" s="65">
        <v>45938</v>
      </c>
      <c r="L189" s="65">
        <v>45969</v>
      </c>
      <c r="M189" s="65">
        <v>46001</v>
      </c>
      <c r="N189" s="54"/>
      <c r="O189" s="64">
        <v>45665</v>
      </c>
      <c r="P189" s="101"/>
    </row>
    <row r="190" spans="1:16">
      <c r="A190" s="501"/>
      <c r="B190" s="76" t="s">
        <v>377</v>
      </c>
      <c r="C190" s="73" t="s">
        <v>386</v>
      </c>
      <c r="D190" s="65" t="s">
        <v>386</v>
      </c>
      <c r="E190" s="54" t="s">
        <v>371</v>
      </c>
      <c r="F190" s="54" t="s">
        <v>371</v>
      </c>
      <c r="G190" s="54" t="s">
        <v>371</v>
      </c>
      <c r="H190" s="54" t="s">
        <v>384</v>
      </c>
      <c r="I190" s="54" t="s">
        <v>384</v>
      </c>
      <c r="J190" s="54" t="s">
        <v>384</v>
      </c>
      <c r="K190" s="54" t="s">
        <v>384</v>
      </c>
      <c r="L190" s="54" t="s">
        <v>384</v>
      </c>
      <c r="M190" s="54" t="s">
        <v>384</v>
      </c>
      <c r="N190" s="54"/>
      <c r="O190" s="54" t="s">
        <v>386</v>
      </c>
      <c r="P190" s="101"/>
    </row>
    <row r="191" spans="1:16" ht="15" customHeight="1">
      <c r="A191" s="467">
        <v>77</v>
      </c>
      <c r="B191" s="470" t="s">
        <v>327</v>
      </c>
      <c r="C191" s="479">
        <v>700</v>
      </c>
      <c r="D191" s="482">
        <v>700</v>
      </c>
      <c r="E191" s="482">
        <v>700</v>
      </c>
      <c r="F191" s="482">
        <v>700</v>
      </c>
      <c r="G191" s="482">
        <v>700</v>
      </c>
      <c r="H191" s="482">
        <v>700</v>
      </c>
      <c r="I191" s="482"/>
      <c r="J191" s="482"/>
      <c r="K191" s="482"/>
      <c r="L191" s="482"/>
      <c r="M191" s="482"/>
      <c r="N191" s="482"/>
      <c r="O191" s="491"/>
      <c r="P191" s="476">
        <f>SUM(C191:O192)</f>
        <v>4200</v>
      </c>
    </row>
    <row r="192" spans="1:16">
      <c r="A192" s="468"/>
      <c r="B192" s="471"/>
      <c r="C192" s="480"/>
      <c r="D192" s="482"/>
      <c r="E192" s="482"/>
      <c r="F192" s="482"/>
      <c r="G192" s="482"/>
      <c r="H192" s="482"/>
      <c r="I192" s="482"/>
      <c r="J192" s="482"/>
      <c r="K192" s="482"/>
      <c r="L192" s="482"/>
      <c r="M192" s="482"/>
      <c r="N192" s="482"/>
      <c r="O192" s="492"/>
      <c r="P192" s="445"/>
    </row>
    <row r="193" spans="1:16">
      <c r="A193" s="468"/>
      <c r="B193" s="86" t="s">
        <v>363</v>
      </c>
      <c r="C193" s="97">
        <v>45387</v>
      </c>
      <c r="D193" s="65">
        <v>45387</v>
      </c>
      <c r="E193" s="65">
        <v>45427</v>
      </c>
      <c r="F193" s="65">
        <v>45427</v>
      </c>
      <c r="G193" s="65">
        <v>45488</v>
      </c>
      <c r="H193" s="64">
        <v>45485</v>
      </c>
      <c r="I193" s="54"/>
      <c r="J193" s="54"/>
      <c r="K193" s="54"/>
      <c r="L193" s="54"/>
      <c r="M193" s="54"/>
      <c r="N193" s="54"/>
      <c r="O193" s="54"/>
      <c r="P193" s="101"/>
    </row>
    <row r="194" spans="1:16">
      <c r="A194" s="478"/>
      <c r="B194" s="76" t="s">
        <v>377</v>
      </c>
      <c r="C194" s="73" t="s">
        <v>371</v>
      </c>
      <c r="D194" s="54" t="s">
        <v>371</v>
      </c>
      <c r="E194" s="54" t="s">
        <v>384</v>
      </c>
      <c r="F194" s="54" t="s">
        <v>384</v>
      </c>
      <c r="G194" s="54" t="s">
        <v>384</v>
      </c>
      <c r="H194" s="54" t="s">
        <v>384</v>
      </c>
      <c r="I194" s="54"/>
      <c r="J194" s="54"/>
      <c r="K194" s="54"/>
      <c r="L194" s="54"/>
      <c r="M194" s="54"/>
      <c r="N194" s="54"/>
      <c r="O194" s="54"/>
      <c r="P194" s="101"/>
    </row>
    <row r="195" spans="1:16" ht="15" customHeight="1">
      <c r="A195" s="467">
        <v>79</v>
      </c>
      <c r="B195" s="598" t="s">
        <v>364</v>
      </c>
      <c r="C195" s="499"/>
      <c r="D195" s="486">
        <v>2250</v>
      </c>
      <c r="E195" s="486">
        <v>2250</v>
      </c>
      <c r="F195" s="486">
        <v>2250</v>
      </c>
      <c r="G195" s="486">
        <v>2250</v>
      </c>
      <c r="H195" s="486">
        <v>2250</v>
      </c>
      <c r="I195" s="486">
        <v>2250</v>
      </c>
      <c r="J195" s="486">
        <v>2250</v>
      </c>
      <c r="K195" s="486">
        <v>2250</v>
      </c>
      <c r="L195" s="486">
        <v>2250</v>
      </c>
      <c r="M195" s="486">
        <v>2250</v>
      </c>
      <c r="N195" s="486"/>
      <c r="O195" s="487">
        <v>2250</v>
      </c>
      <c r="P195" s="476">
        <f>SUM(C195:O196)</f>
        <v>24750</v>
      </c>
    </row>
    <row r="196" spans="1:16">
      <c r="A196" s="468"/>
      <c r="B196" s="599"/>
      <c r="C196" s="499"/>
      <c r="D196" s="486"/>
      <c r="E196" s="486"/>
      <c r="F196" s="486"/>
      <c r="G196" s="486"/>
      <c r="H196" s="486"/>
      <c r="I196" s="486"/>
      <c r="J196" s="486"/>
      <c r="K196" s="486"/>
      <c r="L196" s="486"/>
      <c r="M196" s="486"/>
      <c r="N196" s="486"/>
      <c r="O196" s="488"/>
      <c r="P196" s="445"/>
    </row>
    <row r="197" spans="1:16">
      <c r="A197" s="468"/>
      <c r="B197" s="86" t="s">
        <v>363</v>
      </c>
      <c r="C197" s="73"/>
      <c r="D197" s="65">
        <v>45361</v>
      </c>
      <c r="E197" s="65">
        <v>45392</v>
      </c>
      <c r="F197" s="65">
        <v>45422</v>
      </c>
      <c r="G197" s="65">
        <v>45818</v>
      </c>
      <c r="H197" s="65">
        <v>45847</v>
      </c>
      <c r="I197" s="65">
        <v>45889</v>
      </c>
      <c r="J197" s="65">
        <v>45917</v>
      </c>
      <c r="K197" s="65">
        <v>45938</v>
      </c>
      <c r="L197" s="65">
        <v>45975</v>
      </c>
      <c r="M197" s="65">
        <v>46010</v>
      </c>
      <c r="N197" s="54"/>
      <c r="O197" s="64">
        <v>45677</v>
      </c>
      <c r="P197" s="101"/>
    </row>
    <row r="198" spans="1:16">
      <c r="A198" s="478"/>
      <c r="B198" s="76" t="s">
        <v>377</v>
      </c>
      <c r="C198" s="73"/>
      <c r="D198" s="54" t="s">
        <v>1486</v>
      </c>
      <c r="E198" s="54" t="s">
        <v>1486</v>
      </c>
      <c r="F198" s="54" t="s">
        <v>1486</v>
      </c>
      <c r="G198" s="54" t="s">
        <v>1486</v>
      </c>
      <c r="H198" s="54" t="s">
        <v>1486</v>
      </c>
      <c r="I198" s="54" t="s">
        <v>1486</v>
      </c>
      <c r="J198" s="54" t="s">
        <v>1486</v>
      </c>
      <c r="K198" s="54" t="s">
        <v>1486</v>
      </c>
      <c r="L198" s="54" t="s">
        <v>1486</v>
      </c>
      <c r="M198" s="54" t="s">
        <v>1486</v>
      </c>
      <c r="N198" s="54"/>
      <c r="O198" s="54" t="s">
        <v>1486</v>
      </c>
      <c r="P198" s="101"/>
    </row>
    <row r="199" spans="1:16" ht="15" customHeight="1">
      <c r="A199" s="485">
        <v>80</v>
      </c>
      <c r="B199" s="470" t="s">
        <v>328</v>
      </c>
      <c r="C199" s="499"/>
      <c r="D199" s="486">
        <v>720</v>
      </c>
      <c r="E199" s="486">
        <v>720</v>
      </c>
      <c r="F199" s="486">
        <v>720</v>
      </c>
      <c r="G199" s="486">
        <v>720</v>
      </c>
      <c r="H199" s="486">
        <v>720</v>
      </c>
      <c r="I199" s="486">
        <v>720</v>
      </c>
      <c r="J199" s="486">
        <v>720</v>
      </c>
      <c r="K199" s="486">
        <v>720</v>
      </c>
      <c r="L199" s="486">
        <v>720</v>
      </c>
      <c r="M199" s="486">
        <v>720</v>
      </c>
      <c r="N199" s="486">
        <v>720</v>
      </c>
      <c r="O199" s="487">
        <v>720</v>
      </c>
      <c r="P199" s="476">
        <f>SUM(C199:O200)</f>
        <v>8640</v>
      </c>
    </row>
    <row r="200" spans="1:16">
      <c r="A200" s="468"/>
      <c r="B200" s="471"/>
      <c r="C200" s="499"/>
      <c r="D200" s="486"/>
      <c r="E200" s="486"/>
      <c r="F200" s="486"/>
      <c r="G200" s="486"/>
      <c r="H200" s="486"/>
      <c r="I200" s="486"/>
      <c r="J200" s="486"/>
      <c r="K200" s="486"/>
      <c r="L200" s="486"/>
      <c r="M200" s="486"/>
      <c r="N200" s="486"/>
      <c r="O200" s="488"/>
      <c r="P200" s="445"/>
    </row>
    <row r="201" spans="1:16">
      <c r="A201" s="468"/>
      <c r="B201" s="86" t="s">
        <v>363</v>
      </c>
      <c r="C201" s="73"/>
      <c r="D201" s="65">
        <v>45371</v>
      </c>
      <c r="E201" s="65">
        <v>45392</v>
      </c>
      <c r="F201" s="65">
        <v>45422</v>
      </c>
      <c r="G201" s="65">
        <v>45453</v>
      </c>
      <c r="H201" s="65">
        <v>45843</v>
      </c>
      <c r="I201" s="65">
        <v>45889</v>
      </c>
      <c r="J201" s="65">
        <v>45919</v>
      </c>
      <c r="K201" s="65">
        <v>45932</v>
      </c>
      <c r="L201" s="64">
        <v>45980</v>
      </c>
      <c r="M201" s="64">
        <v>46009</v>
      </c>
      <c r="N201" s="64">
        <v>46009</v>
      </c>
      <c r="O201" s="64">
        <v>45673</v>
      </c>
      <c r="P201" s="101"/>
    </row>
    <row r="202" spans="1:16">
      <c r="A202" s="501"/>
      <c r="B202" s="76" t="s">
        <v>377</v>
      </c>
      <c r="C202" s="73"/>
      <c r="D202" s="54" t="s">
        <v>1486</v>
      </c>
      <c r="E202" s="54" t="s">
        <v>1486</v>
      </c>
      <c r="F202" s="54" t="s">
        <v>1486</v>
      </c>
      <c r="G202" s="54" t="s">
        <v>1486</v>
      </c>
      <c r="H202" s="54" t="s">
        <v>1486</v>
      </c>
      <c r="I202" s="54" t="s">
        <v>1486</v>
      </c>
      <c r="J202" s="54" t="s">
        <v>1486</v>
      </c>
      <c r="K202" s="54" t="s">
        <v>1486</v>
      </c>
      <c r="L202" s="54" t="s">
        <v>1486</v>
      </c>
      <c r="M202" s="54" t="s">
        <v>1486</v>
      </c>
      <c r="N202" s="54" t="s">
        <v>1486</v>
      </c>
      <c r="O202" s="54" t="s">
        <v>1486</v>
      </c>
      <c r="P202" s="101"/>
    </row>
    <row r="203" spans="1:16" ht="15" customHeight="1">
      <c r="A203" s="467">
        <v>82</v>
      </c>
      <c r="B203" s="470" t="s">
        <v>202</v>
      </c>
      <c r="C203" s="479">
        <v>590</v>
      </c>
      <c r="D203" s="479">
        <v>590</v>
      </c>
      <c r="E203" s="481"/>
      <c r="F203" s="481">
        <v>590</v>
      </c>
      <c r="G203" s="481">
        <v>590</v>
      </c>
      <c r="H203" s="481">
        <v>590</v>
      </c>
      <c r="I203" s="481">
        <v>590</v>
      </c>
      <c r="J203" s="486">
        <v>590</v>
      </c>
      <c r="K203" s="486">
        <v>590</v>
      </c>
      <c r="L203" s="486">
        <v>590</v>
      </c>
      <c r="M203" s="486">
        <v>590</v>
      </c>
      <c r="N203" s="486">
        <v>590</v>
      </c>
      <c r="O203" s="487">
        <v>590</v>
      </c>
      <c r="P203" s="476">
        <f>SUM(C203:O204)</f>
        <v>7080</v>
      </c>
    </row>
    <row r="204" spans="1:16">
      <c r="A204" s="468"/>
      <c r="B204" s="471"/>
      <c r="C204" s="480"/>
      <c r="D204" s="480"/>
      <c r="E204" s="482"/>
      <c r="F204" s="482"/>
      <c r="G204" s="482"/>
      <c r="H204" s="482"/>
      <c r="I204" s="482"/>
      <c r="J204" s="486"/>
      <c r="K204" s="486"/>
      <c r="L204" s="486"/>
      <c r="M204" s="486"/>
      <c r="N204" s="486"/>
      <c r="O204" s="488"/>
      <c r="P204" s="445"/>
    </row>
    <row r="205" spans="1:16">
      <c r="A205" s="468"/>
      <c r="B205" s="86" t="s">
        <v>363</v>
      </c>
      <c r="C205" s="97">
        <v>45329</v>
      </c>
      <c r="D205" s="65">
        <v>45357</v>
      </c>
      <c r="E205" s="65"/>
      <c r="F205" s="65">
        <v>45421</v>
      </c>
      <c r="G205" s="65">
        <v>45453</v>
      </c>
      <c r="H205" s="65">
        <v>45483</v>
      </c>
      <c r="I205" s="65">
        <v>45513</v>
      </c>
      <c r="J205" s="65">
        <v>45544</v>
      </c>
      <c r="K205" s="65">
        <v>45574</v>
      </c>
      <c r="L205" s="65">
        <v>45604</v>
      </c>
      <c r="M205" s="65">
        <v>45635</v>
      </c>
      <c r="N205" s="65">
        <v>45635</v>
      </c>
      <c r="O205" s="64">
        <v>45666</v>
      </c>
      <c r="P205" s="101"/>
    </row>
    <row r="206" spans="1:16">
      <c r="A206" s="501"/>
      <c r="B206" s="76" t="s">
        <v>377</v>
      </c>
      <c r="C206" s="73" t="s">
        <v>386</v>
      </c>
      <c r="D206" s="54" t="s">
        <v>386</v>
      </c>
      <c r="E206" s="54"/>
      <c r="F206" s="54" t="s">
        <v>374</v>
      </c>
      <c r="G206" s="54" t="s">
        <v>385</v>
      </c>
      <c r="H206" s="54" t="s">
        <v>386</v>
      </c>
      <c r="I206" s="54" t="s">
        <v>386</v>
      </c>
      <c r="J206" s="54" t="s">
        <v>386</v>
      </c>
      <c r="K206" s="54" t="s">
        <v>386</v>
      </c>
      <c r="L206" s="54" t="s">
        <v>386</v>
      </c>
      <c r="M206" s="54" t="s">
        <v>386</v>
      </c>
      <c r="N206" s="54" t="s">
        <v>386</v>
      </c>
      <c r="O206" s="54" t="s">
        <v>386</v>
      </c>
      <c r="P206" s="101"/>
    </row>
    <row r="207" spans="1:16" ht="15" customHeight="1">
      <c r="A207" s="467">
        <v>85</v>
      </c>
      <c r="B207" s="559" t="s">
        <v>329</v>
      </c>
      <c r="C207" s="482"/>
      <c r="D207" s="482"/>
      <c r="E207" s="482"/>
      <c r="F207" s="473"/>
      <c r="G207" s="482"/>
      <c r="H207" s="482"/>
      <c r="I207" s="482"/>
      <c r="J207" s="482"/>
      <c r="K207" s="482"/>
      <c r="L207" s="482"/>
      <c r="M207" s="482"/>
      <c r="N207" s="482"/>
      <c r="O207" s="491"/>
      <c r="P207" s="476">
        <f>SUM(C207:O208)</f>
        <v>0</v>
      </c>
    </row>
    <row r="208" spans="1:16">
      <c r="A208" s="468"/>
      <c r="B208" s="560"/>
      <c r="C208" s="482"/>
      <c r="D208" s="482"/>
      <c r="E208" s="482"/>
      <c r="F208" s="473"/>
      <c r="G208" s="482"/>
      <c r="H208" s="482"/>
      <c r="I208" s="482"/>
      <c r="J208" s="482"/>
      <c r="K208" s="482"/>
      <c r="L208" s="482"/>
      <c r="M208" s="482"/>
      <c r="N208" s="482"/>
      <c r="O208" s="492"/>
      <c r="P208" s="445"/>
    </row>
    <row r="209" spans="1:16">
      <c r="A209" s="468"/>
      <c r="B209" s="93" t="s">
        <v>363</v>
      </c>
      <c r="C209" s="54"/>
      <c r="D209" s="54"/>
      <c r="E209" s="54"/>
      <c r="F209" s="65"/>
      <c r="G209" s="54"/>
      <c r="H209" s="54"/>
      <c r="I209" s="54"/>
      <c r="J209" s="54"/>
      <c r="K209" s="54"/>
      <c r="L209" s="54"/>
      <c r="M209" s="54"/>
      <c r="N209" s="54"/>
      <c r="O209" s="54"/>
      <c r="P209" s="101"/>
    </row>
    <row r="210" spans="1:16">
      <c r="A210" s="501"/>
      <c r="B210" s="94" t="s">
        <v>377</v>
      </c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101"/>
    </row>
    <row r="211" spans="1:16" ht="15" customHeight="1">
      <c r="A211" s="467">
        <v>87</v>
      </c>
      <c r="B211" s="559" t="s">
        <v>204</v>
      </c>
      <c r="C211" s="481">
        <v>590</v>
      </c>
      <c r="D211" s="481">
        <v>590</v>
      </c>
      <c r="E211" s="481">
        <v>590</v>
      </c>
      <c r="F211" s="481">
        <v>590</v>
      </c>
      <c r="G211" s="481"/>
      <c r="H211" s="481">
        <v>480</v>
      </c>
      <c r="I211" s="481">
        <v>480</v>
      </c>
      <c r="J211" s="481">
        <v>480</v>
      </c>
      <c r="K211" s="486">
        <v>480</v>
      </c>
      <c r="L211" s="486">
        <v>480</v>
      </c>
      <c r="M211" s="486">
        <v>480</v>
      </c>
      <c r="N211" s="486">
        <v>480</v>
      </c>
      <c r="O211" s="487">
        <v>480</v>
      </c>
      <c r="P211" s="476">
        <f>SUM(C211:O212)</f>
        <v>6200</v>
      </c>
    </row>
    <row r="212" spans="1:16">
      <c r="A212" s="468"/>
      <c r="B212" s="561"/>
      <c r="C212" s="482"/>
      <c r="D212" s="482"/>
      <c r="E212" s="482"/>
      <c r="F212" s="482"/>
      <c r="G212" s="482"/>
      <c r="H212" s="482"/>
      <c r="I212" s="482"/>
      <c r="J212" s="482"/>
      <c r="K212" s="486"/>
      <c r="L212" s="486"/>
      <c r="M212" s="486"/>
      <c r="N212" s="486"/>
      <c r="O212" s="488"/>
      <c r="P212" s="445"/>
    </row>
    <row r="213" spans="1:16">
      <c r="A213" s="468"/>
      <c r="B213" s="93" t="s">
        <v>363</v>
      </c>
      <c r="C213" s="65">
        <v>45337</v>
      </c>
      <c r="D213" s="65">
        <v>45366</v>
      </c>
      <c r="E213" s="65">
        <v>45397</v>
      </c>
      <c r="F213" s="65">
        <v>45426</v>
      </c>
      <c r="G213" s="65"/>
      <c r="H213" s="65">
        <v>45488</v>
      </c>
      <c r="I213" s="65">
        <v>45519</v>
      </c>
      <c r="J213" s="65">
        <v>45548</v>
      </c>
      <c r="K213" s="65">
        <v>45579</v>
      </c>
      <c r="L213" s="65">
        <v>45610</v>
      </c>
      <c r="M213" s="65">
        <v>45635</v>
      </c>
      <c r="N213" s="65">
        <v>45635</v>
      </c>
      <c r="O213" s="64">
        <v>45670</v>
      </c>
      <c r="P213" s="101"/>
    </row>
    <row r="214" spans="1:16">
      <c r="A214" s="501"/>
      <c r="B214" s="93" t="s">
        <v>377</v>
      </c>
      <c r="C214" s="54" t="s">
        <v>386</v>
      </c>
      <c r="D214" s="54" t="s">
        <v>386</v>
      </c>
      <c r="E214" s="54" t="s">
        <v>386</v>
      </c>
      <c r="F214" s="54" t="s">
        <v>386</v>
      </c>
      <c r="G214" s="54"/>
      <c r="H214" s="54" t="s">
        <v>386</v>
      </c>
      <c r="I214" s="54" t="s">
        <v>386</v>
      </c>
      <c r="J214" s="54" t="s">
        <v>385</v>
      </c>
      <c r="K214" s="54" t="s">
        <v>385</v>
      </c>
      <c r="L214" s="54" t="s">
        <v>385</v>
      </c>
      <c r="M214" s="54" t="s">
        <v>386</v>
      </c>
      <c r="N214" s="54" t="s">
        <v>386</v>
      </c>
      <c r="O214" s="54" t="s">
        <v>386</v>
      </c>
      <c r="P214" s="101"/>
    </row>
    <row r="215" spans="1:16">
      <c r="A215" s="467">
        <v>92</v>
      </c>
      <c r="B215" s="559" t="s">
        <v>55</v>
      </c>
      <c r="C215" s="482"/>
      <c r="D215" s="482"/>
      <c r="E215" s="481"/>
      <c r="F215" s="482"/>
      <c r="G215" s="482"/>
      <c r="H215" s="482"/>
      <c r="I215" s="482"/>
      <c r="J215" s="482"/>
      <c r="K215" s="482"/>
      <c r="L215" s="482"/>
      <c r="M215" s="482"/>
      <c r="N215" s="482"/>
      <c r="O215" s="491"/>
      <c r="P215" s="476">
        <f>SUM(C215:O216)</f>
        <v>0</v>
      </c>
    </row>
    <row r="216" spans="1:16">
      <c r="A216" s="468"/>
      <c r="B216" s="561"/>
      <c r="C216" s="482"/>
      <c r="D216" s="482"/>
      <c r="E216" s="482"/>
      <c r="F216" s="482"/>
      <c r="G216" s="482"/>
      <c r="H216" s="482"/>
      <c r="I216" s="482"/>
      <c r="J216" s="482"/>
      <c r="K216" s="482"/>
      <c r="L216" s="482"/>
      <c r="M216" s="482"/>
      <c r="N216" s="482"/>
      <c r="O216" s="492"/>
      <c r="P216" s="445"/>
    </row>
    <row r="217" spans="1:16">
      <c r="A217" s="468"/>
      <c r="B217" s="93" t="s">
        <v>363</v>
      </c>
      <c r="C217" s="54"/>
      <c r="D217" s="54"/>
      <c r="E217" s="65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101"/>
    </row>
    <row r="218" spans="1:16">
      <c r="A218" s="501"/>
      <c r="B218" s="94" t="s">
        <v>377</v>
      </c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101"/>
    </row>
    <row r="219" spans="1:16">
      <c r="A219" s="467">
        <v>93</v>
      </c>
      <c r="B219" s="562" t="s">
        <v>56</v>
      </c>
      <c r="C219" s="500"/>
      <c r="D219" s="500"/>
      <c r="E219" s="500"/>
      <c r="F219" s="500"/>
      <c r="G219" s="500"/>
      <c r="H219" s="482"/>
      <c r="I219" s="482"/>
      <c r="J219" s="482"/>
      <c r="K219" s="482"/>
      <c r="L219" s="482"/>
      <c r="M219" s="482"/>
      <c r="N219" s="482"/>
      <c r="O219" s="491"/>
      <c r="P219" s="476">
        <f>SUM(C219:O220)</f>
        <v>0</v>
      </c>
    </row>
    <row r="220" spans="1:16">
      <c r="A220" s="468"/>
      <c r="B220" s="562"/>
      <c r="C220" s="482"/>
      <c r="D220" s="482"/>
      <c r="E220" s="482"/>
      <c r="F220" s="482"/>
      <c r="G220" s="482"/>
      <c r="H220" s="482"/>
      <c r="I220" s="482"/>
      <c r="J220" s="482"/>
      <c r="K220" s="482"/>
      <c r="L220" s="482"/>
      <c r="M220" s="482"/>
      <c r="N220" s="482"/>
      <c r="O220" s="492"/>
      <c r="P220" s="445"/>
    </row>
    <row r="221" spans="1:16">
      <c r="A221" s="468"/>
      <c r="B221" s="93" t="s">
        <v>363</v>
      </c>
      <c r="C221" s="65"/>
      <c r="D221" s="65"/>
      <c r="E221" s="65"/>
      <c r="F221" s="65"/>
      <c r="G221" s="65"/>
      <c r="H221" s="54"/>
      <c r="I221" s="54"/>
      <c r="J221" s="54"/>
      <c r="K221" s="54"/>
      <c r="L221" s="54"/>
      <c r="M221" s="54"/>
      <c r="N221" s="54"/>
      <c r="O221" s="54"/>
      <c r="P221" s="101"/>
    </row>
    <row r="222" spans="1:16">
      <c r="A222" s="501"/>
      <c r="B222" s="93" t="s">
        <v>377</v>
      </c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101"/>
    </row>
    <row r="223" spans="1:16" ht="25.5" customHeight="1">
      <c r="A223" s="467">
        <v>94</v>
      </c>
      <c r="B223" s="559" t="s">
        <v>207</v>
      </c>
      <c r="C223" s="481"/>
      <c r="D223" s="481"/>
      <c r="E223" s="481">
        <v>1730</v>
      </c>
      <c r="F223" s="481">
        <v>1730</v>
      </c>
      <c r="G223" s="486">
        <v>1730</v>
      </c>
      <c r="H223" s="486">
        <v>1730</v>
      </c>
      <c r="I223" s="486">
        <v>1730</v>
      </c>
      <c r="J223" s="486">
        <v>1730</v>
      </c>
      <c r="K223" s="486">
        <v>1730</v>
      </c>
      <c r="L223" s="486"/>
      <c r="M223" s="486"/>
      <c r="N223" s="486"/>
      <c r="O223" s="487">
        <v>1730</v>
      </c>
      <c r="P223" s="476">
        <f>SUM(C223:O224)</f>
        <v>13840</v>
      </c>
    </row>
    <row r="224" spans="1:16">
      <c r="A224" s="468"/>
      <c r="B224" s="561"/>
      <c r="C224" s="482"/>
      <c r="D224" s="482"/>
      <c r="E224" s="482"/>
      <c r="F224" s="482"/>
      <c r="G224" s="486"/>
      <c r="H224" s="486"/>
      <c r="I224" s="486"/>
      <c r="J224" s="486"/>
      <c r="K224" s="486"/>
      <c r="L224" s="486"/>
      <c r="M224" s="486"/>
      <c r="N224" s="486"/>
      <c r="O224" s="488"/>
      <c r="P224" s="445"/>
    </row>
    <row r="225" spans="1:16">
      <c r="A225" s="468"/>
      <c r="B225" s="93" t="s">
        <v>363</v>
      </c>
      <c r="C225" s="54"/>
      <c r="D225" s="54"/>
      <c r="E225" s="64">
        <v>45402</v>
      </c>
      <c r="F225" s="64">
        <v>45432</v>
      </c>
      <c r="G225" s="64">
        <v>45463</v>
      </c>
      <c r="H225" s="64">
        <v>45858</v>
      </c>
      <c r="I225" s="64">
        <v>45889</v>
      </c>
      <c r="J225" s="64">
        <v>45920</v>
      </c>
      <c r="K225" s="64">
        <v>45940</v>
      </c>
      <c r="L225" s="64"/>
      <c r="M225" s="64"/>
      <c r="N225" s="64"/>
      <c r="O225" s="64">
        <v>45673</v>
      </c>
      <c r="P225" s="101"/>
    </row>
    <row r="226" spans="1:16">
      <c r="A226" s="478"/>
      <c r="B226" s="94" t="s">
        <v>377</v>
      </c>
      <c r="C226" s="54"/>
      <c r="D226" s="54"/>
      <c r="E226" s="54" t="s">
        <v>1486</v>
      </c>
      <c r="F226" s="54" t="s">
        <v>1486</v>
      </c>
      <c r="G226" s="54" t="s">
        <v>1486</v>
      </c>
      <c r="H226" s="54" t="s">
        <v>1486</v>
      </c>
      <c r="I226" s="54" t="s">
        <v>1486</v>
      </c>
      <c r="J226" s="54" t="s">
        <v>1486</v>
      </c>
      <c r="K226" s="54" t="s">
        <v>1486</v>
      </c>
      <c r="L226" s="54"/>
      <c r="M226" s="54"/>
      <c r="N226" s="54"/>
      <c r="O226" s="54" t="s">
        <v>1486</v>
      </c>
      <c r="P226" s="101"/>
    </row>
    <row r="227" spans="1:16" ht="25.5" customHeight="1">
      <c r="A227" s="467">
        <v>97</v>
      </c>
      <c r="B227" s="559" t="s">
        <v>1603</v>
      </c>
      <c r="C227" s="481"/>
      <c r="D227" s="481"/>
      <c r="E227" s="481"/>
      <c r="F227" s="481"/>
      <c r="G227" s="481"/>
      <c r="H227" s="482"/>
      <c r="I227" s="482">
        <v>2850</v>
      </c>
      <c r="J227" s="482">
        <v>2850</v>
      </c>
      <c r="K227" s="482">
        <v>2850</v>
      </c>
      <c r="L227" s="482"/>
      <c r="M227" s="482"/>
      <c r="N227" s="482"/>
      <c r="O227" s="491"/>
      <c r="P227" s="476">
        <f>SUM(C227:O228)</f>
        <v>8550</v>
      </c>
    </row>
    <row r="228" spans="1:16">
      <c r="A228" s="468"/>
      <c r="B228" s="561"/>
      <c r="C228" s="482"/>
      <c r="D228" s="482"/>
      <c r="E228" s="482"/>
      <c r="F228" s="482"/>
      <c r="G228" s="482"/>
      <c r="H228" s="482"/>
      <c r="I228" s="482"/>
      <c r="J228" s="482"/>
      <c r="K228" s="482"/>
      <c r="L228" s="482"/>
      <c r="M228" s="482"/>
      <c r="N228" s="482"/>
      <c r="O228" s="492"/>
      <c r="P228" s="445"/>
    </row>
    <row r="229" spans="1:16">
      <c r="A229" s="468"/>
      <c r="B229" s="93" t="s">
        <v>363</v>
      </c>
      <c r="C229" s="54"/>
      <c r="D229" s="54"/>
      <c r="E229" s="65"/>
      <c r="F229" s="65"/>
      <c r="G229" s="65"/>
      <c r="H229" s="54"/>
      <c r="I229" s="65">
        <v>45529</v>
      </c>
      <c r="J229" s="65">
        <v>45529</v>
      </c>
      <c r="K229" s="65">
        <v>45932</v>
      </c>
      <c r="L229" s="54"/>
      <c r="M229" s="54"/>
      <c r="N229" s="54"/>
      <c r="O229" s="54"/>
      <c r="P229" s="101"/>
    </row>
    <row r="230" spans="1:16">
      <c r="A230" s="478"/>
      <c r="B230" s="94" t="s">
        <v>377</v>
      </c>
      <c r="C230" s="54"/>
      <c r="D230" s="54"/>
      <c r="E230" s="54"/>
      <c r="F230" s="54"/>
      <c r="G230" s="54"/>
      <c r="H230" s="54"/>
      <c r="I230" s="54" t="s">
        <v>384</v>
      </c>
      <c r="J230" s="54" t="s">
        <v>384</v>
      </c>
      <c r="K230" s="54" t="s">
        <v>384</v>
      </c>
      <c r="L230" s="54"/>
      <c r="M230" s="54"/>
      <c r="N230" s="54"/>
      <c r="O230" s="54"/>
      <c r="P230" s="101"/>
    </row>
    <row r="231" spans="1:16" ht="15" customHeight="1">
      <c r="A231" s="467">
        <v>101</v>
      </c>
      <c r="B231" s="559" t="s">
        <v>58</v>
      </c>
      <c r="C231" s="482"/>
      <c r="D231" s="482"/>
      <c r="E231" s="482"/>
      <c r="F231" s="482"/>
      <c r="G231" s="482"/>
      <c r="H231" s="482"/>
      <c r="I231" s="482"/>
      <c r="J231" s="482"/>
      <c r="K231" s="482"/>
      <c r="L231" s="482"/>
      <c r="M231" s="482"/>
      <c r="N231" s="482"/>
      <c r="O231" s="491"/>
      <c r="P231" s="476">
        <f>SUM(C231:O232)</f>
        <v>0</v>
      </c>
    </row>
    <row r="232" spans="1:16">
      <c r="A232" s="468"/>
      <c r="B232" s="561"/>
      <c r="C232" s="482"/>
      <c r="D232" s="482"/>
      <c r="E232" s="482"/>
      <c r="F232" s="482"/>
      <c r="G232" s="482"/>
      <c r="H232" s="482"/>
      <c r="I232" s="482"/>
      <c r="J232" s="482"/>
      <c r="K232" s="482"/>
      <c r="L232" s="482"/>
      <c r="M232" s="482"/>
      <c r="N232" s="482"/>
      <c r="O232" s="492"/>
      <c r="P232" s="445"/>
    </row>
    <row r="233" spans="1:16">
      <c r="A233" s="468"/>
      <c r="B233" s="93" t="s">
        <v>363</v>
      </c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101"/>
    </row>
    <row r="234" spans="1:16">
      <c r="A234" s="501"/>
      <c r="B234" s="94" t="s">
        <v>377</v>
      </c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101"/>
    </row>
    <row r="235" spans="1:16" ht="15" customHeight="1">
      <c r="A235" s="467">
        <v>103</v>
      </c>
      <c r="B235" s="559" t="s">
        <v>330</v>
      </c>
      <c r="C235" s="482"/>
      <c r="D235" s="482"/>
      <c r="E235" s="482"/>
      <c r="F235" s="482"/>
      <c r="G235" s="482"/>
      <c r="H235" s="482"/>
      <c r="I235" s="482"/>
      <c r="J235" s="482"/>
      <c r="K235" s="482"/>
      <c r="L235" s="482"/>
      <c r="M235" s="482"/>
      <c r="N235" s="482"/>
      <c r="O235" s="491"/>
      <c r="P235" s="476">
        <f>SUM(C235:O236)</f>
        <v>0</v>
      </c>
    </row>
    <row r="236" spans="1:16">
      <c r="A236" s="468"/>
      <c r="B236" s="560"/>
      <c r="C236" s="482"/>
      <c r="D236" s="482"/>
      <c r="E236" s="482"/>
      <c r="F236" s="482"/>
      <c r="G236" s="482"/>
      <c r="H236" s="482"/>
      <c r="I236" s="482"/>
      <c r="J236" s="482"/>
      <c r="K236" s="482"/>
      <c r="L236" s="482"/>
      <c r="M236" s="482"/>
      <c r="N236" s="482"/>
      <c r="O236" s="492"/>
      <c r="P236" s="445"/>
    </row>
    <row r="237" spans="1:16">
      <c r="A237" s="468"/>
      <c r="B237" s="82" t="s">
        <v>363</v>
      </c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101"/>
    </row>
    <row r="238" spans="1:16">
      <c r="A238" s="478"/>
      <c r="B238" s="87" t="s">
        <v>377</v>
      </c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101"/>
    </row>
    <row r="239" spans="1:16" ht="25.5" customHeight="1">
      <c r="A239" s="485">
        <v>104</v>
      </c>
      <c r="B239" s="497" t="s">
        <v>60</v>
      </c>
      <c r="C239" s="481">
        <v>870</v>
      </c>
      <c r="D239" s="481">
        <v>870</v>
      </c>
      <c r="E239" s="481">
        <v>870</v>
      </c>
      <c r="F239" s="500">
        <v>870</v>
      </c>
      <c r="G239" s="500">
        <v>870</v>
      </c>
      <c r="H239" s="481">
        <v>870</v>
      </c>
      <c r="I239" s="481">
        <v>870</v>
      </c>
      <c r="J239" s="481">
        <v>870</v>
      </c>
      <c r="K239" s="481">
        <v>870</v>
      </c>
      <c r="L239" s="486">
        <v>870</v>
      </c>
      <c r="M239" s="486">
        <v>870</v>
      </c>
      <c r="N239" s="486">
        <v>870</v>
      </c>
      <c r="O239" s="487">
        <v>870</v>
      </c>
      <c r="P239" s="476">
        <f>SUM(C239:O240)</f>
        <v>11310</v>
      </c>
    </row>
    <row r="240" spans="1:16">
      <c r="A240" s="468"/>
      <c r="B240" s="558"/>
      <c r="C240" s="482"/>
      <c r="D240" s="482"/>
      <c r="E240" s="482"/>
      <c r="F240" s="482"/>
      <c r="G240" s="482"/>
      <c r="H240" s="482"/>
      <c r="I240" s="482"/>
      <c r="J240" s="482"/>
      <c r="K240" s="482"/>
      <c r="L240" s="486"/>
      <c r="M240" s="486"/>
      <c r="N240" s="486"/>
      <c r="O240" s="488"/>
      <c r="P240" s="445"/>
    </row>
    <row r="241" spans="1:16">
      <c r="A241" s="468"/>
      <c r="B241" s="84" t="s">
        <v>363</v>
      </c>
      <c r="C241" s="65">
        <v>45329</v>
      </c>
      <c r="D241" s="65">
        <v>45357</v>
      </c>
      <c r="E241" s="65">
        <v>45390</v>
      </c>
      <c r="F241" s="65">
        <v>45420</v>
      </c>
      <c r="G241" s="65">
        <v>45450</v>
      </c>
      <c r="H241" s="65">
        <v>45482</v>
      </c>
      <c r="I241" s="65">
        <v>45512</v>
      </c>
      <c r="J241" s="65">
        <v>45541</v>
      </c>
      <c r="K241" s="65">
        <v>45938</v>
      </c>
      <c r="L241" s="65">
        <v>45968</v>
      </c>
      <c r="M241" s="65">
        <v>46001</v>
      </c>
      <c r="N241" s="65">
        <v>46001</v>
      </c>
      <c r="O241" s="64">
        <v>45666</v>
      </c>
      <c r="P241" s="101"/>
    </row>
    <row r="242" spans="1:16">
      <c r="A242" s="501"/>
      <c r="B242" s="84" t="s">
        <v>377</v>
      </c>
      <c r="C242" s="54" t="s">
        <v>384</v>
      </c>
      <c r="D242" s="54" t="s">
        <v>386</v>
      </c>
      <c r="E242" s="54" t="s">
        <v>371</v>
      </c>
      <c r="F242" s="54" t="s">
        <v>371</v>
      </c>
      <c r="G242" s="54" t="s">
        <v>384</v>
      </c>
      <c r="H242" s="54" t="s">
        <v>384</v>
      </c>
      <c r="I242" s="54" t="s">
        <v>384</v>
      </c>
      <c r="J242" s="54" t="s">
        <v>384</v>
      </c>
      <c r="K242" s="54" t="s">
        <v>384</v>
      </c>
      <c r="L242" s="54" t="s">
        <v>384</v>
      </c>
      <c r="M242" s="54" t="s">
        <v>384</v>
      </c>
      <c r="N242" s="54" t="s">
        <v>384</v>
      </c>
      <c r="O242" s="54" t="s">
        <v>384</v>
      </c>
      <c r="P242" s="101"/>
    </row>
    <row r="243" spans="1:16">
      <c r="A243" s="467">
        <v>111</v>
      </c>
      <c r="B243" s="470" t="s">
        <v>214</v>
      </c>
      <c r="C243" s="499">
        <v>380</v>
      </c>
      <c r="D243" s="486">
        <v>380</v>
      </c>
      <c r="E243" s="486">
        <v>380</v>
      </c>
      <c r="F243" s="486">
        <v>380</v>
      </c>
      <c r="G243" s="486">
        <v>380</v>
      </c>
      <c r="H243" s="486">
        <v>380</v>
      </c>
      <c r="I243" s="486">
        <v>380</v>
      </c>
      <c r="J243" s="486">
        <v>380</v>
      </c>
      <c r="K243" s="486">
        <v>380</v>
      </c>
      <c r="L243" s="486">
        <v>380</v>
      </c>
      <c r="M243" s="486">
        <v>380</v>
      </c>
      <c r="N243" s="486"/>
      <c r="O243" s="487">
        <v>380</v>
      </c>
      <c r="P243" s="476">
        <f>SUM(C243:O244)</f>
        <v>4560</v>
      </c>
    </row>
    <row r="244" spans="1:16">
      <c r="A244" s="468"/>
      <c r="B244" s="471"/>
      <c r="C244" s="499"/>
      <c r="D244" s="486"/>
      <c r="E244" s="486"/>
      <c r="F244" s="486"/>
      <c r="G244" s="486"/>
      <c r="H244" s="486"/>
      <c r="I244" s="486"/>
      <c r="J244" s="486"/>
      <c r="K244" s="486"/>
      <c r="L244" s="486"/>
      <c r="M244" s="486"/>
      <c r="N244" s="486"/>
      <c r="O244" s="488"/>
      <c r="P244" s="445"/>
    </row>
    <row r="245" spans="1:16">
      <c r="A245" s="468"/>
      <c r="B245" s="86" t="s">
        <v>363</v>
      </c>
      <c r="C245" s="97">
        <v>45457</v>
      </c>
      <c r="D245" s="65">
        <v>45457</v>
      </c>
      <c r="E245" s="65">
        <v>45457</v>
      </c>
      <c r="F245" s="65">
        <v>45457</v>
      </c>
      <c r="G245" s="65">
        <v>45457</v>
      </c>
      <c r="H245" s="65">
        <v>45581</v>
      </c>
      <c r="I245" s="65">
        <v>45581</v>
      </c>
      <c r="J245" s="65">
        <v>45581</v>
      </c>
      <c r="K245" s="65">
        <v>45581</v>
      </c>
      <c r="L245" s="64">
        <v>45700</v>
      </c>
      <c r="M245" s="64">
        <v>45700</v>
      </c>
      <c r="N245" s="54"/>
      <c r="O245" s="64">
        <v>45700</v>
      </c>
      <c r="P245" s="101"/>
    </row>
    <row r="246" spans="1:16">
      <c r="A246" s="501"/>
      <c r="B246" s="86" t="s">
        <v>377</v>
      </c>
      <c r="C246" s="73" t="s">
        <v>386</v>
      </c>
      <c r="D246" s="54" t="s">
        <v>386</v>
      </c>
      <c r="E246" s="54" t="s">
        <v>386</v>
      </c>
      <c r="F246" s="54" t="s">
        <v>386</v>
      </c>
      <c r="G246" s="54" t="s">
        <v>386</v>
      </c>
      <c r="H246" s="54" t="s">
        <v>386</v>
      </c>
      <c r="I246" s="54" t="s">
        <v>386</v>
      </c>
      <c r="J246" s="54" t="s">
        <v>384</v>
      </c>
      <c r="K246" s="54" t="s">
        <v>384</v>
      </c>
      <c r="L246" s="54" t="s">
        <v>386</v>
      </c>
      <c r="M246" s="54" t="s">
        <v>386</v>
      </c>
      <c r="N246" s="54"/>
      <c r="O246" s="54" t="s">
        <v>386</v>
      </c>
      <c r="P246" s="101"/>
    </row>
    <row r="247" spans="1:16" ht="15" customHeight="1">
      <c r="A247" s="467">
        <v>112</v>
      </c>
      <c r="B247" s="470" t="s">
        <v>1203</v>
      </c>
      <c r="C247" s="480"/>
      <c r="D247" s="482"/>
      <c r="E247" s="482"/>
      <c r="F247" s="481"/>
      <c r="G247" s="482"/>
      <c r="H247" s="482"/>
      <c r="I247" s="482"/>
      <c r="J247" s="482"/>
      <c r="K247" s="482"/>
      <c r="L247" s="486"/>
      <c r="M247" s="486"/>
      <c r="N247" s="486"/>
      <c r="O247" s="487">
        <v>320</v>
      </c>
      <c r="P247" s="476">
        <f>SUM(C247:O248)</f>
        <v>320</v>
      </c>
    </row>
    <row r="248" spans="1:16">
      <c r="A248" s="468"/>
      <c r="B248" s="471"/>
      <c r="C248" s="480"/>
      <c r="D248" s="482"/>
      <c r="E248" s="482"/>
      <c r="F248" s="482"/>
      <c r="G248" s="482"/>
      <c r="H248" s="482"/>
      <c r="I248" s="482"/>
      <c r="J248" s="482"/>
      <c r="K248" s="482"/>
      <c r="L248" s="486"/>
      <c r="M248" s="486"/>
      <c r="N248" s="486"/>
      <c r="O248" s="488"/>
      <c r="P248" s="445"/>
    </row>
    <row r="249" spans="1:16">
      <c r="A249" s="468"/>
      <c r="B249" s="76" t="s">
        <v>363</v>
      </c>
      <c r="C249" s="73"/>
      <c r="D249" s="54"/>
      <c r="E249" s="54"/>
      <c r="F249" s="65"/>
      <c r="G249" s="54"/>
      <c r="H249" s="54"/>
      <c r="I249" s="54"/>
      <c r="J249" s="54"/>
      <c r="K249" s="54"/>
      <c r="L249" s="54"/>
      <c r="M249" s="54"/>
      <c r="N249" s="54"/>
      <c r="O249" s="54" t="s">
        <v>2001</v>
      </c>
      <c r="P249" s="101"/>
    </row>
    <row r="250" spans="1:16">
      <c r="A250" s="501"/>
      <c r="B250" s="77" t="s">
        <v>377</v>
      </c>
      <c r="C250" s="73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 t="s">
        <v>384</v>
      </c>
      <c r="P250" s="101"/>
    </row>
    <row r="251" spans="1:16" ht="15" customHeight="1">
      <c r="A251" s="467">
        <v>113</v>
      </c>
      <c r="B251" s="470" t="s">
        <v>331</v>
      </c>
      <c r="C251" s="480"/>
      <c r="D251" s="482"/>
      <c r="E251" s="482"/>
      <c r="F251" s="481"/>
      <c r="G251" s="482"/>
      <c r="H251" s="482"/>
      <c r="I251" s="482"/>
      <c r="J251" s="482"/>
      <c r="K251" s="482"/>
      <c r="L251" s="482"/>
      <c r="M251" s="482"/>
      <c r="N251" s="482"/>
      <c r="O251" s="491"/>
      <c r="P251" s="476">
        <f>SUM(C251:O252)</f>
        <v>0</v>
      </c>
    </row>
    <row r="252" spans="1:16">
      <c r="A252" s="468"/>
      <c r="B252" s="471"/>
      <c r="C252" s="480"/>
      <c r="D252" s="482"/>
      <c r="E252" s="482"/>
      <c r="F252" s="482"/>
      <c r="G252" s="482"/>
      <c r="H252" s="482"/>
      <c r="I252" s="482"/>
      <c r="J252" s="482"/>
      <c r="K252" s="482"/>
      <c r="L252" s="482"/>
      <c r="M252" s="482"/>
      <c r="N252" s="482"/>
      <c r="O252" s="492"/>
      <c r="P252" s="445"/>
    </row>
    <row r="253" spans="1:16">
      <c r="A253" s="468"/>
      <c r="B253" s="76" t="s">
        <v>363</v>
      </c>
      <c r="C253" s="73"/>
      <c r="D253" s="54"/>
      <c r="E253" s="54"/>
      <c r="F253" s="65"/>
      <c r="G253" s="54"/>
      <c r="H253" s="54"/>
      <c r="I253" s="54"/>
      <c r="J253" s="54"/>
      <c r="K253" s="54"/>
      <c r="L253" s="54"/>
      <c r="M253" s="54"/>
      <c r="N253" s="54"/>
      <c r="O253" s="54"/>
      <c r="P253" s="101"/>
    </row>
    <row r="254" spans="1:16">
      <c r="A254" s="501"/>
      <c r="B254" s="77" t="s">
        <v>377</v>
      </c>
      <c r="C254" s="73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101"/>
    </row>
    <row r="255" spans="1:16" ht="15" customHeight="1">
      <c r="A255" s="467">
        <v>115</v>
      </c>
      <c r="B255" s="470" t="s">
        <v>316</v>
      </c>
      <c r="C255" s="480"/>
      <c r="D255" s="482"/>
      <c r="E255" s="482"/>
      <c r="F255" s="482"/>
      <c r="G255" s="482"/>
      <c r="H255" s="482"/>
      <c r="I255" s="482"/>
      <c r="J255" s="482"/>
      <c r="K255" s="482"/>
      <c r="L255" s="482"/>
      <c r="M255" s="482"/>
      <c r="N255" s="482"/>
      <c r="O255" s="491"/>
      <c r="P255" s="476">
        <f>SUM(C255:O256)</f>
        <v>0</v>
      </c>
    </row>
    <row r="256" spans="1:16">
      <c r="A256" s="468"/>
      <c r="B256" s="471"/>
      <c r="C256" s="480"/>
      <c r="D256" s="482"/>
      <c r="E256" s="482"/>
      <c r="F256" s="482"/>
      <c r="G256" s="482"/>
      <c r="H256" s="482"/>
      <c r="I256" s="482"/>
      <c r="J256" s="482"/>
      <c r="K256" s="482"/>
      <c r="L256" s="482"/>
      <c r="M256" s="482"/>
      <c r="N256" s="482"/>
      <c r="O256" s="492"/>
      <c r="P256" s="445"/>
    </row>
    <row r="257" spans="1:16">
      <c r="A257" s="468"/>
      <c r="B257" s="76" t="s">
        <v>363</v>
      </c>
      <c r="C257" s="73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101"/>
    </row>
    <row r="258" spans="1:16">
      <c r="A258" s="478"/>
      <c r="B258" s="77" t="s">
        <v>377</v>
      </c>
      <c r="C258" s="73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101"/>
    </row>
    <row r="259" spans="1:16" ht="15" customHeight="1">
      <c r="A259" s="485">
        <v>116</v>
      </c>
      <c r="B259" s="470" t="s">
        <v>332</v>
      </c>
      <c r="C259" s="479">
        <v>670</v>
      </c>
      <c r="D259" s="479">
        <v>670</v>
      </c>
      <c r="E259" s="479">
        <v>670</v>
      </c>
      <c r="F259" s="479">
        <v>670</v>
      </c>
      <c r="G259" s="481">
        <v>670</v>
      </c>
      <c r="H259" s="481">
        <v>670</v>
      </c>
      <c r="I259" s="481">
        <v>670</v>
      </c>
      <c r="J259" s="486">
        <v>670</v>
      </c>
      <c r="K259" s="486">
        <v>670</v>
      </c>
      <c r="L259" s="486">
        <v>670</v>
      </c>
      <c r="M259" s="486"/>
      <c r="N259" s="486">
        <v>670</v>
      </c>
      <c r="O259" s="487">
        <v>670</v>
      </c>
      <c r="P259" s="476">
        <f>SUM(C259:O260)</f>
        <v>8040</v>
      </c>
    </row>
    <row r="260" spans="1:16">
      <c r="A260" s="468"/>
      <c r="B260" s="471"/>
      <c r="C260" s="480"/>
      <c r="D260" s="480"/>
      <c r="E260" s="480"/>
      <c r="F260" s="480"/>
      <c r="G260" s="482"/>
      <c r="H260" s="482"/>
      <c r="I260" s="482"/>
      <c r="J260" s="486"/>
      <c r="K260" s="486"/>
      <c r="L260" s="486"/>
      <c r="M260" s="486"/>
      <c r="N260" s="486"/>
      <c r="O260" s="488"/>
      <c r="P260" s="445"/>
    </row>
    <row r="261" spans="1:16">
      <c r="A261" s="468"/>
      <c r="B261" s="76" t="s">
        <v>363</v>
      </c>
      <c r="C261" s="97">
        <v>45331</v>
      </c>
      <c r="D261" s="65">
        <v>45362</v>
      </c>
      <c r="E261" s="65">
        <v>45390</v>
      </c>
      <c r="F261" s="65">
        <v>45422</v>
      </c>
      <c r="G261" s="65">
        <v>45454</v>
      </c>
      <c r="H261" s="65">
        <v>45483</v>
      </c>
      <c r="I261" s="65">
        <v>45516</v>
      </c>
      <c r="J261" s="65">
        <v>45545</v>
      </c>
      <c r="K261" s="65">
        <v>45575</v>
      </c>
      <c r="L261" s="65">
        <v>45973</v>
      </c>
      <c r="M261" s="54"/>
      <c r="N261" s="64">
        <v>45672</v>
      </c>
      <c r="O261" s="64">
        <v>45672</v>
      </c>
      <c r="P261" s="101"/>
    </row>
    <row r="262" spans="1:16">
      <c r="A262" s="501"/>
      <c r="B262" s="87" t="s">
        <v>377</v>
      </c>
      <c r="C262" s="54" t="s">
        <v>386</v>
      </c>
      <c r="D262" s="54" t="s">
        <v>386</v>
      </c>
      <c r="E262" s="54" t="s">
        <v>386</v>
      </c>
      <c r="F262" s="54" t="s">
        <v>386</v>
      </c>
      <c r="G262" s="54" t="s">
        <v>385</v>
      </c>
      <c r="H262" s="54" t="s">
        <v>386</v>
      </c>
      <c r="I262" s="54" t="s">
        <v>386</v>
      </c>
      <c r="J262" s="54" t="s">
        <v>386</v>
      </c>
      <c r="K262" s="54" t="s">
        <v>386</v>
      </c>
      <c r="L262" s="54" t="s">
        <v>384</v>
      </c>
      <c r="M262" s="54"/>
      <c r="N262" s="54" t="s">
        <v>384</v>
      </c>
      <c r="O262" s="54" t="s">
        <v>384</v>
      </c>
      <c r="P262" s="101"/>
    </row>
    <row r="263" spans="1:16">
      <c r="A263" s="467">
        <v>117</v>
      </c>
      <c r="B263" s="470" t="s">
        <v>69</v>
      </c>
      <c r="C263" s="479">
        <v>760</v>
      </c>
      <c r="D263" s="481">
        <v>820</v>
      </c>
      <c r="E263" s="481"/>
      <c r="F263" s="481">
        <v>820</v>
      </c>
      <c r="G263" s="486">
        <v>820</v>
      </c>
      <c r="H263" s="486">
        <v>820</v>
      </c>
      <c r="I263" s="486">
        <v>820</v>
      </c>
      <c r="J263" s="486">
        <v>820</v>
      </c>
      <c r="K263" s="486">
        <v>820</v>
      </c>
      <c r="L263" s="486">
        <v>820</v>
      </c>
      <c r="M263" s="486">
        <v>820</v>
      </c>
      <c r="N263" s="486">
        <v>820</v>
      </c>
      <c r="O263" s="487">
        <v>820</v>
      </c>
      <c r="P263" s="493">
        <f>SUM(C263:O264)</f>
        <v>9780</v>
      </c>
    </row>
    <row r="264" spans="1:16">
      <c r="A264" s="468"/>
      <c r="B264" s="471"/>
      <c r="C264" s="480"/>
      <c r="D264" s="482"/>
      <c r="E264" s="482"/>
      <c r="F264" s="482"/>
      <c r="G264" s="486"/>
      <c r="H264" s="486"/>
      <c r="I264" s="486"/>
      <c r="J264" s="486"/>
      <c r="K264" s="486"/>
      <c r="L264" s="486"/>
      <c r="M264" s="486"/>
      <c r="N264" s="486"/>
      <c r="O264" s="488"/>
      <c r="P264" s="494"/>
    </row>
    <row r="265" spans="1:16">
      <c r="A265" s="468"/>
      <c r="B265" s="86" t="s">
        <v>363</v>
      </c>
      <c r="C265" s="97">
        <v>45343</v>
      </c>
      <c r="D265" s="65">
        <v>45372</v>
      </c>
      <c r="E265" s="65"/>
      <c r="F265" s="65">
        <v>45555</v>
      </c>
      <c r="G265" s="65">
        <v>45450</v>
      </c>
      <c r="H265" s="65">
        <v>45463</v>
      </c>
      <c r="I265" s="65">
        <v>45495</v>
      </c>
      <c r="J265" s="65">
        <v>45531</v>
      </c>
      <c r="K265" s="65">
        <v>45555</v>
      </c>
      <c r="L265" s="65">
        <v>45986</v>
      </c>
      <c r="M265" s="65">
        <v>46011</v>
      </c>
      <c r="N265" s="65">
        <v>46011</v>
      </c>
      <c r="O265" s="65">
        <v>45736</v>
      </c>
      <c r="P265" s="101"/>
    </row>
    <row r="266" spans="1:16">
      <c r="A266" s="501"/>
      <c r="B266" s="76" t="s">
        <v>377</v>
      </c>
      <c r="C266" s="73" t="s">
        <v>371</v>
      </c>
      <c r="D266" s="54" t="s">
        <v>371</v>
      </c>
      <c r="E266" s="54"/>
      <c r="F266" s="54" t="s">
        <v>371</v>
      </c>
      <c r="G266" s="54" t="s">
        <v>384</v>
      </c>
      <c r="H266" s="54" t="s">
        <v>384</v>
      </c>
      <c r="I266" s="54" t="s">
        <v>384</v>
      </c>
      <c r="J266" s="54" t="s">
        <v>384</v>
      </c>
      <c r="K266" s="54" t="s">
        <v>384</v>
      </c>
      <c r="L266" s="54" t="s">
        <v>384</v>
      </c>
      <c r="M266" s="54" t="s">
        <v>384</v>
      </c>
      <c r="N266" s="54" t="s">
        <v>384</v>
      </c>
      <c r="O266" s="54" t="s">
        <v>384</v>
      </c>
      <c r="P266" s="101"/>
    </row>
    <row r="267" spans="1:16" ht="15" customHeight="1">
      <c r="A267" s="467">
        <v>121</v>
      </c>
      <c r="B267" s="470" t="s">
        <v>219</v>
      </c>
      <c r="C267" s="479">
        <v>300</v>
      </c>
      <c r="D267" s="481"/>
      <c r="E267" s="481"/>
      <c r="F267" s="481"/>
      <c r="G267" s="481"/>
      <c r="H267" s="481"/>
      <c r="I267" s="481"/>
      <c r="J267" s="481"/>
      <c r="K267" s="481"/>
      <c r="L267" s="481"/>
      <c r="M267" s="481"/>
      <c r="N267" s="481"/>
      <c r="O267" s="491"/>
      <c r="P267" s="476">
        <f>SUM(C267:O268)</f>
        <v>300</v>
      </c>
    </row>
    <row r="268" spans="1:16">
      <c r="A268" s="468"/>
      <c r="B268" s="471"/>
      <c r="C268" s="480"/>
      <c r="D268" s="482"/>
      <c r="E268" s="482"/>
      <c r="F268" s="482"/>
      <c r="G268" s="482"/>
      <c r="H268" s="482"/>
      <c r="I268" s="482"/>
      <c r="J268" s="482"/>
      <c r="K268" s="482"/>
      <c r="L268" s="482"/>
      <c r="M268" s="482"/>
      <c r="N268" s="482"/>
      <c r="O268" s="492"/>
      <c r="P268" s="445"/>
    </row>
    <row r="269" spans="1:16">
      <c r="A269" s="468"/>
      <c r="B269" s="82" t="s">
        <v>363</v>
      </c>
      <c r="C269" s="65">
        <v>45329</v>
      </c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54"/>
      <c r="P269" s="101"/>
    </row>
    <row r="270" spans="1:16">
      <c r="A270" s="501"/>
      <c r="B270" s="87" t="s">
        <v>377</v>
      </c>
      <c r="C270" s="54" t="s">
        <v>384</v>
      </c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101"/>
    </row>
    <row r="271" spans="1:16" ht="25.5" customHeight="1">
      <c r="A271" s="467">
        <v>122</v>
      </c>
      <c r="B271" s="470" t="s">
        <v>220</v>
      </c>
      <c r="C271" s="479"/>
      <c r="D271" s="481">
        <v>995</v>
      </c>
      <c r="E271" s="486">
        <v>995</v>
      </c>
      <c r="F271" s="486">
        <v>995</v>
      </c>
      <c r="G271" s="486">
        <v>995</v>
      </c>
      <c r="H271" s="486">
        <v>995</v>
      </c>
      <c r="I271" s="486">
        <v>995</v>
      </c>
      <c r="J271" s="486">
        <v>995</v>
      </c>
      <c r="K271" s="486">
        <v>995</v>
      </c>
      <c r="L271" s="486">
        <v>995</v>
      </c>
      <c r="M271" s="486">
        <v>995</v>
      </c>
      <c r="N271" s="486">
        <v>995</v>
      </c>
      <c r="O271" s="487">
        <v>995</v>
      </c>
      <c r="P271" s="476">
        <f>SUM(C271:O272)</f>
        <v>11940</v>
      </c>
    </row>
    <row r="272" spans="1:16">
      <c r="A272" s="468"/>
      <c r="B272" s="471"/>
      <c r="C272" s="480"/>
      <c r="D272" s="482"/>
      <c r="E272" s="486"/>
      <c r="F272" s="486"/>
      <c r="G272" s="486"/>
      <c r="H272" s="486"/>
      <c r="I272" s="486"/>
      <c r="J272" s="486"/>
      <c r="K272" s="486"/>
      <c r="L272" s="486"/>
      <c r="M272" s="486"/>
      <c r="N272" s="486"/>
      <c r="O272" s="488"/>
      <c r="P272" s="445"/>
    </row>
    <row r="273" spans="1:16">
      <c r="A273" s="468"/>
      <c r="B273" s="76" t="s">
        <v>363</v>
      </c>
      <c r="C273" s="97"/>
      <c r="D273" s="65">
        <v>45358</v>
      </c>
      <c r="E273" s="65">
        <v>45404</v>
      </c>
      <c r="F273" s="65">
        <v>45426</v>
      </c>
      <c r="G273" s="65">
        <v>45453</v>
      </c>
      <c r="H273" s="65">
        <v>45483</v>
      </c>
      <c r="I273" s="65">
        <v>45516</v>
      </c>
      <c r="J273" s="65">
        <v>45547</v>
      </c>
      <c r="K273" s="65">
        <v>45944</v>
      </c>
      <c r="L273" s="65">
        <v>45979</v>
      </c>
      <c r="M273" s="65">
        <v>46007</v>
      </c>
      <c r="N273" s="65">
        <v>46007</v>
      </c>
      <c r="O273" s="64">
        <v>45685</v>
      </c>
      <c r="P273" s="101"/>
    </row>
    <row r="274" spans="1:16" ht="15.75" customHeight="1">
      <c r="A274" s="478"/>
      <c r="B274" s="77" t="s">
        <v>377</v>
      </c>
      <c r="C274" s="73"/>
      <c r="D274" s="54" t="s">
        <v>386</v>
      </c>
      <c r="E274" s="54" t="s">
        <v>385</v>
      </c>
      <c r="F274" s="54" t="s">
        <v>386</v>
      </c>
      <c r="G274" s="54" t="s">
        <v>384</v>
      </c>
      <c r="H274" s="54" t="s">
        <v>384</v>
      </c>
      <c r="I274" s="54" t="s">
        <v>384</v>
      </c>
      <c r="J274" s="54" t="s">
        <v>384</v>
      </c>
      <c r="K274" s="54" t="s">
        <v>384</v>
      </c>
      <c r="L274" s="54" t="s">
        <v>384</v>
      </c>
      <c r="M274" s="54" t="s">
        <v>384</v>
      </c>
      <c r="N274" s="54" t="s">
        <v>384</v>
      </c>
      <c r="O274" s="54" t="s">
        <v>384</v>
      </c>
      <c r="P274" s="101"/>
    </row>
    <row r="275" spans="1:16" ht="25.5" customHeight="1">
      <c r="A275" s="467">
        <v>123</v>
      </c>
      <c r="B275" s="470" t="s">
        <v>1134</v>
      </c>
      <c r="C275" s="479"/>
      <c r="D275" s="479">
        <v>690</v>
      </c>
      <c r="E275" s="479">
        <v>690</v>
      </c>
      <c r="F275" s="479">
        <v>690</v>
      </c>
      <c r="G275" s="479">
        <v>690</v>
      </c>
      <c r="H275" s="479">
        <v>690</v>
      </c>
      <c r="I275" s="481">
        <v>690</v>
      </c>
      <c r="J275" s="481"/>
      <c r="K275" s="481"/>
      <c r="L275" s="481"/>
      <c r="M275" s="481"/>
      <c r="N275" s="500"/>
      <c r="O275" s="491"/>
      <c r="P275" s="476">
        <f>SUM(C275:O276)</f>
        <v>4140</v>
      </c>
    </row>
    <row r="276" spans="1:16">
      <c r="A276" s="468"/>
      <c r="B276" s="471"/>
      <c r="C276" s="480"/>
      <c r="D276" s="480"/>
      <c r="E276" s="480"/>
      <c r="F276" s="480"/>
      <c r="G276" s="480"/>
      <c r="H276" s="480"/>
      <c r="I276" s="482"/>
      <c r="J276" s="482"/>
      <c r="K276" s="482"/>
      <c r="L276" s="482"/>
      <c r="M276" s="482"/>
      <c r="N276" s="482"/>
      <c r="O276" s="492"/>
      <c r="P276" s="445"/>
    </row>
    <row r="277" spans="1:16">
      <c r="A277" s="468"/>
      <c r="B277" s="76" t="s">
        <v>363</v>
      </c>
      <c r="C277" s="97"/>
      <c r="D277" s="97">
        <v>45362</v>
      </c>
      <c r="E277" s="97">
        <v>45391</v>
      </c>
      <c r="F277" s="97">
        <v>45421</v>
      </c>
      <c r="G277" s="97">
        <v>45453</v>
      </c>
      <c r="H277" s="97">
        <v>45453</v>
      </c>
      <c r="I277" s="65">
        <v>45483</v>
      </c>
      <c r="J277" s="65"/>
      <c r="K277" s="65"/>
      <c r="L277" s="65"/>
      <c r="M277" s="65"/>
      <c r="N277" s="65"/>
      <c r="O277" s="54"/>
      <c r="P277" s="101"/>
    </row>
    <row r="278" spans="1:16" ht="17.25" customHeight="1">
      <c r="A278" s="478"/>
      <c r="B278" s="77" t="s">
        <v>377</v>
      </c>
      <c r="C278" s="73"/>
      <c r="D278" s="73" t="s">
        <v>371</v>
      </c>
      <c r="E278" s="73" t="s">
        <v>371</v>
      </c>
      <c r="F278" s="73" t="s">
        <v>371</v>
      </c>
      <c r="G278" s="73" t="s">
        <v>385</v>
      </c>
      <c r="H278" s="73" t="s">
        <v>374</v>
      </c>
      <c r="I278" s="54" t="s">
        <v>384</v>
      </c>
      <c r="J278" s="54"/>
      <c r="K278" s="54"/>
      <c r="L278" s="54"/>
      <c r="M278" s="54"/>
      <c r="N278" s="54"/>
      <c r="O278" s="54"/>
      <c r="P278" s="101"/>
    </row>
    <row r="279" spans="1:16" ht="25.5" customHeight="1">
      <c r="A279" s="467">
        <v>127</v>
      </c>
      <c r="B279" s="470" t="s">
        <v>1555</v>
      </c>
      <c r="C279" s="479">
        <v>695</v>
      </c>
      <c r="D279" s="479">
        <v>650</v>
      </c>
      <c r="E279" s="479">
        <v>650</v>
      </c>
      <c r="F279" s="479">
        <v>650</v>
      </c>
      <c r="G279" s="479">
        <v>650</v>
      </c>
      <c r="H279" s="479">
        <v>650</v>
      </c>
      <c r="I279" s="479">
        <v>650</v>
      </c>
      <c r="J279" s="479">
        <v>650</v>
      </c>
      <c r="K279" s="479">
        <v>650</v>
      </c>
      <c r="L279" s="479">
        <v>650</v>
      </c>
      <c r="M279" s="479"/>
      <c r="N279" s="479"/>
      <c r="O279" s="479">
        <v>650</v>
      </c>
      <c r="P279" s="493">
        <f>SUM(C279:O280)</f>
        <v>7195</v>
      </c>
    </row>
    <row r="280" spans="1:16">
      <c r="A280" s="468"/>
      <c r="B280" s="471"/>
      <c r="C280" s="480"/>
      <c r="D280" s="480"/>
      <c r="E280" s="480"/>
      <c r="F280" s="480"/>
      <c r="G280" s="480"/>
      <c r="H280" s="480"/>
      <c r="I280" s="480"/>
      <c r="J280" s="480"/>
      <c r="K280" s="480"/>
      <c r="L280" s="480"/>
      <c r="M280" s="480"/>
      <c r="N280" s="480"/>
      <c r="O280" s="480"/>
      <c r="P280" s="494"/>
    </row>
    <row r="281" spans="1:16">
      <c r="A281" s="468"/>
      <c r="B281" s="76" t="s">
        <v>363</v>
      </c>
      <c r="C281" s="97">
        <v>45343</v>
      </c>
      <c r="D281" s="72">
        <v>45372</v>
      </c>
      <c r="E281" s="72">
        <v>45402</v>
      </c>
      <c r="F281" s="72">
        <v>45432</v>
      </c>
      <c r="G281" s="72">
        <v>45463</v>
      </c>
      <c r="H281" s="72">
        <v>45493</v>
      </c>
      <c r="I281" s="64">
        <v>45530</v>
      </c>
      <c r="J281" s="64">
        <v>45593</v>
      </c>
      <c r="K281" s="64">
        <v>45562</v>
      </c>
      <c r="L281" s="64">
        <v>45637</v>
      </c>
      <c r="M281" s="64"/>
      <c r="N281" s="64"/>
      <c r="O281" s="64">
        <v>45677</v>
      </c>
      <c r="P281" s="101"/>
    </row>
    <row r="282" spans="1:16" ht="17.25" customHeight="1">
      <c r="A282" s="478"/>
      <c r="B282" s="77" t="s">
        <v>377</v>
      </c>
      <c r="C282" s="73" t="s">
        <v>384</v>
      </c>
      <c r="D282" s="73" t="s">
        <v>384</v>
      </c>
      <c r="E282" s="73" t="s">
        <v>1486</v>
      </c>
      <c r="F282" s="73" t="s">
        <v>1486</v>
      </c>
      <c r="G282" s="73" t="s">
        <v>1486</v>
      </c>
      <c r="H282" s="73" t="s">
        <v>1486</v>
      </c>
      <c r="I282" s="54" t="s">
        <v>1486</v>
      </c>
      <c r="J282" s="54" t="s">
        <v>1486</v>
      </c>
      <c r="K282" s="54" t="s">
        <v>1486</v>
      </c>
      <c r="L282" s="54" t="s">
        <v>1486</v>
      </c>
      <c r="M282" s="54"/>
      <c r="N282" s="54"/>
      <c r="O282" s="54" t="s">
        <v>1486</v>
      </c>
      <c r="P282" s="101"/>
    </row>
    <row r="283" spans="1:16" ht="15" customHeight="1">
      <c r="A283" s="467">
        <v>128</v>
      </c>
      <c r="B283" s="497" t="s">
        <v>75</v>
      </c>
      <c r="C283" s="481">
        <v>830</v>
      </c>
      <c r="D283" s="481">
        <v>830</v>
      </c>
      <c r="E283" s="481">
        <v>830</v>
      </c>
      <c r="F283" s="481">
        <v>830</v>
      </c>
      <c r="G283" s="481">
        <v>830</v>
      </c>
      <c r="H283" s="481">
        <v>830</v>
      </c>
      <c r="I283" s="481">
        <v>830</v>
      </c>
      <c r="J283" s="481">
        <v>830</v>
      </c>
      <c r="K283" s="481">
        <v>830</v>
      </c>
      <c r="L283" s="486">
        <v>830</v>
      </c>
      <c r="M283" s="486">
        <v>830</v>
      </c>
      <c r="N283" s="486">
        <v>830</v>
      </c>
      <c r="O283" s="487">
        <v>830</v>
      </c>
      <c r="P283" s="549">
        <f>SUM(C283:O284)</f>
        <v>10790</v>
      </c>
    </row>
    <row r="284" spans="1:16">
      <c r="A284" s="468"/>
      <c r="B284" s="542"/>
      <c r="C284" s="482"/>
      <c r="D284" s="482"/>
      <c r="E284" s="482"/>
      <c r="F284" s="482"/>
      <c r="G284" s="482"/>
      <c r="H284" s="482"/>
      <c r="I284" s="482"/>
      <c r="J284" s="482"/>
      <c r="K284" s="482"/>
      <c r="L284" s="486"/>
      <c r="M284" s="486"/>
      <c r="N284" s="486"/>
      <c r="O284" s="488"/>
      <c r="P284" s="549"/>
    </row>
    <row r="285" spans="1:16">
      <c r="A285" s="468"/>
      <c r="B285" s="82" t="s">
        <v>363</v>
      </c>
      <c r="C285" s="65">
        <v>45330</v>
      </c>
      <c r="D285" s="65">
        <v>45357</v>
      </c>
      <c r="E285" s="65">
        <v>45390</v>
      </c>
      <c r="F285" s="65">
        <v>45421</v>
      </c>
      <c r="G285" s="65">
        <v>45453</v>
      </c>
      <c r="H285" s="65">
        <v>45482</v>
      </c>
      <c r="I285" s="65">
        <v>45513</v>
      </c>
      <c r="J285" s="65">
        <v>45541</v>
      </c>
      <c r="K285" s="65">
        <v>45939</v>
      </c>
      <c r="L285" s="65">
        <v>45969</v>
      </c>
      <c r="M285" s="65">
        <v>46000</v>
      </c>
      <c r="N285" s="65">
        <v>46000</v>
      </c>
      <c r="O285" s="64">
        <v>45666</v>
      </c>
      <c r="P285" s="101"/>
    </row>
    <row r="286" spans="1:16">
      <c r="A286" s="501"/>
      <c r="B286" s="87" t="s">
        <v>377</v>
      </c>
      <c r="C286" s="54" t="s">
        <v>384</v>
      </c>
      <c r="D286" s="54" t="s">
        <v>386</v>
      </c>
      <c r="E286" s="54" t="s">
        <v>371</v>
      </c>
      <c r="F286" s="54" t="s">
        <v>386</v>
      </c>
      <c r="G286" s="54" t="s">
        <v>384</v>
      </c>
      <c r="H286" s="54" t="s">
        <v>384</v>
      </c>
      <c r="I286" s="54" t="s">
        <v>384</v>
      </c>
      <c r="J286" s="54" t="s">
        <v>384</v>
      </c>
      <c r="K286" s="54" t="s">
        <v>384</v>
      </c>
      <c r="L286" s="54" t="s">
        <v>384</v>
      </c>
      <c r="M286" s="54" t="s">
        <v>384</v>
      </c>
      <c r="N286" s="54" t="s">
        <v>384</v>
      </c>
      <c r="O286" s="54" t="s">
        <v>384</v>
      </c>
      <c r="P286" s="101"/>
    </row>
    <row r="287" spans="1:16" ht="15" customHeight="1">
      <c r="A287" s="467">
        <v>129</v>
      </c>
      <c r="B287" s="470" t="s">
        <v>76</v>
      </c>
      <c r="C287" s="479">
        <v>3600</v>
      </c>
      <c r="D287" s="481">
        <v>3950</v>
      </c>
      <c r="E287" s="481">
        <v>3950</v>
      </c>
      <c r="F287" s="481">
        <v>3950</v>
      </c>
      <c r="G287" s="481">
        <v>3950</v>
      </c>
      <c r="H287" s="481">
        <v>3950</v>
      </c>
      <c r="I287" s="481">
        <v>3950</v>
      </c>
      <c r="J287" s="481">
        <v>3950</v>
      </c>
      <c r="K287" s="481">
        <v>3950</v>
      </c>
      <c r="L287" s="481">
        <v>3950</v>
      </c>
      <c r="M287" s="481">
        <v>3950</v>
      </c>
      <c r="N287" s="481">
        <v>3950</v>
      </c>
      <c r="O287" s="481">
        <v>3950</v>
      </c>
      <c r="P287" s="476">
        <f>SUM(C287:O288)</f>
        <v>51000</v>
      </c>
    </row>
    <row r="288" spans="1:16">
      <c r="A288" s="468"/>
      <c r="B288" s="471"/>
      <c r="C288" s="480"/>
      <c r="D288" s="482"/>
      <c r="E288" s="482"/>
      <c r="F288" s="482"/>
      <c r="G288" s="482"/>
      <c r="H288" s="482"/>
      <c r="I288" s="482"/>
      <c r="J288" s="482"/>
      <c r="K288" s="482"/>
      <c r="L288" s="482"/>
      <c r="M288" s="482"/>
      <c r="N288" s="482"/>
      <c r="O288" s="482"/>
      <c r="P288" s="445"/>
    </row>
    <row r="289" spans="1:16">
      <c r="A289" s="468"/>
      <c r="B289" s="76" t="s">
        <v>363</v>
      </c>
      <c r="C289" s="97">
        <v>45299</v>
      </c>
      <c r="D289" s="65">
        <v>45331</v>
      </c>
      <c r="E289" s="65">
        <v>45362</v>
      </c>
      <c r="F289" s="65">
        <v>45390</v>
      </c>
      <c r="G289" s="65">
        <v>45415</v>
      </c>
      <c r="H289" s="65">
        <v>45453</v>
      </c>
      <c r="I289" s="65">
        <v>45481</v>
      </c>
      <c r="J289" s="65">
        <v>45513</v>
      </c>
      <c r="K289" s="66">
        <v>45541</v>
      </c>
      <c r="L289" s="65">
        <v>45937</v>
      </c>
      <c r="M289" s="65">
        <v>45972</v>
      </c>
      <c r="N289" s="65">
        <v>46000</v>
      </c>
      <c r="O289" s="65">
        <v>45663</v>
      </c>
      <c r="P289" s="101"/>
    </row>
    <row r="290" spans="1:16">
      <c r="A290" s="478"/>
      <c r="B290" s="76" t="s">
        <v>377</v>
      </c>
      <c r="C290" s="73" t="s">
        <v>384</v>
      </c>
      <c r="D290" s="54" t="s">
        <v>384</v>
      </c>
      <c r="E290" s="54" t="s">
        <v>371</v>
      </c>
      <c r="F290" s="54" t="s">
        <v>371</v>
      </c>
      <c r="G290" s="54" t="s">
        <v>371</v>
      </c>
      <c r="H290" s="54" t="s">
        <v>384</v>
      </c>
      <c r="I290" s="54" t="s">
        <v>384</v>
      </c>
      <c r="J290" s="54" t="s">
        <v>384</v>
      </c>
      <c r="K290" s="54" t="s">
        <v>384</v>
      </c>
      <c r="L290" s="54" t="s">
        <v>384</v>
      </c>
      <c r="M290" s="54" t="s">
        <v>384</v>
      </c>
      <c r="N290" s="54" t="s">
        <v>384</v>
      </c>
      <c r="O290" s="54" t="s">
        <v>384</v>
      </c>
      <c r="P290" s="101"/>
    </row>
    <row r="291" spans="1:16">
      <c r="A291" s="467">
        <v>130</v>
      </c>
      <c r="B291" s="470" t="s">
        <v>333</v>
      </c>
      <c r="C291" s="597">
        <v>215</v>
      </c>
      <c r="D291" s="582">
        <v>225</v>
      </c>
      <c r="E291" s="582">
        <v>225</v>
      </c>
      <c r="F291" s="582">
        <v>225</v>
      </c>
      <c r="G291" s="582">
        <v>225</v>
      </c>
      <c r="H291" s="481">
        <v>225</v>
      </c>
      <c r="I291" s="481">
        <v>225</v>
      </c>
      <c r="J291" s="481">
        <v>225</v>
      </c>
      <c r="K291" s="486">
        <v>225</v>
      </c>
      <c r="L291" s="486">
        <v>225</v>
      </c>
      <c r="M291" s="486">
        <v>225</v>
      </c>
      <c r="N291" s="486">
        <v>225</v>
      </c>
      <c r="O291" s="487">
        <v>225</v>
      </c>
      <c r="P291" s="476">
        <f>SUM(C291:O292)</f>
        <v>2915</v>
      </c>
    </row>
    <row r="292" spans="1:16">
      <c r="A292" s="468"/>
      <c r="B292" s="471"/>
      <c r="C292" s="597"/>
      <c r="D292" s="503"/>
      <c r="E292" s="503"/>
      <c r="F292" s="503"/>
      <c r="G292" s="503"/>
      <c r="H292" s="482"/>
      <c r="I292" s="482"/>
      <c r="J292" s="482"/>
      <c r="K292" s="486"/>
      <c r="L292" s="486"/>
      <c r="M292" s="486"/>
      <c r="N292" s="486"/>
      <c r="O292" s="488"/>
      <c r="P292" s="445"/>
    </row>
    <row r="293" spans="1:16">
      <c r="A293" s="468"/>
      <c r="B293" s="82" t="s">
        <v>363</v>
      </c>
      <c r="C293" s="65">
        <v>45329</v>
      </c>
      <c r="D293" s="65">
        <v>45362</v>
      </c>
      <c r="E293" s="65">
        <v>45387</v>
      </c>
      <c r="F293" s="65">
        <v>45415</v>
      </c>
      <c r="G293" s="65">
        <v>45447</v>
      </c>
      <c r="H293" s="65">
        <v>45477</v>
      </c>
      <c r="I293" s="65">
        <v>45509</v>
      </c>
      <c r="J293" s="65">
        <v>45544</v>
      </c>
      <c r="K293" s="65">
        <v>45568</v>
      </c>
      <c r="L293" s="65">
        <v>45607</v>
      </c>
      <c r="M293" s="65">
        <v>45635</v>
      </c>
      <c r="N293" s="65">
        <v>45635</v>
      </c>
      <c r="O293" s="64">
        <v>45667</v>
      </c>
      <c r="P293" s="101"/>
    </row>
    <row r="294" spans="1:16">
      <c r="A294" s="501"/>
      <c r="B294" s="87" t="s">
        <v>377</v>
      </c>
      <c r="C294" s="54" t="s">
        <v>386</v>
      </c>
      <c r="D294" s="54" t="s">
        <v>386</v>
      </c>
      <c r="E294" s="54" t="s">
        <v>386</v>
      </c>
      <c r="F294" s="54" t="s">
        <v>386</v>
      </c>
      <c r="G294" s="54" t="s">
        <v>386</v>
      </c>
      <c r="H294" s="54" t="s">
        <v>386</v>
      </c>
      <c r="I294" s="54" t="s">
        <v>386</v>
      </c>
      <c r="J294" s="54" t="s">
        <v>386</v>
      </c>
      <c r="K294" s="54" t="s">
        <v>386</v>
      </c>
      <c r="L294" s="54" t="s">
        <v>386</v>
      </c>
      <c r="M294" s="54" t="s">
        <v>386</v>
      </c>
      <c r="N294" s="54" t="s">
        <v>386</v>
      </c>
      <c r="O294" s="54" t="s">
        <v>386</v>
      </c>
      <c r="P294" s="101"/>
    </row>
    <row r="295" spans="1:16" ht="15" customHeight="1">
      <c r="A295" s="467">
        <v>132</v>
      </c>
      <c r="B295" s="470" t="s">
        <v>78</v>
      </c>
      <c r="C295" s="479">
        <v>1170</v>
      </c>
      <c r="D295" s="481"/>
      <c r="E295" s="481"/>
      <c r="F295" s="481">
        <v>1170</v>
      </c>
      <c r="G295" s="481">
        <v>1170</v>
      </c>
      <c r="H295" s="481"/>
      <c r="I295" s="481"/>
      <c r="J295" s="481"/>
      <c r="K295" s="481"/>
      <c r="L295" s="481">
        <v>1170</v>
      </c>
      <c r="M295" s="481"/>
      <c r="N295" s="481"/>
      <c r="O295" s="491">
        <v>1170</v>
      </c>
      <c r="P295" s="493">
        <f>SUM(C295:O296)</f>
        <v>5850</v>
      </c>
    </row>
    <row r="296" spans="1:16">
      <c r="A296" s="468"/>
      <c r="B296" s="471"/>
      <c r="C296" s="480"/>
      <c r="D296" s="482"/>
      <c r="E296" s="482"/>
      <c r="F296" s="482"/>
      <c r="G296" s="482"/>
      <c r="H296" s="482"/>
      <c r="I296" s="482"/>
      <c r="J296" s="482"/>
      <c r="K296" s="482"/>
      <c r="L296" s="482"/>
      <c r="M296" s="482"/>
      <c r="N296" s="482"/>
      <c r="O296" s="492"/>
      <c r="P296" s="494"/>
    </row>
    <row r="297" spans="1:16">
      <c r="A297" s="468"/>
      <c r="B297" s="76" t="s">
        <v>363</v>
      </c>
      <c r="C297" s="97">
        <v>45328</v>
      </c>
      <c r="D297" s="65"/>
      <c r="E297" s="65"/>
      <c r="F297" s="65">
        <v>45421</v>
      </c>
      <c r="G297" s="65">
        <v>45453</v>
      </c>
      <c r="H297" s="65"/>
      <c r="I297" s="65"/>
      <c r="J297" s="65"/>
      <c r="K297" s="65"/>
      <c r="L297" s="65">
        <v>45604</v>
      </c>
      <c r="M297" s="65"/>
      <c r="N297" s="65"/>
      <c r="O297" s="64">
        <v>45663</v>
      </c>
      <c r="P297" s="101"/>
    </row>
    <row r="298" spans="1:16">
      <c r="A298" s="478"/>
      <c r="B298" s="77" t="s">
        <v>377</v>
      </c>
      <c r="C298" s="73" t="s">
        <v>386</v>
      </c>
      <c r="D298" s="54"/>
      <c r="E298" s="54"/>
      <c r="F298" s="54" t="s">
        <v>371</v>
      </c>
      <c r="G298" s="54" t="s">
        <v>371</v>
      </c>
      <c r="H298" s="54"/>
      <c r="I298" s="54"/>
      <c r="J298" s="54"/>
      <c r="K298" s="54"/>
      <c r="L298" s="54" t="s">
        <v>386</v>
      </c>
      <c r="M298" s="54"/>
      <c r="N298" s="54"/>
      <c r="O298" s="54" t="s">
        <v>384</v>
      </c>
      <c r="P298" s="101"/>
    </row>
    <row r="299" spans="1:16" ht="25.5" customHeight="1">
      <c r="A299" s="485">
        <v>137</v>
      </c>
      <c r="B299" s="470" t="s">
        <v>334</v>
      </c>
      <c r="C299" s="479">
        <v>550</v>
      </c>
      <c r="D299" s="499">
        <v>550</v>
      </c>
      <c r="E299" s="486">
        <v>550</v>
      </c>
      <c r="F299" s="486">
        <v>550</v>
      </c>
      <c r="G299" s="486">
        <v>580</v>
      </c>
      <c r="H299" s="486">
        <v>567</v>
      </c>
      <c r="I299" s="486">
        <v>590</v>
      </c>
      <c r="J299" s="486">
        <v>580</v>
      </c>
      <c r="K299" s="486">
        <v>580</v>
      </c>
      <c r="L299" s="486">
        <v>580</v>
      </c>
      <c r="M299" s="486">
        <v>580</v>
      </c>
      <c r="N299" s="486"/>
      <c r="O299" s="487">
        <v>580</v>
      </c>
      <c r="P299" s="476">
        <f>SUM(C299:O300)</f>
        <v>6837</v>
      </c>
    </row>
    <row r="300" spans="1:16">
      <c r="A300" s="468"/>
      <c r="B300" s="471"/>
      <c r="C300" s="480"/>
      <c r="D300" s="499"/>
      <c r="E300" s="486"/>
      <c r="F300" s="486"/>
      <c r="G300" s="486"/>
      <c r="H300" s="486"/>
      <c r="I300" s="486"/>
      <c r="J300" s="486"/>
      <c r="K300" s="486"/>
      <c r="L300" s="486"/>
      <c r="M300" s="486"/>
      <c r="N300" s="486"/>
      <c r="O300" s="488"/>
      <c r="P300" s="445"/>
    </row>
    <row r="301" spans="1:16">
      <c r="A301" s="468"/>
      <c r="B301" s="82" t="s">
        <v>363</v>
      </c>
      <c r="C301" s="65">
        <v>45323</v>
      </c>
      <c r="D301" s="65">
        <v>42</v>
      </c>
      <c r="E301" s="65">
        <v>45404</v>
      </c>
      <c r="F301" s="65">
        <v>45404</v>
      </c>
      <c r="G301" s="65">
        <v>45446</v>
      </c>
      <c r="H301" s="65">
        <v>45495</v>
      </c>
      <c r="I301" s="65">
        <v>45540</v>
      </c>
      <c r="J301" s="65">
        <v>45568</v>
      </c>
      <c r="K301" s="65">
        <v>45568</v>
      </c>
      <c r="L301" s="65">
        <v>45656</v>
      </c>
      <c r="M301" s="65">
        <v>45656</v>
      </c>
      <c r="N301" s="54"/>
      <c r="O301" s="65">
        <v>45783</v>
      </c>
      <c r="P301" s="101"/>
    </row>
    <row r="302" spans="1:16">
      <c r="A302" s="501"/>
      <c r="B302" s="76" t="s">
        <v>377</v>
      </c>
      <c r="C302" s="73" t="s">
        <v>386</v>
      </c>
      <c r="D302" s="54" t="s">
        <v>386</v>
      </c>
      <c r="E302" s="54" t="s">
        <v>386</v>
      </c>
      <c r="F302" s="54" t="s">
        <v>386</v>
      </c>
      <c r="G302" s="54" t="s">
        <v>386</v>
      </c>
      <c r="H302" s="54" t="s">
        <v>386</v>
      </c>
      <c r="I302" s="54" t="s">
        <v>386</v>
      </c>
      <c r="J302" s="54" t="s">
        <v>386</v>
      </c>
      <c r="K302" s="54" t="s">
        <v>386</v>
      </c>
      <c r="L302" s="54" t="s">
        <v>386</v>
      </c>
      <c r="M302" s="54" t="s">
        <v>386</v>
      </c>
      <c r="N302" s="54"/>
      <c r="O302" s="54" t="s">
        <v>386</v>
      </c>
      <c r="P302" s="101"/>
    </row>
    <row r="303" spans="1:16" ht="15" customHeight="1">
      <c r="A303" s="467">
        <v>138</v>
      </c>
      <c r="B303" s="470" t="s">
        <v>335</v>
      </c>
      <c r="C303" s="479"/>
      <c r="D303" s="481"/>
      <c r="E303" s="481"/>
      <c r="F303" s="481"/>
      <c r="G303" s="500"/>
      <c r="H303" s="481"/>
      <c r="I303" s="481"/>
      <c r="J303" s="481"/>
      <c r="K303" s="482"/>
      <c r="L303" s="482"/>
      <c r="M303" s="482"/>
      <c r="N303" s="482"/>
      <c r="O303" s="491"/>
      <c r="P303" s="476">
        <f>SUM(C303:O304)</f>
        <v>0</v>
      </c>
    </row>
    <row r="304" spans="1:16">
      <c r="A304" s="468"/>
      <c r="B304" s="496"/>
      <c r="C304" s="480"/>
      <c r="D304" s="482"/>
      <c r="E304" s="482"/>
      <c r="F304" s="482"/>
      <c r="G304" s="482"/>
      <c r="H304" s="482"/>
      <c r="I304" s="482"/>
      <c r="J304" s="482"/>
      <c r="K304" s="482"/>
      <c r="L304" s="482"/>
      <c r="M304" s="482"/>
      <c r="N304" s="482"/>
      <c r="O304" s="492"/>
      <c r="P304" s="445"/>
    </row>
    <row r="305" spans="1:16">
      <c r="A305" s="468"/>
      <c r="B305" s="86" t="s">
        <v>363</v>
      </c>
      <c r="C305" s="97"/>
      <c r="D305" s="65"/>
      <c r="E305" s="65"/>
      <c r="F305" s="65"/>
      <c r="G305" s="65"/>
      <c r="H305" s="65"/>
      <c r="I305" s="65"/>
      <c r="J305" s="65"/>
      <c r="K305" s="54"/>
      <c r="L305" s="54"/>
      <c r="M305" s="54"/>
      <c r="N305" s="54"/>
      <c r="O305" s="54"/>
      <c r="P305" s="101"/>
    </row>
    <row r="306" spans="1:16">
      <c r="A306" s="478"/>
      <c r="B306" s="76" t="s">
        <v>377</v>
      </c>
      <c r="C306" s="73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101"/>
    </row>
    <row r="307" spans="1:16" ht="15" customHeight="1">
      <c r="A307" s="467">
        <v>140</v>
      </c>
      <c r="B307" s="470" t="s">
        <v>1138</v>
      </c>
      <c r="C307" s="479">
        <v>150</v>
      </c>
      <c r="D307" s="479">
        <v>150</v>
      </c>
      <c r="E307" s="479">
        <v>150</v>
      </c>
      <c r="F307" s="479">
        <v>150</v>
      </c>
      <c r="G307" s="479">
        <v>150</v>
      </c>
      <c r="H307" s="481">
        <v>150</v>
      </c>
      <c r="I307" s="481" t="s">
        <v>998</v>
      </c>
      <c r="J307" s="481" t="s">
        <v>998</v>
      </c>
      <c r="K307" s="481" t="s">
        <v>998</v>
      </c>
      <c r="L307" s="481" t="s">
        <v>998</v>
      </c>
      <c r="M307" s="481" t="s">
        <v>998</v>
      </c>
      <c r="N307" s="481" t="s">
        <v>998</v>
      </c>
      <c r="O307" s="481" t="s">
        <v>998</v>
      </c>
      <c r="P307" s="476">
        <f>SUM(C307:O308)</f>
        <v>900</v>
      </c>
    </row>
    <row r="308" spans="1:16">
      <c r="A308" s="468"/>
      <c r="B308" s="496"/>
      <c r="C308" s="480"/>
      <c r="D308" s="480"/>
      <c r="E308" s="480"/>
      <c r="F308" s="480"/>
      <c r="G308" s="480"/>
      <c r="H308" s="482"/>
      <c r="I308" s="482"/>
      <c r="J308" s="482"/>
      <c r="K308" s="482"/>
      <c r="L308" s="482"/>
      <c r="M308" s="482"/>
      <c r="N308" s="482"/>
      <c r="O308" s="482"/>
      <c r="P308" s="445"/>
    </row>
    <row r="309" spans="1:16">
      <c r="A309" s="468"/>
      <c r="B309" s="86" t="s">
        <v>363</v>
      </c>
      <c r="C309" s="97">
        <v>45330</v>
      </c>
      <c r="D309" s="97">
        <v>45330</v>
      </c>
      <c r="E309" s="97">
        <v>45397</v>
      </c>
      <c r="F309" s="97">
        <v>45428</v>
      </c>
      <c r="G309" s="97">
        <v>45470</v>
      </c>
      <c r="H309" s="65">
        <v>45470</v>
      </c>
      <c r="I309" s="65" t="s">
        <v>998</v>
      </c>
      <c r="J309" s="65" t="s">
        <v>998</v>
      </c>
      <c r="K309" s="65" t="s">
        <v>998</v>
      </c>
      <c r="L309" s="54" t="s">
        <v>998</v>
      </c>
      <c r="M309" s="54" t="s">
        <v>998</v>
      </c>
      <c r="N309" s="54" t="s">
        <v>998</v>
      </c>
      <c r="O309" s="54" t="s">
        <v>998</v>
      </c>
      <c r="P309" s="101"/>
    </row>
    <row r="310" spans="1:16">
      <c r="A310" s="478"/>
      <c r="B310" s="76" t="s">
        <v>377</v>
      </c>
      <c r="C310" s="73" t="s">
        <v>384</v>
      </c>
      <c r="D310" s="73" t="s">
        <v>384</v>
      </c>
      <c r="E310" s="73" t="s">
        <v>384</v>
      </c>
      <c r="F310" s="73" t="s">
        <v>384</v>
      </c>
      <c r="G310" s="73" t="s">
        <v>384</v>
      </c>
      <c r="H310" s="54" t="s">
        <v>384</v>
      </c>
      <c r="I310" s="54" t="s">
        <v>998</v>
      </c>
      <c r="J310" s="54" t="s">
        <v>998</v>
      </c>
      <c r="K310" s="54" t="s">
        <v>998</v>
      </c>
      <c r="L310" s="54" t="s">
        <v>998</v>
      </c>
      <c r="M310" s="54" t="s">
        <v>998</v>
      </c>
      <c r="N310" s="54" t="s">
        <v>998</v>
      </c>
      <c r="O310" s="54" t="s">
        <v>998</v>
      </c>
      <c r="P310" s="101"/>
    </row>
    <row r="311" spans="1:16" ht="15" customHeight="1">
      <c r="A311" s="467">
        <v>144</v>
      </c>
      <c r="B311" s="470" t="s">
        <v>1451</v>
      </c>
      <c r="C311" s="479"/>
      <c r="D311" s="479">
        <v>150</v>
      </c>
      <c r="E311" s="479"/>
      <c r="F311" s="479">
        <v>150</v>
      </c>
      <c r="G311" s="479">
        <v>150</v>
      </c>
      <c r="H311" s="481">
        <v>150</v>
      </c>
      <c r="I311" s="481">
        <v>150</v>
      </c>
      <c r="J311" s="481">
        <v>150</v>
      </c>
      <c r="K311" s="481">
        <v>150</v>
      </c>
      <c r="L311" s="481">
        <v>150</v>
      </c>
      <c r="M311" s="481">
        <v>150</v>
      </c>
      <c r="N311" s="481"/>
      <c r="O311" s="481">
        <v>150</v>
      </c>
      <c r="P311" s="476">
        <f>SUM(C311:O312)</f>
        <v>1500</v>
      </c>
    </row>
    <row r="312" spans="1:16">
      <c r="A312" s="468"/>
      <c r="B312" s="496"/>
      <c r="C312" s="480"/>
      <c r="D312" s="480"/>
      <c r="E312" s="480"/>
      <c r="F312" s="480"/>
      <c r="G312" s="480"/>
      <c r="H312" s="482"/>
      <c r="I312" s="482"/>
      <c r="J312" s="482"/>
      <c r="K312" s="482"/>
      <c r="L312" s="482"/>
      <c r="M312" s="482"/>
      <c r="N312" s="482"/>
      <c r="O312" s="482"/>
      <c r="P312" s="445"/>
    </row>
    <row r="313" spans="1:16">
      <c r="A313" s="468"/>
      <c r="B313" s="86" t="s">
        <v>363</v>
      </c>
      <c r="C313" s="97"/>
      <c r="D313" s="97">
        <v>45371</v>
      </c>
      <c r="E313" s="97"/>
      <c r="F313" s="97">
        <v>45426</v>
      </c>
      <c r="G313" s="97">
        <v>45460</v>
      </c>
      <c r="H313" s="65">
        <v>45491</v>
      </c>
      <c r="I313" s="65">
        <v>45517</v>
      </c>
      <c r="J313" s="65">
        <v>45544</v>
      </c>
      <c r="K313" s="65">
        <v>45559</v>
      </c>
      <c r="L313" s="65">
        <v>45621</v>
      </c>
      <c r="M313" s="65">
        <v>45621</v>
      </c>
      <c r="N313" s="54"/>
      <c r="O313" s="64">
        <v>45667</v>
      </c>
      <c r="P313" s="101"/>
    </row>
    <row r="314" spans="1:16">
      <c r="A314" s="478"/>
      <c r="B314" s="76" t="s">
        <v>377</v>
      </c>
      <c r="C314" s="73"/>
      <c r="D314" s="73" t="s">
        <v>384</v>
      </c>
      <c r="E314" s="73"/>
      <c r="F314" s="73" t="s">
        <v>384</v>
      </c>
      <c r="G314" s="73" t="s">
        <v>384</v>
      </c>
      <c r="H314" s="54" t="s">
        <v>384</v>
      </c>
      <c r="I314" s="54" t="s">
        <v>384</v>
      </c>
      <c r="J314" s="54" t="s">
        <v>384</v>
      </c>
      <c r="K314" s="54" t="s">
        <v>384</v>
      </c>
      <c r="L314" s="54" t="s">
        <v>384</v>
      </c>
      <c r="M314" s="54" t="s">
        <v>384</v>
      </c>
      <c r="N314" s="54"/>
      <c r="O314" s="54" t="s">
        <v>384</v>
      </c>
      <c r="P314" s="101"/>
    </row>
    <row r="315" spans="1:16" ht="15" customHeight="1">
      <c r="A315" s="467">
        <v>145</v>
      </c>
      <c r="B315" s="470" t="s">
        <v>81</v>
      </c>
      <c r="C315" s="480"/>
      <c r="D315" s="482">
        <v>332</v>
      </c>
      <c r="E315" s="482">
        <v>332</v>
      </c>
      <c r="F315" s="482">
        <v>332</v>
      </c>
      <c r="G315" s="482">
        <v>332</v>
      </c>
      <c r="H315" s="482">
        <v>332</v>
      </c>
      <c r="I315" s="482"/>
      <c r="J315" s="482"/>
      <c r="K315" s="482"/>
      <c r="L315" s="482"/>
      <c r="M315" s="482"/>
      <c r="N315" s="482"/>
      <c r="O315" s="491"/>
      <c r="P315" s="476">
        <f>SUM(C315:O316)</f>
        <v>1660</v>
      </c>
    </row>
    <row r="316" spans="1:16">
      <c r="A316" s="468"/>
      <c r="B316" s="471"/>
      <c r="C316" s="480"/>
      <c r="D316" s="482"/>
      <c r="E316" s="482"/>
      <c r="F316" s="482"/>
      <c r="G316" s="482"/>
      <c r="H316" s="482"/>
      <c r="I316" s="482"/>
      <c r="J316" s="482"/>
      <c r="K316" s="482"/>
      <c r="L316" s="482"/>
      <c r="M316" s="482"/>
      <c r="N316" s="482"/>
      <c r="O316" s="492"/>
      <c r="P316" s="445"/>
    </row>
    <row r="317" spans="1:16">
      <c r="A317" s="468"/>
      <c r="B317" s="87" t="s">
        <v>363</v>
      </c>
      <c r="C317" s="54"/>
      <c r="D317" s="65">
        <v>45371</v>
      </c>
      <c r="E317" s="65">
        <v>45392</v>
      </c>
      <c r="F317" s="65">
        <v>45422</v>
      </c>
      <c r="G317" s="65">
        <v>45453</v>
      </c>
      <c r="H317" s="65">
        <v>45843</v>
      </c>
      <c r="I317" s="54"/>
      <c r="J317" s="54"/>
      <c r="K317" s="54"/>
      <c r="L317" s="54"/>
      <c r="M317" s="54"/>
      <c r="N317" s="54"/>
      <c r="O317" s="54"/>
      <c r="P317" s="101"/>
    </row>
    <row r="318" spans="1:16">
      <c r="A318" s="469"/>
      <c r="B318" s="76" t="s">
        <v>377</v>
      </c>
      <c r="C318" s="73"/>
      <c r="D318" s="54" t="s">
        <v>1486</v>
      </c>
      <c r="E318" s="54" t="s">
        <v>1486</v>
      </c>
      <c r="F318" s="54" t="s">
        <v>1486</v>
      </c>
      <c r="G318" s="54" t="s">
        <v>1486</v>
      </c>
      <c r="H318" s="54" t="s">
        <v>1486</v>
      </c>
      <c r="I318" s="54"/>
      <c r="J318" s="54"/>
      <c r="K318" s="54"/>
      <c r="L318" s="54"/>
      <c r="M318" s="54"/>
      <c r="N318" s="54"/>
      <c r="O318" s="54"/>
      <c r="P318" s="101"/>
    </row>
    <row r="319" spans="1:16" ht="15" customHeight="1">
      <c r="A319" s="553">
        <v>146</v>
      </c>
      <c r="B319" s="470" t="s">
        <v>336</v>
      </c>
      <c r="C319" s="495">
        <v>505</v>
      </c>
      <c r="D319" s="481">
        <v>505</v>
      </c>
      <c r="E319" s="481">
        <v>505</v>
      </c>
      <c r="F319" s="481">
        <v>505</v>
      </c>
      <c r="G319" s="481">
        <v>505</v>
      </c>
      <c r="H319" s="481">
        <v>505</v>
      </c>
      <c r="I319" s="481">
        <v>505</v>
      </c>
      <c r="J319" s="481">
        <v>505</v>
      </c>
      <c r="K319" s="486">
        <v>505</v>
      </c>
      <c r="L319" s="486">
        <v>505</v>
      </c>
      <c r="M319" s="486">
        <v>505</v>
      </c>
      <c r="N319" s="486"/>
      <c r="O319" s="487">
        <v>505</v>
      </c>
      <c r="P319" s="476">
        <f>SUM(C319:O320)</f>
        <v>6060</v>
      </c>
    </row>
    <row r="320" spans="1:16">
      <c r="A320" s="554"/>
      <c r="B320" s="471"/>
      <c r="C320" s="480"/>
      <c r="D320" s="482"/>
      <c r="E320" s="482"/>
      <c r="F320" s="482"/>
      <c r="G320" s="482"/>
      <c r="H320" s="482"/>
      <c r="I320" s="482"/>
      <c r="J320" s="482"/>
      <c r="K320" s="486"/>
      <c r="L320" s="486"/>
      <c r="M320" s="486"/>
      <c r="N320" s="486"/>
      <c r="O320" s="488"/>
      <c r="P320" s="445"/>
    </row>
    <row r="321" spans="1:16">
      <c r="A321" s="554"/>
      <c r="B321" s="76" t="s">
        <v>363</v>
      </c>
      <c r="C321" s="97">
        <v>45328</v>
      </c>
      <c r="D321" s="65">
        <v>45357</v>
      </c>
      <c r="E321" s="65">
        <v>45391</v>
      </c>
      <c r="F321" s="65">
        <v>45422</v>
      </c>
      <c r="G321" s="65">
        <v>45456</v>
      </c>
      <c r="H321" s="65">
        <v>45477</v>
      </c>
      <c r="I321" s="65">
        <v>45519</v>
      </c>
      <c r="J321" s="65">
        <v>45552</v>
      </c>
      <c r="K321" s="65">
        <v>45995</v>
      </c>
      <c r="L321" s="65">
        <v>45678</v>
      </c>
      <c r="M321" s="65">
        <v>45729</v>
      </c>
      <c r="N321" s="65"/>
      <c r="O321" s="64">
        <v>45678</v>
      </c>
      <c r="P321" s="101"/>
    </row>
    <row r="322" spans="1:16">
      <c r="A322" s="555"/>
      <c r="B322" s="86" t="s">
        <v>377</v>
      </c>
      <c r="C322" s="73" t="s">
        <v>384</v>
      </c>
      <c r="D322" s="54" t="s">
        <v>384</v>
      </c>
      <c r="E322" s="54" t="s">
        <v>371</v>
      </c>
      <c r="F322" s="54" t="s">
        <v>371</v>
      </c>
      <c r="G322" s="54" t="s">
        <v>384</v>
      </c>
      <c r="H322" s="54" t="s">
        <v>384</v>
      </c>
      <c r="I322" s="54" t="s">
        <v>384</v>
      </c>
      <c r="J322" s="54" t="s">
        <v>384</v>
      </c>
      <c r="K322" s="54" t="s">
        <v>384</v>
      </c>
      <c r="L322" s="54" t="s">
        <v>384</v>
      </c>
      <c r="M322" s="54" t="s">
        <v>384</v>
      </c>
      <c r="N322" s="54"/>
      <c r="O322" s="54" t="s">
        <v>384</v>
      </c>
      <c r="P322" s="101"/>
    </row>
    <row r="323" spans="1:16" ht="15" customHeight="1">
      <c r="A323" s="467">
        <v>147</v>
      </c>
      <c r="B323" s="489" t="s">
        <v>230</v>
      </c>
      <c r="C323" s="479">
        <v>390</v>
      </c>
      <c r="D323" s="481">
        <v>585</v>
      </c>
      <c r="E323" s="481">
        <v>390</v>
      </c>
      <c r="F323" s="481">
        <v>390</v>
      </c>
      <c r="G323" s="481">
        <v>390</v>
      </c>
      <c r="H323" s="481">
        <v>390</v>
      </c>
      <c r="I323" s="481">
        <v>390</v>
      </c>
      <c r="J323" s="481">
        <v>390</v>
      </c>
      <c r="K323" s="486">
        <v>390</v>
      </c>
      <c r="L323" s="486">
        <v>390</v>
      </c>
      <c r="M323" s="486">
        <v>390</v>
      </c>
      <c r="N323" s="486">
        <v>390</v>
      </c>
      <c r="O323" s="487">
        <v>390</v>
      </c>
      <c r="P323" s="549">
        <f>SUM(C323:O324)</f>
        <v>5265</v>
      </c>
    </row>
    <row r="324" spans="1:16">
      <c r="A324" s="468"/>
      <c r="B324" s="490"/>
      <c r="C324" s="480"/>
      <c r="D324" s="482"/>
      <c r="E324" s="482"/>
      <c r="F324" s="482"/>
      <c r="G324" s="482"/>
      <c r="H324" s="482"/>
      <c r="I324" s="482"/>
      <c r="J324" s="482"/>
      <c r="K324" s="486"/>
      <c r="L324" s="486"/>
      <c r="M324" s="486"/>
      <c r="N324" s="486"/>
      <c r="O324" s="488"/>
      <c r="P324" s="549"/>
    </row>
    <row r="325" spans="1:16">
      <c r="A325" s="468"/>
      <c r="B325" s="78" t="s">
        <v>363</v>
      </c>
      <c r="C325" s="97">
        <v>45356</v>
      </c>
      <c r="D325" s="65">
        <v>45359</v>
      </c>
      <c r="E325" s="65">
        <v>45404</v>
      </c>
      <c r="F325" s="65">
        <v>45404</v>
      </c>
      <c r="G325" s="65">
        <v>45404</v>
      </c>
      <c r="H325" s="65">
        <v>45420</v>
      </c>
      <c r="I325" s="65">
        <v>45447</v>
      </c>
      <c r="J325" s="65">
        <v>45483</v>
      </c>
      <c r="K325" s="65">
        <v>45483</v>
      </c>
      <c r="L325" s="65">
        <v>45483</v>
      </c>
      <c r="M325" s="65">
        <v>45965</v>
      </c>
      <c r="N325" s="65">
        <v>46021</v>
      </c>
      <c r="O325" s="65">
        <v>46021</v>
      </c>
      <c r="P325" s="101"/>
    </row>
    <row r="326" spans="1:16">
      <c r="A326" s="478"/>
      <c r="B326" s="78" t="s">
        <v>377</v>
      </c>
      <c r="C326" s="73" t="s">
        <v>386</v>
      </c>
      <c r="D326" s="54" t="s">
        <v>384</v>
      </c>
      <c r="E326" s="54" t="s">
        <v>371</v>
      </c>
      <c r="F326" s="54" t="s">
        <v>371</v>
      </c>
      <c r="G326" s="54" t="s">
        <v>371</v>
      </c>
      <c r="H326" s="54" t="s">
        <v>371</v>
      </c>
      <c r="I326" s="54" t="s">
        <v>371</v>
      </c>
      <c r="J326" s="54" t="s">
        <v>384</v>
      </c>
      <c r="K326" s="54" t="s">
        <v>384</v>
      </c>
      <c r="L326" s="54" t="s">
        <v>384</v>
      </c>
      <c r="M326" s="54" t="s">
        <v>384</v>
      </c>
      <c r="N326" s="54" t="s">
        <v>384</v>
      </c>
      <c r="O326" s="54" t="s">
        <v>384</v>
      </c>
      <c r="P326" s="101"/>
    </row>
    <row r="327" spans="1:16" ht="15" customHeight="1">
      <c r="A327" s="467">
        <v>148</v>
      </c>
      <c r="B327" s="489" t="s">
        <v>519</v>
      </c>
      <c r="C327" s="499">
        <v>130</v>
      </c>
      <c r="D327" s="486">
        <v>130</v>
      </c>
      <c r="E327" s="596">
        <v>130</v>
      </c>
      <c r="F327" s="486">
        <v>130</v>
      </c>
      <c r="G327" s="486">
        <v>130</v>
      </c>
      <c r="H327" s="481"/>
      <c r="I327" s="481"/>
      <c r="J327" s="482"/>
      <c r="K327" s="482"/>
      <c r="L327" s="482"/>
      <c r="M327" s="481"/>
      <c r="N327" s="481"/>
      <c r="O327" s="491"/>
      <c r="P327" s="476">
        <f>SUM(C327:O328)</f>
        <v>650</v>
      </c>
    </row>
    <row r="328" spans="1:16">
      <c r="A328" s="468"/>
      <c r="B328" s="490"/>
      <c r="C328" s="499"/>
      <c r="D328" s="486"/>
      <c r="E328" s="486"/>
      <c r="F328" s="486"/>
      <c r="G328" s="486"/>
      <c r="H328" s="482"/>
      <c r="I328" s="482"/>
      <c r="J328" s="482"/>
      <c r="K328" s="482"/>
      <c r="L328" s="482"/>
      <c r="M328" s="482"/>
      <c r="N328" s="482"/>
      <c r="O328" s="492"/>
      <c r="P328" s="445"/>
    </row>
    <row r="329" spans="1:16">
      <c r="A329" s="468"/>
      <c r="B329" s="76" t="s">
        <v>363</v>
      </c>
      <c r="C329" s="97">
        <v>45329</v>
      </c>
      <c r="D329" s="65">
        <v>45377</v>
      </c>
      <c r="E329" s="65">
        <v>45393</v>
      </c>
      <c r="F329" s="65">
        <v>45434</v>
      </c>
      <c r="G329" s="65">
        <v>45446</v>
      </c>
      <c r="H329" s="65"/>
      <c r="I329" s="65"/>
      <c r="J329" s="54"/>
      <c r="K329" s="54"/>
      <c r="L329" s="54"/>
      <c r="M329" s="65"/>
      <c r="N329" s="65"/>
      <c r="O329" s="54"/>
      <c r="P329" s="101"/>
    </row>
    <row r="330" spans="1:16">
      <c r="A330" s="478"/>
      <c r="B330" s="79" t="s">
        <v>377</v>
      </c>
      <c r="C330" s="73" t="s">
        <v>384</v>
      </c>
      <c r="D330" s="54" t="s">
        <v>384</v>
      </c>
      <c r="E330" s="54" t="s">
        <v>371</v>
      </c>
      <c r="F330" s="54" t="s">
        <v>371</v>
      </c>
      <c r="G330" s="54" t="s">
        <v>371</v>
      </c>
      <c r="H330" s="54"/>
      <c r="I330" s="54"/>
      <c r="J330" s="54"/>
      <c r="K330" s="54"/>
      <c r="L330" s="54"/>
      <c r="M330" s="54"/>
      <c r="N330" s="54"/>
      <c r="O330" s="54"/>
      <c r="P330" s="101"/>
    </row>
    <row r="331" spans="1:16" ht="15" customHeight="1">
      <c r="A331" s="485">
        <v>149</v>
      </c>
      <c r="B331" s="533" t="s">
        <v>231</v>
      </c>
      <c r="C331" s="482"/>
      <c r="D331" s="481"/>
      <c r="E331" s="482"/>
      <c r="F331" s="482"/>
      <c r="G331" s="482"/>
      <c r="H331" s="482"/>
      <c r="I331" s="482"/>
      <c r="J331" s="482"/>
      <c r="K331" s="482"/>
      <c r="L331" s="482"/>
      <c r="M331" s="482"/>
      <c r="N331" s="482"/>
      <c r="O331" s="491"/>
      <c r="P331" s="476">
        <f>SUM(C331:O332)</f>
        <v>0</v>
      </c>
    </row>
    <row r="332" spans="1:16">
      <c r="A332" s="468"/>
      <c r="B332" s="533"/>
      <c r="C332" s="482"/>
      <c r="D332" s="482"/>
      <c r="E332" s="482"/>
      <c r="F332" s="482"/>
      <c r="G332" s="482"/>
      <c r="H332" s="482"/>
      <c r="I332" s="482"/>
      <c r="J332" s="482"/>
      <c r="K332" s="482"/>
      <c r="L332" s="482"/>
      <c r="M332" s="482"/>
      <c r="N332" s="482"/>
      <c r="O332" s="492"/>
      <c r="P332" s="445"/>
    </row>
    <row r="333" spans="1:16">
      <c r="A333" s="468"/>
      <c r="B333" s="88" t="s">
        <v>363</v>
      </c>
      <c r="C333" s="54"/>
      <c r="D333" s="65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101"/>
    </row>
    <row r="334" spans="1:16">
      <c r="A334" s="478"/>
      <c r="B334" s="89" t="s">
        <v>377</v>
      </c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101"/>
    </row>
    <row r="335" spans="1:16" ht="15" customHeight="1">
      <c r="A335" s="485">
        <v>150</v>
      </c>
      <c r="B335" s="533" t="s">
        <v>1256</v>
      </c>
      <c r="C335" s="486">
        <v>215</v>
      </c>
      <c r="D335" s="486">
        <v>215</v>
      </c>
      <c r="E335" s="486">
        <v>215</v>
      </c>
      <c r="F335" s="486">
        <v>215</v>
      </c>
      <c r="G335" s="486">
        <v>215</v>
      </c>
      <c r="H335" s="486">
        <v>215</v>
      </c>
      <c r="I335" s="486">
        <v>215</v>
      </c>
      <c r="J335" s="486">
        <v>215</v>
      </c>
      <c r="K335" s="481"/>
      <c r="L335" s="481"/>
      <c r="M335" s="481"/>
      <c r="N335" s="481"/>
      <c r="O335" s="481"/>
      <c r="P335" s="476">
        <f>SUM(C335:O336)</f>
        <v>1720</v>
      </c>
    </row>
    <row r="336" spans="1:16">
      <c r="A336" s="468"/>
      <c r="B336" s="533"/>
      <c r="C336" s="486"/>
      <c r="D336" s="486"/>
      <c r="E336" s="486"/>
      <c r="F336" s="486"/>
      <c r="G336" s="486"/>
      <c r="H336" s="486"/>
      <c r="I336" s="486"/>
      <c r="J336" s="486"/>
      <c r="K336" s="482"/>
      <c r="L336" s="482"/>
      <c r="M336" s="482"/>
      <c r="N336" s="482"/>
      <c r="O336" s="482"/>
      <c r="P336" s="445"/>
    </row>
    <row r="337" spans="1:16">
      <c r="A337" s="468"/>
      <c r="B337" s="88" t="s">
        <v>363</v>
      </c>
      <c r="C337" s="65">
        <v>45293</v>
      </c>
      <c r="D337" s="65">
        <v>45324</v>
      </c>
      <c r="E337" s="65">
        <v>45355</v>
      </c>
      <c r="F337" s="65">
        <v>45385</v>
      </c>
      <c r="G337" s="65">
        <v>45415</v>
      </c>
      <c r="H337" s="65">
        <v>45446</v>
      </c>
      <c r="I337" s="65">
        <v>45475</v>
      </c>
      <c r="J337" s="65">
        <v>45506</v>
      </c>
      <c r="K337" s="66"/>
      <c r="L337" s="65"/>
      <c r="M337" s="65"/>
      <c r="N337" s="65"/>
      <c r="O337" s="65"/>
      <c r="P337" s="101"/>
    </row>
    <row r="338" spans="1:16">
      <c r="A338" s="478"/>
      <c r="B338" s="89" t="s">
        <v>377</v>
      </c>
      <c r="C338" s="54" t="s">
        <v>384</v>
      </c>
      <c r="D338" s="54" t="s">
        <v>371</v>
      </c>
      <c r="E338" s="54" t="s">
        <v>384</v>
      </c>
      <c r="F338" s="54" t="s">
        <v>371</v>
      </c>
      <c r="G338" s="54" t="s">
        <v>371</v>
      </c>
      <c r="H338" s="54" t="s">
        <v>371</v>
      </c>
      <c r="I338" s="54" t="s">
        <v>384</v>
      </c>
      <c r="J338" s="54" t="s">
        <v>384</v>
      </c>
      <c r="K338" s="54"/>
      <c r="L338" s="54"/>
      <c r="M338" s="54"/>
      <c r="N338" s="54"/>
      <c r="O338" s="54"/>
      <c r="P338" s="101"/>
    </row>
    <row r="339" spans="1:16" ht="15" customHeight="1">
      <c r="A339" s="470">
        <v>151</v>
      </c>
      <c r="B339" s="497" t="s">
        <v>1252</v>
      </c>
      <c r="C339" s="487">
        <v>325</v>
      </c>
      <c r="D339" s="487">
        <v>325</v>
      </c>
      <c r="E339" s="487">
        <v>325</v>
      </c>
      <c r="F339" s="487">
        <v>325</v>
      </c>
      <c r="G339" s="487">
        <v>325</v>
      </c>
      <c r="H339" s="487">
        <v>325</v>
      </c>
      <c r="I339" s="487">
        <v>325</v>
      </c>
      <c r="J339" s="487">
        <v>325</v>
      </c>
      <c r="K339" s="487">
        <v>325</v>
      </c>
      <c r="L339" s="487">
        <v>325</v>
      </c>
      <c r="M339" s="487">
        <v>325</v>
      </c>
      <c r="N339" s="483"/>
      <c r="O339" s="491">
        <v>325</v>
      </c>
      <c r="P339" s="493">
        <f>SUM(C339:O340)</f>
        <v>3900</v>
      </c>
    </row>
    <row r="340" spans="1:16">
      <c r="A340" s="496"/>
      <c r="B340" s="498"/>
      <c r="C340" s="488"/>
      <c r="D340" s="488"/>
      <c r="E340" s="488"/>
      <c r="F340" s="488"/>
      <c r="G340" s="488"/>
      <c r="H340" s="488"/>
      <c r="I340" s="488"/>
      <c r="J340" s="488"/>
      <c r="K340" s="488"/>
      <c r="L340" s="488"/>
      <c r="M340" s="488"/>
      <c r="N340" s="492"/>
      <c r="O340" s="492"/>
      <c r="P340" s="494"/>
    </row>
    <row r="341" spans="1:16">
      <c r="A341" s="496"/>
      <c r="B341" s="83" t="s">
        <v>363</v>
      </c>
      <c r="C341" s="65">
        <v>45336</v>
      </c>
      <c r="D341" s="65">
        <v>45364</v>
      </c>
      <c r="E341" s="65">
        <v>45425</v>
      </c>
      <c r="F341" s="65">
        <v>45425</v>
      </c>
      <c r="G341" s="65">
        <v>45460</v>
      </c>
      <c r="H341" s="65">
        <v>45484</v>
      </c>
      <c r="I341" s="65">
        <v>45512</v>
      </c>
      <c r="J341" s="65">
        <v>45546</v>
      </c>
      <c r="K341" s="65">
        <v>45934</v>
      </c>
      <c r="L341" s="65">
        <v>46003</v>
      </c>
      <c r="M341" s="65">
        <v>46003</v>
      </c>
      <c r="N341" s="65"/>
      <c r="O341" s="65">
        <v>46003</v>
      </c>
      <c r="P341" s="101"/>
    </row>
    <row r="342" spans="1:16">
      <c r="A342" s="471"/>
      <c r="B342" s="82" t="s">
        <v>377</v>
      </c>
      <c r="C342" s="54" t="s">
        <v>371</v>
      </c>
      <c r="D342" s="54" t="s">
        <v>371</v>
      </c>
      <c r="E342" s="54" t="s">
        <v>384</v>
      </c>
      <c r="F342" s="54" t="s">
        <v>384</v>
      </c>
      <c r="G342" s="54" t="s">
        <v>384</v>
      </c>
      <c r="H342" s="54" t="s">
        <v>384</v>
      </c>
      <c r="I342" s="54" t="s">
        <v>371</v>
      </c>
      <c r="J342" s="54" t="s">
        <v>384</v>
      </c>
      <c r="K342" s="54" t="s">
        <v>384</v>
      </c>
      <c r="L342" s="54" t="s">
        <v>384</v>
      </c>
      <c r="M342" s="54" t="s">
        <v>384</v>
      </c>
      <c r="N342" s="54"/>
      <c r="O342" s="54" t="s">
        <v>384</v>
      </c>
      <c r="P342" s="101"/>
    </row>
    <row r="343" spans="1:16" ht="15" customHeight="1">
      <c r="A343" s="470">
        <v>152</v>
      </c>
      <c r="B343" s="497" t="s">
        <v>1338</v>
      </c>
      <c r="C343" s="479">
        <v>120</v>
      </c>
      <c r="D343" s="479">
        <v>120</v>
      </c>
      <c r="E343" s="499">
        <v>120</v>
      </c>
      <c r="F343" s="499">
        <v>120</v>
      </c>
      <c r="G343" s="487">
        <v>120</v>
      </c>
      <c r="H343" s="487">
        <v>120</v>
      </c>
      <c r="I343" s="487">
        <v>120</v>
      </c>
      <c r="J343" s="487">
        <v>120</v>
      </c>
      <c r="K343" s="487">
        <v>120</v>
      </c>
      <c r="L343" s="487">
        <v>120</v>
      </c>
      <c r="M343" s="487">
        <v>120</v>
      </c>
      <c r="N343" s="487">
        <v>120</v>
      </c>
      <c r="O343" s="487">
        <v>120</v>
      </c>
      <c r="P343" s="493">
        <f>SUM(C343:O344)</f>
        <v>1560</v>
      </c>
    </row>
    <row r="344" spans="1:16">
      <c r="A344" s="496"/>
      <c r="B344" s="498"/>
      <c r="C344" s="480"/>
      <c r="D344" s="480"/>
      <c r="E344" s="499"/>
      <c r="F344" s="499"/>
      <c r="G344" s="488"/>
      <c r="H344" s="488"/>
      <c r="I344" s="488"/>
      <c r="J344" s="488"/>
      <c r="K344" s="488"/>
      <c r="L344" s="488"/>
      <c r="M344" s="488"/>
      <c r="N344" s="488"/>
      <c r="O344" s="488"/>
      <c r="P344" s="494"/>
    </row>
    <row r="345" spans="1:16">
      <c r="A345" s="496"/>
      <c r="B345" s="83" t="s">
        <v>363</v>
      </c>
      <c r="C345" s="65">
        <v>45330</v>
      </c>
      <c r="D345" s="65">
        <v>45357</v>
      </c>
      <c r="E345" s="65">
        <v>45387</v>
      </c>
      <c r="F345" s="65">
        <v>45420</v>
      </c>
      <c r="G345" s="65">
        <v>45450</v>
      </c>
      <c r="H345" s="65">
        <v>45483</v>
      </c>
      <c r="I345" s="65">
        <v>45504</v>
      </c>
      <c r="J345" s="65">
        <v>45541</v>
      </c>
      <c r="K345" s="65">
        <v>45574</v>
      </c>
      <c r="L345" s="65">
        <v>45602</v>
      </c>
      <c r="M345" s="65">
        <v>45635</v>
      </c>
      <c r="N345" s="65">
        <v>45635</v>
      </c>
      <c r="O345" s="64">
        <v>45674</v>
      </c>
      <c r="P345" s="101"/>
    </row>
    <row r="346" spans="1:16">
      <c r="A346" s="471"/>
      <c r="B346" s="82" t="s">
        <v>377</v>
      </c>
      <c r="C346" s="54" t="s">
        <v>386</v>
      </c>
      <c r="D346" s="54" t="s">
        <v>386</v>
      </c>
      <c r="E346" s="54" t="s">
        <v>386</v>
      </c>
      <c r="F346" s="54" t="s">
        <v>386</v>
      </c>
      <c r="G346" s="54" t="s">
        <v>386</v>
      </c>
      <c r="H346" s="54" t="s">
        <v>386</v>
      </c>
      <c r="I346" s="54" t="s">
        <v>386</v>
      </c>
      <c r="J346" s="54" t="s">
        <v>386</v>
      </c>
      <c r="K346" s="54" t="s">
        <v>386</v>
      </c>
      <c r="L346" s="54" t="s">
        <v>386</v>
      </c>
      <c r="M346" s="54" t="s">
        <v>386</v>
      </c>
      <c r="N346" s="54" t="s">
        <v>386</v>
      </c>
      <c r="O346" s="54" t="s">
        <v>384</v>
      </c>
      <c r="P346" s="101"/>
    </row>
    <row r="347" spans="1:16" ht="15" customHeight="1">
      <c r="A347" s="470">
        <v>153</v>
      </c>
      <c r="B347" s="497" t="s">
        <v>232</v>
      </c>
      <c r="C347" s="491"/>
      <c r="D347" s="491"/>
      <c r="E347" s="491"/>
      <c r="F347" s="483"/>
      <c r="G347" s="491"/>
      <c r="H347" s="491"/>
      <c r="I347" s="491"/>
      <c r="J347" s="491"/>
      <c r="K347" s="491"/>
      <c r="L347" s="491"/>
      <c r="M347" s="491"/>
      <c r="N347" s="491"/>
      <c r="O347" s="491"/>
      <c r="P347" s="493">
        <f>SUM(C347:O348)</f>
        <v>0</v>
      </c>
    </row>
    <row r="348" spans="1:16">
      <c r="A348" s="496"/>
      <c r="B348" s="498"/>
      <c r="C348" s="492"/>
      <c r="D348" s="492"/>
      <c r="E348" s="492"/>
      <c r="F348" s="484"/>
      <c r="G348" s="492"/>
      <c r="H348" s="492"/>
      <c r="I348" s="492"/>
      <c r="J348" s="492"/>
      <c r="K348" s="492"/>
      <c r="L348" s="492"/>
      <c r="M348" s="492"/>
      <c r="N348" s="492"/>
      <c r="O348" s="492"/>
      <c r="P348" s="494"/>
    </row>
    <row r="349" spans="1:16">
      <c r="A349" s="496"/>
      <c r="B349" s="83" t="s">
        <v>363</v>
      </c>
      <c r="C349" s="54"/>
      <c r="D349" s="54"/>
      <c r="E349" s="54"/>
      <c r="F349" s="65"/>
      <c r="G349" s="54"/>
      <c r="H349" s="54"/>
      <c r="I349" s="54"/>
      <c r="J349" s="54"/>
      <c r="K349" s="54"/>
      <c r="L349" s="54"/>
      <c r="M349" s="54"/>
      <c r="N349" s="54"/>
      <c r="O349" s="54"/>
      <c r="P349" s="101"/>
    </row>
    <row r="350" spans="1:16">
      <c r="A350" s="471"/>
      <c r="B350" s="82" t="s">
        <v>377</v>
      </c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101"/>
    </row>
    <row r="351" spans="1:16" ht="15" customHeight="1">
      <c r="A351" s="467">
        <v>155</v>
      </c>
      <c r="B351" s="489" t="s">
        <v>337</v>
      </c>
      <c r="C351" s="479">
        <v>220</v>
      </c>
      <c r="D351" s="481">
        <v>220</v>
      </c>
      <c r="E351" s="481">
        <v>220</v>
      </c>
      <c r="F351" s="481">
        <v>220</v>
      </c>
      <c r="G351" s="481">
        <v>220</v>
      </c>
      <c r="H351" s="481">
        <v>220</v>
      </c>
      <c r="I351" s="481">
        <v>220</v>
      </c>
      <c r="J351" s="481">
        <v>220</v>
      </c>
      <c r="K351" s="481">
        <v>220</v>
      </c>
      <c r="L351" s="481">
        <v>220</v>
      </c>
      <c r="M351" s="486">
        <v>220</v>
      </c>
      <c r="N351" s="486">
        <v>220</v>
      </c>
      <c r="O351" s="487">
        <v>220</v>
      </c>
      <c r="P351" s="476">
        <f>SUM(C351:O352)</f>
        <v>2860</v>
      </c>
    </row>
    <row r="352" spans="1:16">
      <c r="A352" s="468"/>
      <c r="B352" s="490"/>
      <c r="C352" s="480"/>
      <c r="D352" s="482"/>
      <c r="E352" s="482"/>
      <c r="F352" s="482"/>
      <c r="G352" s="482"/>
      <c r="H352" s="482"/>
      <c r="I352" s="482"/>
      <c r="J352" s="482"/>
      <c r="K352" s="482"/>
      <c r="L352" s="482"/>
      <c r="M352" s="486"/>
      <c r="N352" s="486"/>
      <c r="O352" s="488"/>
      <c r="P352" s="445"/>
    </row>
    <row r="353" spans="1:16">
      <c r="A353" s="468"/>
      <c r="B353" s="81" t="s">
        <v>363</v>
      </c>
      <c r="C353" s="97">
        <v>45330</v>
      </c>
      <c r="D353" s="65">
        <v>45357</v>
      </c>
      <c r="E353" s="65">
        <v>45390</v>
      </c>
      <c r="F353" s="65">
        <v>45425</v>
      </c>
      <c r="G353" s="65">
        <v>45449</v>
      </c>
      <c r="H353" s="65">
        <v>45478</v>
      </c>
      <c r="I353" s="65">
        <v>45513</v>
      </c>
      <c r="J353" s="65">
        <v>45558</v>
      </c>
      <c r="K353" s="65">
        <v>45631</v>
      </c>
      <c r="L353" s="65">
        <v>45972</v>
      </c>
      <c r="M353" s="65">
        <v>45628</v>
      </c>
      <c r="N353" s="65">
        <v>45993</v>
      </c>
      <c r="O353" s="64">
        <v>45660</v>
      </c>
      <c r="P353" s="101"/>
    </row>
    <row r="354" spans="1:16">
      <c r="A354" s="501"/>
      <c r="B354" s="76" t="s">
        <v>377</v>
      </c>
      <c r="C354" s="73" t="s">
        <v>384</v>
      </c>
      <c r="D354" s="54" t="s">
        <v>384</v>
      </c>
      <c r="E354" s="54" t="s">
        <v>371</v>
      </c>
      <c r="F354" s="54" t="s">
        <v>384</v>
      </c>
      <c r="G354" s="54" t="s">
        <v>384</v>
      </c>
      <c r="H354" s="54" t="s">
        <v>384</v>
      </c>
      <c r="I354" s="54" t="s">
        <v>371</v>
      </c>
      <c r="J354" s="54" t="s">
        <v>384</v>
      </c>
      <c r="K354" s="54" t="s">
        <v>384</v>
      </c>
      <c r="L354" s="54" t="s">
        <v>386</v>
      </c>
      <c r="M354" s="54" t="s">
        <v>384</v>
      </c>
      <c r="N354" s="54" t="s">
        <v>384</v>
      </c>
      <c r="O354" s="54" t="s">
        <v>386</v>
      </c>
      <c r="P354" s="101"/>
    </row>
    <row r="355" spans="1:16" ht="15" customHeight="1">
      <c r="A355" s="467">
        <v>158</v>
      </c>
      <c r="B355" s="489" t="s">
        <v>1212</v>
      </c>
      <c r="C355" s="479">
        <v>150</v>
      </c>
      <c r="D355" s="479">
        <v>150</v>
      </c>
      <c r="E355" s="479">
        <v>150</v>
      </c>
      <c r="F355" s="479">
        <v>150</v>
      </c>
      <c r="G355" s="479">
        <v>150</v>
      </c>
      <c r="H355" s="479">
        <v>150</v>
      </c>
      <c r="I355" s="479">
        <v>150</v>
      </c>
      <c r="J355" s="479">
        <v>150</v>
      </c>
      <c r="K355" s="481">
        <v>150</v>
      </c>
      <c r="L355" s="481">
        <v>150</v>
      </c>
      <c r="M355" s="486">
        <v>150</v>
      </c>
      <c r="N355" s="486"/>
      <c r="O355" s="487">
        <v>150</v>
      </c>
      <c r="P355" s="476">
        <f>SUM(C355:O356)</f>
        <v>1800</v>
      </c>
    </row>
    <row r="356" spans="1:16">
      <c r="A356" s="468"/>
      <c r="B356" s="490"/>
      <c r="C356" s="480"/>
      <c r="D356" s="480"/>
      <c r="E356" s="480"/>
      <c r="F356" s="480"/>
      <c r="G356" s="480"/>
      <c r="H356" s="480"/>
      <c r="I356" s="480"/>
      <c r="J356" s="480"/>
      <c r="K356" s="482"/>
      <c r="L356" s="482"/>
      <c r="M356" s="486"/>
      <c r="N356" s="486"/>
      <c r="O356" s="488"/>
      <c r="P356" s="445"/>
    </row>
    <row r="357" spans="1:16">
      <c r="A357" s="468"/>
      <c r="B357" s="81" t="s">
        <v>363</v>
      </c>
      <c r="C357" s="97">
        <v>45328</v>
      </c>
      <c r="D357" s="97">
        <v>45356</v>
      </c>
      <c r="E357" s="97">
        <v>45418</v>
      </c>
      <c r="F357" s="97">
        <v>45418</v>
      </c>
      <c r="G357" s="97">
        <v>45463</v>
      </c>
      <c r="H357" s="97">
        <v>45509</v>
      </c>
      <c r="I357" s="97">
        <v>45509</v>
      </c>
      <c r="J357" s="97">
        <v>45574</v>
      </c>
      <c r="K357" s="65">
        <v>45573</v>
      </c>
      <c r="L357" s="65">
        <v>45601</v>
      </c>
      <c r="M357" s="65">
        <v>45629</v>
      </c>
      <c r="N357" s="65"/>
      <c r="O357" s="64">
        <v>45691</v>
      </c>
      <c r="P357" s="101"/>
    </row>
    <row r="358" spans="1:16">
      <c r="A358" s="501"/>
      <c r="B358" s="76" t="s">
        <v>377</v>
      </c>
      <c r="C358" s="73" t="s">
        <v>386</v>
      </c>
      <c r="D358" s="73" t="s">
        <v>386</v>
      </c>
      <c r="E358" s="73" t="s">
        <v>386</v>
      </c>
      <c r="F358" s="73" t="s">
        <v>386</v>
      </c>
      <c r="G358" s="73" t="s">
        <v>386</v>
      </c>
      <c r="H358" s="73" t="s">
        <v>386</v>
      </c>
      <c r="I358" s="73" t="s">
        <v>386</v>
      </c>
      <c r="J358" s="73" t="s">
        <v>386</v>
      </c>
      <c r="K358" s="54" t="s">
        <v>386</v>
      </c>
      <c r="L358" s="54" t="s">
        <v>386</v>
      </c>
      <c r="M358" s="54" t="s">
        <v>386</v>
      </c>
      <c r="N358" s="54"/>
      <c r="O358" s="54" t="s">
        <v>386</v>
      </c>
      <c r="P358" s="101"/>
    </row>
    <row r="359" spans="1:16" ht="15" customHeight="1">
      <c r="A359" s="467">
        <v>165</v>
      </c>
      <c r="B359" s="489" t="s">
        <v>1800</v>
      </c>
      <c r="C359" s="479" t="s">
        <v>998</v>
      </c>
      <c r="D359" s="481" t="s">
        <v>998</v>
      </c>
      <c r="E359" s="481" t="s">
        <v>998</v>
      </c>
      <c r="F359" s="481">
        <v>150</v>
      </c>
      <c r="G359" s="481">
        <v>150</v>
      </c>
      <c r="H359" s="482"/>
      <c r="I359" s="482"/>
      <c r="J359" s="482"/>
      <c r="K359" s="482"/>
      <c r="L359" s="482"/>
      <c r="M359" s="482"/>
      <c r="N359" s="482"/>
      <c r="O359" s="491"/>
      <c r="P359" s="476">
        <f>SUM(C359:O360)</f>
        <v>300</v>
      </c>
    </row>
    <row r="360" spans="1:16">
      <c r="A360" s="468"/>
      <c r="B360" s="490"/>
      <c r="C360" s="480"/>
      <c r="D360" s="482"/>
      <c r="E360" s="482"/>
      <c r="F360" s="482"/>
      <c r="G360" s="482"/>
      <c r="H360" s="482"/>
      <c r="I360" s="482"/>
      <c r="J360" s="482"/>
      <c r="K360" s="482"/>
      <c r="L360" s="482"/>
      <c r="M360" s="482"/>
      <c r="N360" s="482"/>
      <c r="O360" s="492"/>
      <c r="P360" s="445"/>
    </row>
    <row r="361" spans="1:16">
      <c r="A361" s="468"/>
      <c r="B361" s="76" t="s">
        <v>363</v>
      </c>
      <c r="C361" s="97" t="s">
        <v>998</v>
      </c>
      <c r="D361" s="65" t="s">
        <v>998</v>
      </c>
      <c r="E361" s="65" t="s">
        <v>998</v>
      </c>
      <c r="F361" s="65">
        <v>45407</v>
      </c>
      <c r="G361" s="65">
        <v>45460</v>
      </c>
      <c r="H361" s="54"/>
      <c r="I361" s="54"/>
      <c r="J361" s="54"/>
      <c r="K361" s="54"/>
      <c r="L361" s="54"/>
      <c r="M361" s="54"/>
      <c r="N361" s="54"/>
      <c r="O361" s="54"/>
      <c r="P361" s="101"/>
    </row>
    <row r="362" spans="1:16">
      <c r="A362" s="478"/>
      <c r="B362" s="79" t="s">
        <v>377</v>
      </c>
      <c r="C362" s="73" t="s">
        <v>998</v>
      </c>
      <c r="D362" s="54" t="s">
        <v>998</v>
      </c>
      <c r="E362" s="54" t="s">
        <v>998</v>
      </c>
      <c r="F362" s="54" t="s">
        <v>386</v>
      </c>
      <c r="G362" s="54" t="s">
        <v>386</v>
      </c>
      <c r="H362" s="54"/>
      <c r="I362" s="54"/>
      <c r="J362" s="54"/>
      <c r="K362" s="54"/>
      <c r="L362" s="54"/>
      <c r="M362" s="54"/>
      <c r="N362" s="54"/>
      <c r="O362" s="54"/>
      <c r="P362" s="101"/>
    </row>
    <row r="363" spans="1:16">
      <c r="A363" s="92"/>
      <c r="B363" s="80"/>
      <c r="C363" s="73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118"/>
      <c r="P363" s="101"/>
    </row>
    <row r="364" spans="1:16">
      <c r="A364" s="92">
        <v>166</v>
      </c>
      <c r="B364" s="80"/>
      <c r="C364" s="73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118"/>
      <c r="P364" s="101"/>
    </row>
    <row r="365" spans="1:16">
      <c r="A365" s="92"/>
      <c r="B365" s="80"/>
      <c r="C365" s="73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118"/>
      <c r="P365" s="101"/>
    </row>
    <row r="366" spans="1:16">
      <c r="A366" s="92"/>
      <c r="B366" s="80"/>
      <c r="C366" s="73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118"/>
      <c r="P366" s="101"/>
    </row>
    <row r="367" spans="1:16" ht="15" customHeight="1">
      <c r="A367" s="467">
        <v>171</v>
      </c>
      <c r="B367" s="489" t="s">
        <v>338</v>
      </c>
      <c r="C367" s="480"/>
      <c r="D367" s="482"/>
      <c r="E367" s="482"/>
      <c r="F367" s="482"/>
      <c r="G367" s="482"/>
      <c r="H367" s="482"/>
      <c r="I367" s="482"/>
      <c r="J367" s="482"/>
      <c r="K367" s="482"/>
      <c r="L367" s="482"/>
      <c r="M367" s="482"/>
      <c r="N367" s="482"/>
      <c r="O367" s="491"/>
      <c r="P367" s="476">
        <f>SUM(C367:O368)</f>
        <v>0</v>
      </c>
    </row>
    <row r="368" spans="1:16">
      <c r="A368" s="468"/>
      <c r="B368" s="490"/>
      <c r="C368" s="480"/>
      <c r="D368" s="482"/>
      <c r="E368" s="482"/>
      <c r="F368" s="482"/>
      <c r="G368" s="482"/>
      <c r="H368" s="482"/>
      <c r="I368" s="482"/>
      <c r="J368" s="482"/>
      <c r="K368" s="482"/>
      <c r="L368" s="482"/>
      <c r="M368" s="482"/>
      <c r="N368" s="482"/>
      <c r="O368" s="492"/>
      <c r="P368" s="445"/>
    </row>
    <row r="369" spans="1:16">
      <c r="A369" s="468"/>
      <c r="B369" s="76" t="s">
        <v>363</v>
      </c>
      <c r="C369" s="73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101"/>
    </row>
    <row r="370" spans="1:16">
      <c r="A370" s="478"/>
      <c r="B370" s="79" t="s">
        <v>377</v>
      </c>
      <c r="C370" s="73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101"/>
    </row>
    <row r="371" spans="1:16" ht="15" customHeight="1">
      <c r="A371" s="485">
        <v>172</v>
      </c>
      <c r="B371" s="489" t="s">
        <v>339</v>
      </c>
      <c r="C371" s="495">
        <v>700</v>
      </c>
      <c r="D371" s="481">
        <v>700</v>
      </c>
      <c r="E371" s="481"/>
      <c r="F371" s="486">
        <v>700</v>
      </c>
      <c r="G371" s="486">
        <v>700</v>
      </c>
      <c r="H371" s="486">
        <v>700</v>
      </c>
      <c r="I371" s="486">
        <v>700</v>
      </c>
      <c r="J371" s="486">
        <v>700</v>
      </c>
      <c r="K371" s="486">
        <v>700</v>
      </c>
      <c r="L371" s="486">
        <v>700</v>
      </c>
      <c r="M371" s="486">
        <v>700</v>
      </c>
      <c r="N371" s="486"/>
      <c r="O371" s="487">
        <v>700</v>
      </c>
      <c r="P371" s="476">
        <f>SUM(C371:O372)</f>
        <v>7700</v>
      </c>
    </row>
    <row r="372" spans="1:16">
      <c r="A372" s="468"/>
      <c r="B372" s="490"/>
      <c r="C372" s="480"/>
      <c r="D372" s="482"/>
      <c r="E372" s="482"/>
      <c r="F372" s="486"/>
      <c r="G372" s="486"/>
      <c r="H372" s="486"/>
      <c r="I372" s="486"/>
      <c r="J372" s="486"/>
      <c r="K372" s="486"/>
      <c r="L372" s="486"/>
      <c r="M372" s="486"/>
      <c r="N372" s="486"/>
      <c r="O372" s="488"/>
      <c r="P372" s="445"/>
    </row>
    <row r="373" spans="1:16">
      <c r="A373" s="468"/>
      <c r="B373" s="81" t="s">
        <v>363</v>
      </c>
      <c r="C373" s="97">
        <v>45324</v>
      </c>
      <c r="D373" s="65">
        <v>45369</v>
      </c>
      <c r="E373" s="65"/>
      <c r="F373" s="65">
        <v>45425</v>
      </c>
      <c r="G373" s="65">
        <v>45455</v>
      </c>
      <c r="H373" s="65">
        <v>45485</v>
      </c>
      <c r="I373" s="65">
        <v>45518</v>
      </c>
      <c r="J373" s="65">
        <v>45551</v>
      </c>
      <c r="K373" s="65">
        <v>45945</v>
      </c>
      <c r="L373" s="65">
        <v>45980</v>
      </c>
      <c r="M373" s="65">
        <v>46004</v>
      </c>
      <c r="N373" s="54"/>
      <c r="O373" s="64">
        <v>45672</v>
      </c>
      <c r="P373" s="101"/>
    </row>
    <row r="374" spans="1:16">
      <c r="A374" s="478"/>
      <c r="B374" s="76" t="s">
        <v>377</v>
      </c>
      <c r="C374" s="73" t="s">
        <v>386</v>
      </c>
      <c r="D374" s="54" t="s">
        <v>371</v>
      </c>
      <c r="E374" s="54"/>
      <c r="F374" s="54" t="s">
        <v>384</v>
      </c>
      <c r="G374" s="54" t="s">
        <v>371</v>
      </c>
      <c r="H374" s="54" t="s">
        <v>384</v>
      </c>
      <c r="I374" s="54" t="s">
        <v>384</v>
      </c>
      <c r="J374" s="54" t="s">
        <v>384</v>
      </c>
      <c r="K374" s="54" t="s">
        <v>384</v>
      </c>
      <c r="L374" s="54" t="s">
        <v>384</v>
      </c>
      <c r="M374" s="54" t="s">
        <v>384</v>
      </c>
      <c r="N374" s="54"/>
      <c r="O374" s="54" t="s">
        <v>384</v>
      </c>
      <c r="P374" s="101"/>
    </row>
    <row r="375" spans="1:16" ht="15" customHeight="1">
      <c r="A375" s="467">
        <v>174</v>
      </c>
      <c r="B375" s="489" t="s">
        <v>340</v>
      </c>
      <c r="C375" s="551">
        <v>260</v>
      </c>
      <c r="D375" s="551">
        <v>260</v>
      </c>
      <c r="E375" s="486">
        <v>260</v>
      </c>
      <c r="F375" s="551">
        <v>260</v>
      </c>
      <c r="G375" s="551">
        <v>260</v>
      </c>
      <c r="H375" s="486">
        <v>260</v>
      </c>
      <c r="I375" s="486">
        <v>260</v>
      </c>
      <c r="J375" s="486"/>
      <c r="K375" s="486">
        <v>260</v>
      </c>
      <c r="L375" s="486">
        <v>260</v>
      </c>
      <c r="M375" s="486">
        <v>260</v>
      </c>
      <c r="N375" s="486">
        <v>260</v>
      </c>
      <c r="O375" s="487"/>
      <c r="P375" s="476">
        <f>SUM(C375:O376)</f>
        <v>2860</v>
      </c>
    </row>
    <row r="376" spans="1:16">
      <c r="A376" s="468"/>
      <c r="B376" s="490"/>
      <c r="C376" s="551"/>
      <c r="D376" s="551"/>
      <c r="E376" s="486"/>
      <c r="F376" s="551"/>
      <c r="G376" s="551"/>
      <c r="H376" s="486"/>
      <c r="I376" s="486"/>
      <c r="J376" s="486"/>
      <c r="K376" s="486"/>
      <c r="L376" s="486"/>
      <c r="M376" s="486"/>
      <c r="N376" s="486"/>
      <c r="O376" s="488"/>
      <c r="P376" s="445"/>
    </row>
    <row r="377" spans="1:16">
      <c r="A377" s="468"/>
      <c r="B377" s="76" t="s">
        <v>363</v>
      </c>
      <c r="C377" s="97">
        <v>45356</v>
      </c>
      <c r="D377" s="65">
        <v>45377</v>
      </c>
      <c r="E377" s="65">
        <v>45378</v>
      </c>
      <c r="F377" s="65">
        <v>45421</v>
      </c>
      <c r="G377" s="65">
        <v>45446</v>
      </c>
      <c r="H377" s="65">
        <v>45503</v>
      </c>
      <c r="I377" s="65">
        <v>45534</v>
      </c>
      <c r="J377" s="65"/>
      <c r="K377" s="65">
        <v>45607</v>
      </c>
      <c r="L377" s="65">
        <v>45607</v>
      </c>
      <c r="M377" s="65">
        <v>45643</v>
      </c>
      <c r="N377" s="65">
        <v>45643</v>
      </c>
      <c r="O377" s="54"/>
      <c r="P377" s="101"/>
    </row>
    <row r="378" spans="1:16">
      <c r="A378" s="478"/>
      <c r="B378" s="79" t="s">
        <v>377</v>
      </c>
      <c r="C378" s="73" t="s">
        <v>386</v>
      </c>
      <c r="D378" s="54" t="s">
        <v>386</v>
      </c>
      <c r="E378" s="54" t="s">
        <v>386</v>
      </c>
      <c r="F378" s="54" t="s">
        <v>386</v>
      </c>
      <c r="G378" s="54" t="s">
        <v>386</v>
      </c>
      <c r="H378" s="54" t="s">
        <v>386</v>
      </c>
      <c r="I378" s="54" t="s">
        <v>386</v>
      </c>
      <c r="J378" s="54"/>
      <c r="K378" s="54" t="s">
        <v>385</v>
      </c>
      <c r="L378" s="54" t="s">
        <v>385</v>
      </c>
      <c r="M378" s="54" t="s">
        <v>385</v>
      </c>
      <c r="N378" s="54" t="s">
        <v>385</v>
      </c>
      <c r="O378" s="54"/>
      <c r="P378" s="101"/>
    </row>
    <row r="379" spans="1:16" ht="15" customHeight="1">
      <c r="A379" s="467">
        <v>175</v>
      </c>
      <c r="B379" s="489" t="s">
        <v>1173</v>
      </c>
      <c r="C379" s="528">
        <v>215</v>
      </c>
      <c r="D379" s="551">
        <v>215</v>
      </c>
      <c r="E379" s="486">
        <v>215</v>
      </c>
      <c r="F379" s="486"/>
      <c r="G379" s="486">
        <v>215</v>
      </c>
      <c r="H379" s="486">
        <v>215</v>
      </c>
      <c r="I379" s="486">
        <v>215</v>
      </c>
      <c r="J379" s="486">
        <v>215</v>
      </c>
      <c r="K379" s="486"/>
      <c r="L379" s="486"/>
      <c r="M379" s="486">
        <v>215</v>
      </c>
      <c r="N379" s="486">
        <v>215</v>
      </c>
      <c r="O379" s="487">
        <v>215</v>
      </c>
      <c r="P379" s="476">
        <f>SUM(C379:O380)</f>
        <v>2150</v>
      </c>
    </row>
    <row r="380" spans="1:16">
      <c r="A380" s="468"/>
      <c r="B380" s="490"/>
      <c r="C380" s="529"/>
      <c r="D380" s="551"/>
      <c r="E380" s="486"/>
      <c r="F380" s="486"/>
      <c r="G380" s="486"/>
      <c r="H380" s="486"/>
      <c r="I380" s="486"/>
      <c r="J380" s="486"/>
      <c r="K380" s="486"/>
      <c r="L380" s="486"/>
      <c r="M380" s="486"/>
      <c r="N380" s="486"/>
      <c r="O380" s="488"/>
      <c r="P380" s="445"/>
    </row>
    <row r="381" spans="1:16">
      <c r="A381" s="468"/>
      <c r="B381" s="76" t="s">
        <v>363</v>
      </c>
      <c r="C381" s="97">
        <v>45321</v>
      </c>
      <c r="D381" s="65">
        <v>45376</v>
      </c>
      <c r="E381" s="65">
        <v>45385</v>
      </c>
      <c r="F381" s="54"/>
      <c r="G381" s="65">
        <v>45446</v>
      </c>
      <c r="H381" s="65">
        <v>45478</v>
      </c>
      <c r="I381" s="65">
        <v>45544</v>
      </c>
      <c r="J381" s="65">
        <v>45561</v>
      </c>
      <c r="K381" s="65"/>
      <c r="L381" s="65"/>
      <c r="M381" s="65">
        <v>45996</v>
      </c>
      <c r="N381" s="65">
        <v>45996</v>
      </c>
      <c r="O381" s="64">
        <v>45659</v>
      </c>
      <c r="P381" s="101"/>
    </row>
    <row r="382" spans="1:16">
      <c r="A382" s="478"/>
      <c r="B382" s="79" t="s">
        <v>377</v>
      </c>
      <c r="C382" s="73" t="s">
        <v>384</v>
      </c>
      <c r="D382" s="54" t="s">
        <v>371</v>
      </c>
      <c r="E382" s="54" t="s">
        <v>371</v>
      </c>
      <c r="F382" s="54"/>
      <c r="G382" s="54" t="s">
        <v>371</v>
      </c>
      <c r="H382" s="54" t="s">
        <v>384</v>
      </c>
      <c r="I382" s="54" t="s">
        <v>384</v>
      </c>
      <c r="J382" s="54" t="s">
        <v>384</v>
      </c>
      <c r="K382" s="54"/>
      <c r="L382" s="54"/>
      <c r="M382" s="54" t="s">
        <v>384</v>
      </c>
      <c r="N382" s="54" t="s">
        <v>384</v>
      </c>
      <c r="O382" s="54" t="s">
        <v>384</v>
      </c>
      <c r="P382" s="101"/>
    </row>
    <row r="383" spans="1:16" ht="25.5" customHeight="1">
      <c r="A383" s="467">
        <v>176</v>
      </c>
      <c r="B383" s="470" t="s">
        <v>237</v>
      </c>
      <c r="C383" s="499">
        <v>250</v>
      </c>
      <c r="D383" s="487">
        <v>250</v>
      </c>
      <c r="E383" s="487">
        <v>250</v>
      </c>
      <c r="F383" s="487">
        <v>250</v>
      </c>
      <c r="G383" s="486">
        <v>250</v>
      </c>
      <c r="H383" s="486">
        <v>250</v>
      </c>
      <c r="I383" s="486">
        <v>250</v>
      </c>
      <c r="J383" s="486">
        <v>250</v>
      </c>
      <c r="K383" s="486">
        <v>250</v>
      </c>
      <c r="L383" s="486">
        <v>250</v>
      </c>
      <c r="M383" s="486">
        <v>250</v>
      </c>
      <c r="N383" s="486">
        <v>250</v>
      </c>
      <c r="O383" s="487">
        <v>250</v>
      </c>
      <c r="P383" s="476">
        <f>SUM(C383:O384)</f>
        <v>3250</v>
      </c>
    </row>
    <row r="384" spans="1:16">
      <c r="A384" s="468"/>
      <c r="B384" s="471"/>
      <c r="C384" s="499"/>
      <c r="D384" s="488"/>
      <c r="E384" s="488"/>
      <c r="F384" s="488"/>
      <c r="G384" s="486"/>
      <c r="H384" s="486"/>
      <c r="I384" s="486"/>
      <c r="J384" s="486"/>
      <c r="K384" s="486"/>
      <c r="L384" s="486"/>
      <c r="M384" s="486"/>
      <c r="N384" s="486"/>
      <c r="O384" s="488"/>
      <c r="P384" s="445"/>
    </row>
    <row r="385" spans="1:16">
      <c r="A385" s="468"/>
      <c r="B385" s="86" t="s">
        <v>363</v>
      </c>
      <c r="C385" s="97">
        <v>45327</v>
      </c>
      <c r="D385" s="65">
        <v>45355</v>
      </c>
      <c r="E385" s="65">
        <v>45383</v>
      </c>
      <c r="F385" s="65">
        <v>45422</v>
      </c>
      <c r="G385" s="65">
        <v>45448</v>
      </c>
      <c r="H385" s="65">
        <v>45476</v>
      </c>
      <c r="I385" s="65">
        <v>45506</v>
      </c>
      <c r="J385" s="65">
        <v>45540</v>
      </c>
      <c r="K385" s="65">
        <v>45931</v>
      </c>
      <c r="L385" s="65">
        <v>45966</v>
      </c>
      <c r="M385" s="65">
        <v>45993</v>
      </c>
      <c r="N385" s="65">
        <v>45993</v>
      </c>
      <c r="O385" s="65">
        <v>45664</v>
      </c>
      <c r="P385" s="101"/>
    </row>
    <row r="386" spans="1:16">
      <c r="A386" s="501"/>
      <c r="B386" s="76" t="s">
        <v>377</v>
      </c>
      <c r="C386" s="73" t="s">
        <v>384</v>
      </c>
      <c r="D386" s="54" t="s">
        <v>371</v>
      </c>
      <c r="E386" s="54" t="s">
        <v>371</v>
      </c>
      <c r="F386" s="54" t="s">
        <v>371</v>
      </c>
      <c r="G386" s="54" t="s">
        <v>384</v>
      </c>
      <c r="H386" s="54" t="s">
        <v>384</v>
      </c>
      <c r="I386" s="54" t="s">
        <v>384</v>
      </c>
      <c r="J386" s="54" t="s">
        <v>384</v>
      </c>
      <c r="K386" s="54" t="s">
        <v>384</v>
      </c>
      <c r="L386" s="54" t="s">
        <v>384</v>
      </c>
      <c r="M386" s="54" t="s">
        <v>384</v>
      </c>
      <c r="N386" s="54" t="s">
        <v>384</v>
      </c>
      <c r="O386" s="54" t="s">
        <v>384</v>
      </c>
      <c r="P386" s="101"/>
    </row>
    <row r="387" spans="1:16" ht="15" customHeight="1">
      <c r="A387" s="467">
        <v>202</v>
      </c>
      <c r="B387" s="489" t="s">
        <v>341</v>
      </c>
      <c r="C387" s="479"/>
      <c r="D387" s="481"/>
      <c r="E387" s="481"/>
      <c r="F387" s="482"/>
      <c r="G387" s="482"/>
      <c r="H387" s="482"/>
      <c r="I387" s="482"/>
      <c r="J387" s="482"/>
      <c r="K387" s="482"/>
      <c r="L387" s="482"/>
      <c r="M387" s="482"/>
      <c r="N387" s="482"/>
      <c r="O387" s="491"/>
      <c r="P387" s="476">
        <f>SUM(C387:O388)</f>
        <v>0</v>
      </c>
    </row>
    <row r="388" spans="1:16">
      <c r="A388" s="468"/>
      <c r="B388" s="490"/>
      <c r="C388" s="480"/>
      <c r="D388" s="482"/>
      <c r="E388" s="482"/>
      <c r="F388" s="482"/>
      <c r="G388" s="482"/>
      <c r="H388" s="482"/>
      <c r="I388" s="482"/>
      <c r="J388" s="482"/>
      <c r="K388" s="482"/>
      <c r="L388" s="482"/>
      <c r="M388" s="482"/>
      <c r="N388" s="482"/>
      <c r="O388" s="492"/>
      <c r="P388" s="445"/>
    </row>
    <row r="389" spans="1:16">
      <c r="A389" s="468"/>
      <c r="B389" s="76" t="s">
        <v>363</v>
      </c>
      <c r="C389" s="97"/>
      <c r="D389" s="65"/>
      <c r="E389" s="65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101"/>
    </row>
    <row r="390" spans="1:16">
      <c r="A390" s="478"/>
      <c r="B390" s="79" t="s">
        <v>377</v>
      </c>
      <c r="C390" s="73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101"/>
    </row>
    <row r="391" spans="1:16" ht="15" customHeight="1">
      <c r="A391" s="485">
        <v>206</v>
      </c>
      <c r="B391" s="470" t="s">
        <v>238</v>
      </c>
      <c r="C391" s="528"/>
      <c r="D391" s="486">
        <v>150</v>
      </c>
      <c r="E391" s="486">
        <v>150</v>
      </c>
      <c r="F391" s="486">
        <v>150</v>
      </c>
      <c r="G391" s="486">
        <v>150</v>
      </c>
      <c r="H391" s="486">
        <v>150</v>
      </c>
      <c r="I391" s="486">
        <v>150</v>
      </c>
      <c r="J391" s="486">
        <v>150</v>
      </c>
      <c r="K391" s="486">
        <v>150</v>
      </c>
      <c r="L391" s="486">
        <v>150</v>
      </c>
      <c r="M391" s="486">
        <v>150</v>
      </c>
      <c r="N391" s="486"/>
      <c r="O391" s="487">
        <v>150</v>
      </c>
      <c r="P391" s="476">
        <f>SUM(C391:O392)</f>
        <v>1650</v>
      </c>
    </row>
    <row r="392" spans="1:16">
      <c r="A392" s="468"/>
      <c r="B392" s="471"/>
      <c r="C392" s="529"/>
      <c r="D392" s="486"/>
      <c r="E392" s="486"/>
      <c r="F392" s="486"/>
      <c r="G392" s="486"/>
      <c r="H392" s="486"/>
      <c r="I392" s="486"/>
      <c r="J392" s="486"/>
      <c r="K392" s="486"/>
      <c r="L392" s="486"/>
      <c r="M392" s="486"/>
      <c r="N392" s="486"/>
      <c r="O392" s="488"/>
      <c r="P392" s="445"/>
    </row>
    <row r="393" spans="1:16">
      <c r="A393" s="468"/>
      <c r="B393" s="86" t="s">
        <v>363</v>
      </c>
      <c r="C393" s="97"/>
      <c r="D393" s="65">
        <v>45350</v>
      </c>
      <c r="E393" s="65">
        <v>45383</v>
      </c>
      <c r="F393" s="65">
        <v>45416</v>
      </c>
      <c r="G393" s="65">
        <v>45456</v>
      </c>
      <c r="H393" s="65">
        <v>45471</v>
      </c>
      <c r="I393" s="65">
        <v>45519</v>
      </c>
      <c r="J393" s="65">
        <v>45551</v>
      </c>
      <c r="K393" s="65">
        <v>45581</v>
      </c>
      <c r="L393" s="65">
        <v>45618</v>
      </c>
      <c r="M393" s="65">
        <v>45652</v>
      </c>
      <c r="N393" s="54"/>
      <c r="O393" s="64">
        <v>45677</v>
      </c>
      <c r="P393" s="101"/>
    </row>
    <row r="394" spans="1:16">
      <c r="A394" s="501"/>
      <c r="B394" s="76" t="s">
        <v>377</v>
      </c>
      <c r="C394" s="73"/>
      <c r="D394" s="54" t="s">
        <v>386</v>
      </c>
      <c r="E394" s="54" t="s">
        <v>386</v>
      </c>
      <c r="F394" s="54" t="s">
        <v>386</v>
      </c>
      <c r="G394" s="54" t="s">
        <v>368</v>
      </c>
      <c r="H394" s="54" t="s">
        <v>386</v>
      </c>
      <c r="I394" s="54" t="s">
        <v>386</v>
      </c>
      <c r="J394" s="54" t="s">
        <v>386</v>
      </c>
      <c r="K394" s="54" t="s">
        <v>386</v>
      </c>
      <c r="L394" s="54" t="s">
        <v>386</v>
      </c>
      <c r="M394" s="54" t="s">
        <v>386</v>
      </c>
      <c r="N394" s="54"/>
      <c r="O394" s="54" t="s">
        <v>386</v>
      </c>
      <c r="P394" s="101"/>
    </row>
    <row r="395" spans="1:16" ht="15" customHeight="1">
      <c r="A395" s="467">
        <v>207</v>
      </c>
      <c r="B395" s="470" t="s">
        <v>239</v>
      </c>
      <c r="C395" s="499"/>
      <c r="D395" s="486">
        <v>525</v>
      </c>
      <c r="E395" s="486">
        <v>525</v>
      </c>
      <c r="F395" s="486">
        <v>525</v>
      </c>
      <c r="G395" s="486">
        <v>525</v>
      </c>
      <c r="H395" s="486">
        <v>525</v>
      </c>
      <c r="I395" s="486">
        <v>525</v>
      </c>
      <c r="J395" s="486">
        <v>525</v>
      </c>
      <c r="K395" s="486">
        <v>525</v>
      </c>
      <c r="L395" s="486">
        <v>525</v>
      </c>
      <c r="M395" s="486">
        <v>525</v>
      </c>
      <c r="N395" s="486">
        <v>525</v>
      </c>
      <c r="O395" s="487">
        <v>525</v>
      </c>
      <c r="P395" s="476">
        <f>SUM(C395:O396)</f>
        <v>6300</v>
      </c>
    </row>
    <row r="396" spans="1:16">
      <c r="A396" s="468"/>
      <c r="B396" s="471"/>
      <c r="C396" s="499"/>
      <c r="D396" s="486"/>
      <c r="E396" s="486"/>
      <c r="F396" s="486"/>
      <c r="G396" s="486"/>
      <c r="H396" s="486"/>
      <c r="I396" s="486"/>
      <c r="J396" s="486"/>
      <c r="K396" s="486"/>
      <c r="L396" s="486"/>
      <c r="M396" s="486"/>
      <c r="N396" s="486"/>
      <c r="O396" s="488"/>
      <c r="P396" s="445"/>
    </row>
    <row r="397" spans="1:16">
      <c r="A397" s="468"/>
      <c r="B397" s="81" t="s">
        <v>363</v>
      </c>
      <c r="C397" s="73"/>
      <c r="D397" s="65">
        <v>45726</v>
      </c>
      <c r="E397" s="65">
        <v>45392</v>
      </c>
      <c r="F397" s="65">
        <v>45422</v>
      </c>
      <c r="G397" s="65">
        <v>45453</v>
      </c>
      <c r="H397" s="65">
        <v>45453</v>
      </c>
      <c r="I397" s="65">
        <v>45890</v>
      </c>
      <c r="J397" s="65">
        <v>45923</v>
      </c>
      <c r="K397" s="65">
        <v>45941</v>
      </c>
      <c r="L397" s="65">
        <v>45980</v>
      </c>
      <c r="M397" s="65">
        <v>46002</v>
      </c>
      <c r="N397" s="65">
        <v>46002</v>
      </c>
      <c r="O397" s="65">
        <v>45670</v>
      </c>
      <c r="P397" s="101"/>
    </row>
    <row r="398" spans="1:16">
      <c r="A398" s="478"/>
      <c r="B398" s="76" t="s">
        <v>377</v>
      </c>
      <c r="C398" s="73"/>
      <c r="D398" s="54" t="s">
        <v>1486</v>
      </c>
      <c r="E398" s="54" t="s">
        <v>1486</v>
      </c>
      <c r="F398" s="54" t="s">
        <v>1486</v>
      </c>
      <c r="G398" s="54" t="s">
        <v>1486</v>
      </c>
      <c r="H398" s="54" t="s">
        <v>1486</v>
      </c>
      <c r="I398" s="54" t="s">
        <v>1486</v>
      </c>
      <c r="J398" s="54" t="s">
        <v>1486</v>
      </c>
      <c r="K398" s="54" t="s">
        <v>1486</v>
      </c>
      <c r="L398" s="54" t="s">
        <v>1486</v>
      </c>
      <c r="M398" s="54" t="s">
        <v>1486</v>
      </c>
      <c r="N398" s="54" t="s">
        <v>1486</v>
      </c>
      <c r="O398" s="54" t="s">
        <v>1486</v>
      </c>
      <c r="P398" s="101"/>
    </row>
    <row r="399" spans="1:16" ht="15" customHeight="1">
      <c r="A399" s="467">
        <v>208</v>
      </c>
      <c r="B399" s="489" t="s">
        <v>342</v>
      </c>
      <c r="C399" s="479">
        <v>430</v>
      </c>
      <c r="D399" s="479">
        <v>430</v>
      </c>
      <c r="E399" s="479">
        <v>430</v>
      </c>
      <c r="F399" s="481">
        <v>390</v>
      </c>
      <c r="G399" s="481">
        <v>390</v>
      </c>
      <c r="H399" s="481">
        <v>390</v>
      </c>
      <c r="I399" s="481">
        <v>390</v>
      </c>
      <c r="J399" s="486">
        <v>390</v>
      </c>
      <c r="K399" s="486">
        <v>390</v>
      </c>
      <c r="L399" s="486">
        <v>390</v>
      </c>
      <c r="M399" s="486">
        <v>390</v>
      </c>
      <c r="N399" s="486">
        <v>390</v>
      </c>
      <c r="O399" s="487">
        <v>390</v>
      </c>
      <c r="P399" s="476">
        <f>SUM(C399:O400)</f>
        <v>5190</v>
      </c>
    </row>
    <row r="400" spans="1:16">
      <c r="A400" s="468"/>
      <c r="B400" s="490"/>
      <c r="C400" s="480"/>
      <c r="D400" s="480"/>
      <c r="E400" s="480"/>
      <c r="F400" s="482"/>
      <c r="G400" s="482"/>
      <c r="H400" s="482"/>
      <c r="I400" s="482"/>
      <c r="J400" s="486"/>
      <c r="K400" s="486"/>
      <c r="L400" s="486"/>
      <c r="M400" s="486"/>
      <c r="N400" s="486"/>
      <c r="O400" s="488"/>
      <c r="P400" s="445"/>
    </row>
    <row r="401" spans="1:16">
      <c r="A401" s="468"/>
      <c r="B401" s="81" t="s">
        <v>363</v>
      </c>
      <c r="C401" s="97">
        <v>45370</v>
      </c>
      <c r="D401" s="65">
        <v>45401</v>
      </c>
      <c r="E401" s="65">
        <v>45429</v>
      </c>
      <c r="F401" s="65">
        <v>45461</v>
      </c>
      <c r="G401" s="65">
        <v>45491</v>
      </c>
      <c r="H401" s="65">
        <v>45523</v>
      </c>
      <c r="I401" s="65">
        <v>45517</v>
      </c>
      <c r="J401" s="65">
        <v>45579</v>
      </c>
      <c r="K401" s="65">
        <v>45609</v>
      </c>
      <c r="L401" s="65">
        <v>45635</v>
      </c>
      <c r="M401" s="64">
        <v>45670</v>
      </c>
      <c r="N401" s="64">
        <v>45670</v>
      </c>
      <c r="O401" s="64">
        <v>45699</v>
      </c>
      <c r="P401" s="101"/>
    </row>
    <row r="402" spans="1:16">
      <c r="A402" s="478"/>
      <c r="B402" s="76" t="s">
        <v>377</v>
      </c>
      <c r="C402" s="73" t="s">
        <v>386</v>
      </c>
      <c r="D402" s="54" t="s">
        <v>385</v>
      </c>
      <c r="E402" s="54" t="s">
        <v>386</v>
      </c>
      <c r="F402" s="54" t="s">
        <v>386</v>
      </c>
      <c r="G402" s="54" t="s">
        <v>386</v>
      </c>
      <c r="H402" s="54" t="s">
        <v>386</v>
      </c>
      <c r="I402" s="54" t="s">
        <v>386</v>
      </c>
      <c r="J402" s="54" t="s">
        <v>386</v>
      </c>
      <c r="K402" s="54" t="s">
        <v>386</v>
      </c>
      <c r="L402" s="54" t="s">
        <v>386</v>
      </c>
      <c r="M402" s="54" t="s">
        <v>386</v>
      </c>
      <c r="N402" s="54" t="s">
        <v>386</v>
      </c>
      <c r="O402" s="54" t="s">
        <v>386</v>
      </c>
      <c r="P402" s="101"/>
    </row>
    <row r="403" spans="1:16" ht="15" customHeight="1">
      <c r="A403" s="467">
        <v>212</v>
      </c>
      <c r="B403" s="489" t="s">
        <v>343</v>
      </c>
      <c r="C403" s="479">
        <v>695</v>
      </c>
      <c r="D403" s="481"/>
      <c r="E403" s="499">
        <v>695</v>
      </c>
      <c r="F403" s="499">
        <v>695</v>
      </c>
      <c r="G403" s="486">
        <v>695</v>
      </c>
      <c r="H403" s="486">
        <v>695</v>
      </c>
      <c r="I403" s="486">
        <v>695</v>
      </c>
      <c r="J403" s="486">
        <v>695</v>
      </c>
      <c r="K403" s="486">
        <v>695</v>
      </c>
      <c r="L403" s="486">
        <v>695</v>
      </c>
      <c r="M403" s="486">
        <v>695</v>
      </c>
      <c r="N403" s="486">
        <v>695</v>
      </c>
      <c r="O403" s="487">
        <v>695</v>
      </c>
      <c r="P403" s="476">
        <f>SUM(C403:O405)</f>
        <v>8340</v>
      </c>
    </row>
    <row r="404" spans="1:16" ht="15" customHeight="1">
      <c r="A404" s="485"/>
      <c r="B404" s="545"/>
      <c r="C404" s="479"/>
      <c r="D404" s="481"/>
      <c r="E404" s="499"/>
      <c r="F404" s="499"/>
      <c r="G404" s="486"/>
      <c r="H404" s="486"/>
      <c r="I404" s="486"/>
      <c r="J404" s="486"/>
      <c r="K404" s="486"/>
      <c r="L404" s="486"/>
      <c r="M404" s="486"/>
      <c r="N404" s="486"/>
      <c r="O404" s="595"/>
      <c r="P404" s="476"/>
    </row>
    <row r="405" spans="1:16">
      <c r="A405" s="468"/>
      <c r="B405" s="490"/>
      <c r="C405" s="480"/>
      <c r="D405" s="482"/>
      <c r="E405" s="499"/>
      <c r="F405" s="499"/>
      <c r="G405" s="486"/>
      <c r="H405" s="486"/>
      <c r="I405" s="486"/>
      <c r="J405" s="486"/>
      <c r="K405" s="486"/>
      <c r="L405" s="486"/>
      <c r="M405" s="486"/>
      <c r="N405" s="486"/>
      <c r="O405" s="488"/>
      <c r="P405" s="445"/>
    </row>
    <row r="406" spans="1:16">
      <c r="A406" s="468"/>
      <c r="B406" s="86" t="s">
        <v>363</v>
      </c>
      <c r="C406" s="97">
        <v>45350</v>
      </c>
      <c r="D406" s="65"/>
      <c r="E406" s="65">
        <v>45387</v>
      </c>
      <c r="F406" s="65">
        <v>45433</v>
      </c>
      <c r="G406" s="65">
        <v>45471</v>
      </c>
      <c r="H406" s="65">
        <v>45505</v>
      </c>
      <c r="I406" s="65">
        <v>45538</v>
      </c>
      <c r="J406" s="65">
        <v>45568</v>
      </c>
      <c r="K406" s="65">
        <v>45597</v>
      </c>
      <c r="L406" s="65">
        <v>45632</v>
      </c>
      <c r="M406" s="64">
        <v>45660</v>
      </c>
      <c r="N406" s="64">
        <v>45660</v>
      </c>
      <c r="O406" s="64">
        <v>45691</v>
      </c>
      <c r="P406" s="101"/>
    </row>
    <row r="407" spans="1:16">
      <c r="A407" s="478"/>
      <c r="B407" s="76" t="s">
        <v>377</v>
      </c>
      <c r="C407" s="73" t="s">
        <v>386</v>
      </c>
      <c r="D407" s="54"/>
      <c r="E407" s="54" t="s">
        <v>374</v>
      </c>
      <c r="F407" s="54" t="s">
        <v>386</v>
      </c>
      <c r="G407" s="54" t="s">
        <v>374</v>
      </c>
      <c r="H407" s="54" t="s">
        <v>386</v>
      </c>
      <c r="I407" s="54" t="s">
        <v>386</v>
      </c>
      <c r="J407" s="54" t="s">
        <v>386</v>
      </c>
      <c r="K407" s="54" t="s">
        <v>386</v>
      </c>
      <c r="L407" s="54" t="s">
        <v>386</v>
      </c>
      <c r="M407" s="54" t="s">
        <v>386</v>
      </c>
      <c r="N407" s="54" t="s">
        <v>386</v>
      </c>
      <c r="O407" s="54" t="s">
        <v>386</v>
      </c>
      <c r="P407" s="101"/>
    </row>
    <row r="408" spans="1:16" ht="15" customHeight="1">
      <c r="A408" s="467">
        <v>213</v>
      </c>
      <c r="B408" s="489" t="s">
        <v>1182</v>
      </c>
      <c r="C408" s="487">
        <v>320</v>
      </c>
      <c r="D408" s="487">
        <v>320</v>
      </c>
      <c r="E408" s="487">
        <v>320</v>
      </c>
      <c r="F408" s="487">
        <v>320</v>
      </c>
      <c r="G408" s="487">
        <v>320</v>
      </c>
      <c r="H408" s="487">
        <v>320</v>
      </c>
      <c r="I408" s="487">
        <v>320</v>
      </c>
      <c r="J408" s="487">
        <v>320</v>
      </c>
      <c r="K408" s="487">
        <v>320</v>
      </c>
      <c r="L408" s="487">
        <v>320</v>
      </c>
      <c r="M408" s="487">
        <v>320</v>
      </c>
      <c r="N408" s="487">
        <v>320</v>
      </c>
      <c r="O408" s="487">
        <v>320</v>
      </c>
      <c r="P408" s="476">
        <f>SUM(C408:O409)</f>
        <v>4160</v>
      </c>
    </row>
    <row r="409" spans="1:16">
      <c r="A409" s="468"/>
      <c r="B409" s="490"/>
      <c r="C409" s="488"/>
      <c r="D409" s="488"/>
      <c r="E409" s="488"/>
      <c r="F409" s="488"/>
      <c r="G409" s="488"/>
      <c r="H409" s="488"/>
      <c r="I409" s="488"/>
      <c r="J409" s="488"/>
      <c r="K409" s="488"/>
      <c r="L409" s="488"/>
      <c r="M409" s="488"/>
      <c r="N409" s="488"/>
      <c r="O409" s="488"/>
      <c r="P409" s="445"/>
    </row>
    <row r="410" spans="1:16">
      <c r="A410" s="468"/>
      <c r="B410" s="81" t="s">
        <v>363</v>
      </c>
      <c r="C410" s="54" t="s">
        <v>384</v>
      </c>
      <c r="D410" s="54" t="s">
        <v>384</v>
      </c>
      <c r="E410" s="54" t="s">
        <v>384</v>
      </c>
      <c r="F410" s="54" t="s">
        <v>384</v>
      </c>
      <c r="G410" s="54" t="s">
        <v>384</v>
      </c>
      <c r="H410" s="54" t="s">
        <v>384</v>
      </c>
      <c r="I410" s="54" t="s">
        <v>384</v>
      </c>
      <c r="J410" s="54" t="s">
        <v>384</v>
      </c>
      <c r="K410" s="54" t="s">
        <v>384</v>
      </c>
      <c r="L410" s="54" t="s">
        <v>384</v>
      </c>
      <c r="M410" s="54" t="s">
        <v>384</v>
      </c>
      <c r="N410" s="54" t="s">
        <v>384</v>
      </c>
      <c r="O410" s="54" t="s">
        <v>384</v>
      </c>
      <c r="P410" s="101"/>
    </row>
    <row r="411" spans="1:16">
      <c r="A411" s="478"/>
      <c r="B411" s="76" t="s">
        <v>377</v>
      </c>
      <c r="C411" s="97">
        <v>45707</v>
      </c>
      <c r="D411" s="97">
        <v>45735</v>
      </c>
      <c r="E411" s="97">
        <v>45770</v>
      </c>
      <c r="F411" s="97">
        <v>45804</v>
      </c>
      <c r="G411" s="97">
        <v>45832</v>
      </c>
      <c r="H411" s="97">
        <v>45862</v>
      </c>
      <c r="I411" s="97">
        <v>45889</v>
      </c>
      <c r="J411" s="65">
        <v>45925</v>
      </c>
      <c r="K411" s="65">
        <v>45948</v>
      </c>
      <c r="L411" s="65">
        <v>45983</v>
      </c>
      <c r="M411" s="65">
        <v>46014</v>
      </c>
      <c r="N411" s="65">
        <v>46014</v>
      </c>
      <c r="O411" s="65">
        <v>45684</v>
      </c>
      <c r="P411" s="101"/>
    </row>
    <row r="412" spans="1:16">
      <c r="A412" s="470">
        <v>215</v>
      </c>
      <c r="B412" s="470" t="s">
        <v>344</v>
      </c>
      <c r="C412" s="547">
        <v>315</v>
      </c>
      <c r="D412" s="483">
        <v>315</v>
      </c>
      <c r="E412" s="483">
        <v>315</v>
      </c>
      <c r="F412" s="483">
        <v>315</v>
      </c>
      <c r="G412" s="483">
        <v>315</v>
      </c>
      <c r="H412" s="483">
        <v>315</v>
      </c>
      <c r="I412" s="483">
        <v>315</v>
      </c>
      <c r="J412" s="491"/>
      <c r="K412" s="491"/>
      <c r="L412" s="491"/>
      <c r="M412" s="491"/>
      <c r="N412" s="491"/>
      <c r="O412" s="491"/>
      <c r="P412" s="493">
        <f>SUM(C412:O413)</f>
        <v>2205</v>
      </c>
    </row>
    <row r="413" spans="1:16">
      <c r="A413" s="496"/>
      <c r="B413" s="471"/>
      <c r="C413" s="548"/>
      <c r="D413" s="484"/>
      <c r="E413" s="484"/>
      <c r="F413" s="484"/>
      <c r="G413" s="484"/>
      <c r="H413" s="484"/>
      <c r="I413" s="484"/>
      <c r="J413" s="492"/>
      <c r="K413" s="492"/>
      <c r="L413" s="492"/>
      <c r="M413" s="492"/>
      <c r="N413" s="492"/>
      <c r="O413" s="492"/>
      <c r="P413" s="494"/>
    </row>
    <row r="414" spans="1:16">
      <c r="A414" s="496"/>
      <c r="B414" s="76" t="s">
        <v>363</v>
      </c>
      <c r="C414" s="97">
        <v>45478</v>
      </c>
      <c r="D414" s="97">
        <v>45478</v>
      </c>
      <c r="E414" s="97">
        <v>45478</v>
      </c>
      <c r="F414" s="97">
        <v>45478</v>
      </c>
      <c r="G414" s="97">
        <v>45478</v>
      </c>
      <c r="H414" s="97">
        <v>45478</v>
      </c>
      <c r="I414" s="65">
        <v>45525</v>
      </c>
      <c r="J414" s="54"/>
      <c r="K414" s="54"/>
      <c r="L414" s="54"/>
      <c r="M414" s="54"/>
      <c r="N414" s="54"/>
      <c r="O414" s="54"/>
      <c r="P414" s="101"/>
    </row>
    <row r="415" spans="1:16">
      <c r="A415" s="471"/>
      <c r="B415" s="79" t="s">
        <v>377</v>
      </c>
      <c r="C415" s="73" t="s">
        <v>386</v>
      </c>
      <c r="D415" s="73" t="s">
        <v>386</v>
      </c>
      <c r="E415" s="73" t="s">
        <v>386</v>
      </c>
      <c r="F415" s="73" t="s">
        <v>386</v>
      </c>
      <c r="G415" s="73" t="s">
        <v>386</v>
      </c>
      <c r="H415" s="73" t="s">
        <v>386</v>
      </c>
      <c r="I415" s="54" t="s">
        <v>384</v>
      </c>
      <c r="J415" s="54"/>
      <c r="K415" s="54"/>
      <c r="L415" s="54"/>
      <c r="M415" s="54"/>
      <c r="N415" s="54"/>
      <c r="O415" s="54"/>
      <c r="P415" s="101"/>
    </row>
    <row r="416" spans="1:16" ht="15" customHeight="1">
      <c r="A416" s="467">
        <v>216</v>
      </c>
      <c r="B416" s="489" t="s">
        <v>345</v>
      </c>
      <c r="C416" s="480">
        <v>1500</v>
      </c>
      <c r="D416" s="482"/>
      <c r="E416" s="482"/>
      <c r="F416" s="482"/>
      <c r="G416" s="482"/>
      <c r="H416" s="482"/>
      <c r="I416" s="482"/>
      <c r="J416" s="482"/>
      <c r="K416" s="482"/>
      <c r="L416" s="482"/>
      <c r="M416" s="482"/>
      <c r="N416" s="482"/>
      <c r="O416" s="491"/>
      <c r="P416" s="476">
        <f>SUM(C416:O417)</f>
        <v>1500</v>
      </c>
    </row>
    <row r="417" spans="1:16">
      <c r="A417" s="468"/>
      <c r="B417" s="490"/>
      <c r="C417" s="480"/>
      <c r="D417" s="482"/>
      <c r="E417" s="482"/>
      <c r="F417" s="482"/>
      <c r="G417" s="482"/>
      <c r="H417" s="482"/>
      <c r="I417" s="482"/>
      <c r="J417" s="482"/>
      <c r="K417" s="482"/>
      <c r="L417" s="482"/>
      <c r="M417" s="482"/>
      <c r="N417" s="482"/>
      <c r="O417" s="492"/>
      <c r="P417" s="445"/>
    </row>
    <row r="418" spans="1:16">
      <c r="A418" s="468"/>
      <c r="B418" s="81" t="s">
        <v>363</v>
      </c>
      <c r="C418" s="97">
        <v>45343</v>
      </c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101"/>
    </row>
    <row r="419" spans="1:16">
      <c r="A419" s="501"/>
      <c r="B419" s="76" t="s">
        <v>377</v>
      </c>
      <c r="C419" s="73" t="s">
        <v>384</v>
      </c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101"/>
    </row>
    <row r="420" spans="1:16">
      <c r="A420" s="467">
        <v>218</v>
      </c>
      <c r="B420" s="489" t="s">
        <v>244</v>
      </c>
      <c r="C420" s="479"/>
      <c r="D420" s="479"/>
      <c r="E420" s="479"/>
      <c r="F420" s="481"/>
      <c r="G420" s="481"/>
      <c r="H420" s="481"/>
      <c r="I420" s="482"/>
      <c r="J420" s="482"/>
      <c r="K420" s="482"/>
      <c r="L420" s="482"/>
      <c r="M420" s="482"/>
      <c r="N420" s="482"/>
      <c r="O420" s="491"/>
      <c r="P420" s="476">
        <f>SUM(C420:O421)</f>
        <v>0</v>
      </c>
    </row>
    <row r="421" spans="1:16">
      <c r="A421" s="468"/>
      <c r="B421" s="545"/>
      <c r="C421" s="480"/>
      <c r="D421" s="480"/>
      <c r="E421" s="480"/>
      <c r="F421" s="482"/>
      <c r="G421" s="482"/>
      <c r="H421" s="482"/>
      <c r="I421" s="482"/>
      <c r="J421" s="482"/>
      <c r="K421" s="482"/>
      <c r="L421" s="482"/>
      <c r="M421" s="482"/>
      <c r="N421" s="482"/>
      <c r="O421" s="492"/>
      <c r="P421" s="445"/>
    </row>
    <row r="422" spans="1:16">
      <c r="A422" s="468"/>
      <c r="B422" s="76" t="s">
        <v>363</v>
      </c>
      <c r="C422" s="97"/>
      <c r="D422" s="54"/>
      <c r="E422" s="54"/>
      <c r="F422" s="65"/>
      <c r="G422" s="65"/>
      <c r="H422" s="65"/>
      <c r="I422" s="54"/>
      <c r="J422" s="54"/>
      <c r="K422" s="54"/>
      <c r="L422" s="54"/>
      <c r="M422" s="54"/>
      <c r="N422" s="54"/>
      <c r="O422" s="54"/>
      <c r="P422" s="101"/>
    </row>
    <row r="423" spans="1:16">
      <c r="A423" s="478"/>
      <c r="B423" s="77" t="s">
        <v>377</v>
      </c>
      <c r="C423" s="73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101"/>
    </row>
    <row r="424" spans="1:16">
      <c r="A424" s="485">
        <v>221</v>
      </c>
      <c r="B424" s="470" t="s">
        <v>390</v>
      </c>
      <c r="C424" s="479"/>
      <c r="D424" s="481"/>
      <c r="E424" s="481"/>
      <c r="F424" s="481"/>
      <c r="G424" s="481"/>
      <c r="H424" s="481"/>
      <c r="I424" s="482"/>
      <c r="J424" s="482"/>
      <c r="K424" s="482"/>
      <c r="L424" s="482"/>
      <c r="M424" s="482"/>
      <c r="N424" s="482"/>
      <c r="O424" s="491"/>
      <c r="P424" s="476">
        <f>SUM(C424:O425)</f>
        <v>0</v>
      </c>
    </row>
    <row r="425" spans="1:16">
      <c r="A425" s="468"/>
      <c r="B425" s="471"/>
      <c r="C425" s="480"/>
      <c r="D425" s="482"/>
      <c r="E425" s="482"/>
      <c r="F425" s="482"/>
      <c r="G425" s="482"/>
      <c r="H425" s="482"/>
      <c r="I425" s="482"/>
      <c r="J425" s="482"/>
      <c r="K425" s="482"/>
      <c r="L425" s="482"/>
      <c r="M425" s="482"/>
      <c r="N425" s="482"/>
      <c r="O425" s="492"/>
      <c r="P425" s="445"/>
    </row>
    <row r="426" spans="1:16">
      <c r="A426" s="468"/>
      <c r="B426" s="86" t="s">
        <v>363</v>
      </c>
      <c r="C426" s="97"/>
      <c r="D426" s="65"/>
      <c r="E426" s="65"/>
      <c r="F426" s="65"/>
      <c r="G426" s="65"/>
      <c r="H426" s="65"/>
      <c r="I426" s="54"/>
      <c r="J426" s="54"/>
      <c r="K426" s="54"/>
      <c r="L426" s="54"/>
      <c r="M426" s="54"/>
      <c r="N426" s="54"/>
      <c r="O426" s="54"/>
      <c r="P426" s="101"/>
    </row>
    <row r="427" spans="1:16">
      <c r="A427" s="501"/>
      <c r="B427" s="76" t="s">
        <v>377</v>
      </c>
      <c r="C427" s="73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101"/>
    </row>
    <row r="428" spans="1:16">
      <c r="A428" s="468">
        <v>223</v>
      </c>
      <c r="B428" s="470" t="s">
        <v>98</v>
      </c>
      <c r="C428" s="479">
        <v>320</v>
      </c>
      <c r="D428" s="479">
        <v>320</v>
      </c>
      <c r="E428" s="481"/>
      <c r="F428" s="479">
        <v>320</v>
      </c>
      <c r="G428" s="481">
        <v>320</v>
      </c>
      <c r="H428" s="481">
        <v>320</v>
      </c>
      <c r="I428" s="481">
        <v>320</v>
      </c>
      <c r="J428" s="486"/>
      <c r="K428" s="486">
        <v>320</v>
      </c>
      <c r="L428" s="486">
        <v>320</v>
      </c>
      <c r="M428" s="486">
        <v>320</v>
      </c>
      <c r="N428" s="486"/>
      <c r="O428" s="486" t="s">
        <v>1749</v>
      </c>
      <c r="P428" s="476">
        <f>SUM(C428:O429)</f>
        <v>2880</v>
      </c>
    </row>
    <row r="429" spans="1:16">
      <c r="A429" s="468"/>
      <c r="B429" s="471"/>
      <c r="C429" s="480"/>
      <c r="D429" s="480"/>
      <c r="E429" s="482"/>
      <c r="F429" s="480"/>
      <c r="G429" s="482"/>
      <c r="H429" s="482"/>
      <c r="I429" s="482"/>
      <c r="J429" s="486"/>
      <c r="K429" s="486"/>
      <c r="L429" s="486"/>
      <c r="M429" s="486"/>
      <c r="N429" s="486"/>
      <c r="O429" s="486"/>
      <c r="P429" s="445"/>
    </row>
    <row r="430" spans="1:16">
      <c r="A430" s="468"/>
      <c r="B430" s="86" t="s">
        <v>363</v>
      </c>
      <c r="C430" s="97">
        <v>45330</v>
      </c>
      <c r="D430" s="65">
        <v>45377</v>
      </c>
      <c r="E430" s="65"/>
      <c r="F430" s="65">
        <v>45441</v>
      </c>
      <c r="G430" s="65">
        <v>45490</v>
      </c>
      <c r="H430" s="65">
        <v>45513</v>
      </c>
      <c r="I430" s="65">
        <v>45551</v>
      </c>
      <c r="J430" s="65"/>
      <c r="K430" s="65">
        <v>45939</v>
      </c>
      <c r="L430" s="65">
        <v>45614</v>
      </c>
      <c r="M430" s="65">
        <v>46000</v>
      </c>
      <c r="N430" s="65"/>
      <c r="O430" s="65">
        <v>45714</v>
      </c>
      <c r="P430" s="101"/>
    </row>
    <row r="431" spans="1:16">
      <c r="A431" s="478"/>
      <c r="B431" s="76" t="s">
        <v>377</v>
      </c>
      <c r="C431" s="73" t="s">
        <v>384</v>
      </c>
      <c r="D431" s="54" t="s">
        <v>386</v>
      </c>
      <c r="E431" s="54"/>
      <c r="F431" s="54" t="s">
        <v>386</v>
      </c>
      <c r="G431" s="54" t="s">
        <v>384</v>
      </c>
      <c r="H431" s="54" t="s">
        <v>384</v>
      </c>
      <c r="I431" s="54" t="s">
        <v>384</v>
      </c>
      <c r="J431" s="54"/>
      <c r="K431" s="54" t="s">
        <v>384</v>
      </c>
      <c r="L431" s="54" t="s">
        <v>384</v>
      </c>
      <c r="M431" s="54" t="s">
        <v>384</v>
      </c>
      <c r="N431" s="54"/>
      <c r="O431" s="54" t="s">
        <v>384</v>
      </c>
      <c r="P431" s="101"/>
    </row>
    <row r="432" spans="1:16">
      <c r="A432" s="467">
        <v>232</v>
      </c>
      <c r="B432" s="470" t="s">
        <v>245</v>
      </c>
      <c r="C432" s="479">
        <v>1750</v>
      </c>
      <c r="D432" s="481">
        <v>1750</v>
      </c>
      <c r="E432" s="486">
        <v>1750</v>
      </c>
      <c r="F432" s="486">
        <v>1750</v>
      </c>
      <c r="G432" s="486">
        <v>1750</v>
      </c>
      <c r="H432" s="486">
        <v>1750</v>
      </c>
      <c r="I432" s="486">
        <v>1750</v>
      </c>
      <c r="J432" s="486">
        <v>1750</v>
      </c>
      <c r="K432" s="486">
        <v>1750</v>
      </c>
      <c r="L432" s="486">
        <v>1750</v>
      </c>
      <c r="M432" s="486">
        <v>1750</v>
      </c>
      <c r="N432" s="486"/>
      <c r="O432" s="486">
        <v>1750</v>
      </c>
      <c r="P432" s="476">
        <f>SUM(C432:O433)</f>
        <v>21000</v>
      </c>
    </row>
    <row r="433" spans="1:16">
      <c r="A433" s="468"/>
      <c r="B433" s="471"/>
      <c r="C433" s="480"/>
      <c r="D433" s="482"/>
      <c r="E433" s="486"/>
      <c r="F433" s="486"/>
      <c r="G433" s="486"/>
      <c r="H433" s="486"/>
      <c r="I433" s="486"/>
      <c r="J433" s="486"/>
      <c r="K433" s="486"/>
      <c r="L433" s="486"/>
      <c r="M433" s="486"/>
      <c r="N433" s="486"/>
      <c r="O433" s="486"/>
      <c r="P433" s="445"/>
    </row>
    <row r="434" spans="1:16">
      <c r="A434" s="468"/>
      <c r="B434" s="90" t="s">
        <v>363</v>
      </c>
      <c r="C434" s="65">
        <v>45341</v>
      </c>
      <c r="D434" s="65">
        <v>45371</v>
      </c>
      <c r="E434" s="65">
        <v>45402</v>
      </c>
      <c r="F434" s="65">
        <v>45432</v>
      </c>
      <c r="G434" s="65">
        <v>45664</v>
      </c>
      <c r="H434" s="65">
        <v>45733</v>
      </c>
      <c r="I434" s="65">
        <v>45769</v>
      </c>
      <c r="J434" s="65">
        <v>45831</v>
      </c>
      <c r="K434" s="65">
        <v>45867</v>
      </c>
      <c r="L434" s="65">
        <v>45960</v>
      </c>
      <c r="M434" s="65">
        <v>45986</v>
      </c>
      <c r="N434" s="54"/>
      <c r="O434" s="65">
        <v>45685</v>
      </c>
      <c r="P434" s="101"/>
    </row>
    <row r="435" spans="1:16">
      <c r="A435" s="478"/>
      <c r="B435" s="91" t="s">
        <v>377</v>
      </c>
      <c r="C435" s="54" t="s">
        <v>371</v>
      </c>
      <c r="D435" s="54" t="s">
        <v>384</v>
      </c>
      <c r="E435" s="54" t="s">
        <v>384</v>
      </c>
      <c r="F435" s="54" t="s">
        <v>384</v>
      </c>
      <c r="G435" s="54" t="s">
        <v>384</v>
      </c>
      <c r="H435" s="54" t="s">
        <v>384</v>
      </c>
      <c r="I435" s="54" t="s">
        <v>384</v>
      </c>
      <c r="J435" s="54" t="s">
        <v>384</v>
      </c>
      <c r="K435" s="54" t="s">
        <v>384</v>
      </c>
      <c r="L435" s="54" t="s">
        <v>384</v>
      </c>
      <c r="M435" s="54" t="s">
        <v>384</v>
      </c>
      <c r="N435" s="54"/>
      <c r="O435" s="54" t="s">
        <v>384</v>
      </c>
      <c r="P435" s="101"/>
    </row>
    <row r="436" spans="1:16" ht="15" customHeight="1">
      <c r="A436" s="485">
        <v>233</v>
      </c>
      <c r="B436" s="470" t="s">
        <v>346</v>
      </c>
      <c r="C436" s="547">
        <v>1000</v>
      </c>
      <c r="D436" s="547">
        <v>1000</v>
      </c>
      <c r="E436" s="481"/>
      <c r="F436" s="593">
        <v>1000</v>
      </c>
      <c r="G436" s="486">
        <v>1000</v>
      </c>
      <c r="H436" s="486">
        <v>1000</v>
      </c>
      <c r="I436" s="486">
        <v>1000</v>
      </c>
      <c r="J436" s="486">
        <v>1000</v>
      </c>
      <c r="K436" s="486">
        <v>1000</v>
      </c>
      <c r="L436" s="486">
        <v>1000</v>
      </c>
      <c r="M436" s="486">
        <v>1000</v>
      </c>
      <c r="N436" s="486">
        <v>1000</v>
      </c>
      <c r="O436" s="487">
        <v>1000</v>
      </c>
      <c r="P436" s="476">
        <f>SUM(C436:O437)</f>
        <v>12000</v>
      </c>
    </row>
    <row r="437" spans="1:16">
      <c r="A437" s="468"/>
      <c r="B437" s="471"/>
      <c r="C437" s="548"/>
      <c r="D437" s="548"/>
      <c r="E437" s="482"/>
      <c r="F437" s="594"/>
      <c r="G437" s="486"/>
      <c r="H437" s="486"/>
      <c r="I437" s="486"/>
      <c r="J437" s="486"/>
      <c r="K437" s="486"/>
      <c r="L437" s="486"/>
      <c r="M437" s="486"/>
      <c r="N437" s="486"/>
      <c r="O437" s="488"/>
      <c r="P437" s="445"/>
    </row>
    <row r="438" spans="1:16">
      <c r="A438" s="468"/>
      <c r="B438" s="86" t="s">
        <v>363</v>
      </c>
      <c r="C438" s="97">
        <v>45329</v>
      </c>
      <c r="D438" s="65">
        <v>45357</v>
      </c>
      <c r="E438" s="65"/>
      <c r="F438" s="65">
        <v>45421</v>
      </c>
      <c r="G438" s="65">
        <v>45453</v>
      </c>
      <c r="H438" s="65">
        <v>45483</v>
      </c>
      <c r="I438" s="65">
        <v>45513</v>
      </c>
      <c r="J438" s="65">
        <v>45544</v>
      </c>
      <c r="K438" s="65">
        <v>45574</v>
      </c>
      <c r="L438" s="65">
        <v>45604</v>
      </c>
      <c r="M438" s="65">
        <v>45635</v>
      </c>
      <c r="N438" s="65">
        <v>45635</v>
      </c>
      <c r="O438" s="64">
        <v>45666</v>
      </c>
      <c r="P438" s="101"/>
    </row>
    <row r="439" spans="1:16">
      <c r="A439" s="478"/>
      <c r="B439" s="86" t="s">
        <v>377</v>
      </c>
      <c r="C439" s="73" t="s">
        <v>386</v>
      </c>
      <c r="D439" s="54" t="s">
        <v>386</v>
      </c>
      <c r="E439" s="54"/>
      <c r="F439" s="54" t="s">
        <v>385</v>
      </c>
      <c r="G439" s="54" t="s">
        <v>374</v>
      </c>
      <c r="H439" s="54" t="s">
        <v>386</v>
      </c>
      <c r="I439" s="54" t="s">
        <v>386</v>
      </c>
      <c r="J439" s="54" t="s">
        <v>386</v>
      </c>
      <c r="K439" s="54" t="s">
        <v>386</v>
      </c>
      <c r="L439" s="54" t="s">
        <v>386</v>
      </c>
      <c r="M439" s="54" t="s">
        <v>386</v>
      </c>
      <c r="N439" s="54" t="s">
        <v>386</v>
      </c>
      <c r="O439" s="54" t="s">
        <v>386</v>
      </c>
      <c r="P439" s="101"/>
    </row>
    <row r="440" spans="1:16">
      <c r="A440" s="534">
        <v>240</v>
      </c>
      <c r="B440" s="470" t="s">
        <v>281</v>
      </c>
      <c r="C440" s="479"/>
      <c r="D440" s="481"/>
      <c r="E440" s="481"/>
      <c r="F440" s="486">
        <v>630</v>
      </c>
      <c r="G440" s="486">
        <v>630</v>
      </c>
      <c r="H440" s="486">
        <v>630</v>
      </c>
      <c r="I440" s="486">
        <v>630</v>
      </c>
      <c r="J440" s="486">
        <v>630</v>
      </c>
      <c r="K440" s="486"/>
      <c r="L440" s="486"/>
      <c r="M440" s="486">
        <v>630</v>
      </c>
      <c r="N440" s="486">
        <v>630</v>
      </c>
      <c r="O440" s="487">
        <v>630</v>
      </c>
      <c r="P440" s="476">
        <f>SUM(C440:O441)</f>
        <v>5040</v>
      </c>
    </row>
    <row r="441" spans="1:16">
      <c r="A441" s="535"/>
      <c r="B441" s="471"/>
      <c r="C441" s="480"/>
      <c r="D441" s="482"/>
      <c r="E441" s="482"/>
      <c r="F441" s="486"/>
      <c r="G441" s="486"/>
      <c r="H441" s="486"/>
      <c r="I441" s="486"/>
      <c r="J441" s="486"/>
      <c r="K441" s="486"/>
      <c r="L441" s="486"/>
      <c r="M441" s="486"/>
      <c r="N441" s="486"/>
      <c r="O441" s="488"/>
      <c r="P441" s="445"/>
    </row>
    <row r="442" spans="1:16">
      <c r="A442" s="535"/>
      <c r="B442" s="76" t="s">
        <v>363</v>
      </c>
      <c r="C442" s="97"/>
      <c r="D442" s="65"/>
      <c r="E442" s="65"/>
      <c r="F442" s="65">
        <v>45422</v>
      </c>
      <c r="G442" s="65">
        <v>45453</v>
      </c>
      <c r="H442" s="65">
        <v>45513</v>
      </c>
      <c r="I442" s="65">
        <v>45933</v>
      </c>
      <c r="J442" s="65">
        <v>45965</v>
      </c>
      <c r="K442" s="65"/>
      <c r="L442" s="65"/>
      <c r="M442" s="65">
        <v>45965</v>
      </c>
      <c r="N442" s="65">
        <v>45995</v>
      </c>
      <c r="O442" s="64">
        <v>45667</v>
      </c>
      <c r="P442" s="101"/>
    </row>
    <row r="443" spans="1:16">
      <c r="A443" s="546"/>
      <c r="B443" s="77" t="s">
        <v>377</v>
      </c>
      <c r="C443" s="73"/>
      <c r="D443" s="54"/>
      <c r="E443" s="54"/>
      <c r="F443" s="54" t="s">
        <v>371</v>
      </c>
      <c r="G443" s="54" t="s">
        <v>384</v>
      </c>
      <c r="H443" s="54" t="s">
        <v>384</v>
      </c>
      <c r="I443" s="54" t="s">
        <v>384</v>
      </c>
      <c r="J443" s="54" t="s">
        <v>384</v>
      </c>
      <c r="K443" s="54"/>
      <c r="L443" s="54"/>
      <c r="M443" s="54" t="s">
        <v>384</v>
      </c>
      <c r="N443" s="54" t="s">
        <v>384</v>
      </c>
      <c r="O443" s="54" t="s">
        <v>384</v>
      </c>
      <c r="P443" s="101"/>
    </row>
    <row r="444" spans="1:16" ht="15" customHeight="1">
      <c r="A444" s="467">
        <v>242</v>
      </c>
      <c r="B444" s="489" t="s">
        <v>282</v>
      </c>
      <c r="C444" s="479">
        <v>450</v>
      </c>
      <c r="D444" s="479">
        <v>450</v>
      </c>
      <c r="E444" s="479">
        <v>450</v>
      </c>
      <c r="F444" s="486">
        <v>450</v>
      </c>
      <c r="G444" s="486">
        <v>450</v>
      </c>
      <c r="H444" s="486">
        <v>450</v>
      </c>
      <c r="I444" s="486">
        <v>450</v>
      </c>
      <c r="J444" s="486">
        <v>450</v>
      </c>
      <c r="K444" s="486">
        <v>450</v>
      </c>
      <c r="L444" s="486">
        <v>450</v>
      </c>
      <c r="M444" s="486">
        <v>450</v>
      </c>
      <c r="N444" s="486">
        <v>450</v>
      </c>
      <c r="O444" s="487"/>
      <c r="P444" s="476">
        <f>SUM(C444:O445)</f>
        <v>5400</v>
      </c>
    </row>
    <row r="445" spans="1:16">
      <c r="A445" s="468"/>
      <c r="B445" s="545"/>
      <c r="C445" s="480"/>
      <c r="D445" s="480"/>
      <c r="E445" s="480"/>
      <c r="F445" s="486"/>
      <c r="G445" s="486"/>
      <c r="H445" s="486"/>
      <c r="I445" s="486"/>
      <c r="J445" s="486"/>
      <c r="K445" s="486"/>
      <c r="L445" s="486"/>
      <c r="M445" s="486"/>
      <c r="N445" s="486"/>
      <c r="O445" s="488"/>
      <c r="P445" s="445"/>
    </row>
    <row r="446" spans="1:16">
      <c r="A446" s="468"/>
      <c r="B446" s="78" t="s">
        <v>363</v>
      </c>
      <c r="C446" s="97">
        <v>45387</v>
      </c>
      <c r="D446" s="65">
        <v>45399</v>
      </c>
      <c r="E446" s="65">
        <v>45399</v>
      </c>
      <c r="F446" s="65">
        <v>45491</v>
      </c>
      <c r="G446" s="65">
        <v>45491</v>
      </c>
      <c r="H446" s="65">
        <v>45491</v>
      </c>
      <c r="I446" s="65">
        <v>45491</v>
      </c>
      <c r="J446" s="65">
        <v>45566</v>
      </c>
      <c r="K446" s="65">
        <v>45566</v>
      </c>
      <c r="L446" s="65">
        <v>45618</v>
      </c>
      <c r="M446" s="65">
        <v>45652</v>
      </c>
      <c r="N446" s="65">
        <v>45652</v>
      </c>
      <c r="O446" s="54"/>
      <c r="P446" s="101"/>
    </row>
    <row r="447" spans="1:16">
      <c r="A447" s="501"/>
      <c r="B447" s="79" t="s">
        <v>377</v>
      </c>
      <c r="C447" s="73" t="s">
        <v>386</v>
      </c>
      <c r="D447" s="54" t="s">
        <v>385</v>
      </c>
      <c r="E447" s="54" t="s">
        <v>385</v>
      </c>
      <c r="F447" s="54" t="s">
        <v>386</v>
      </c>
      <c r="G447" s="54" t="s">
        <v>386</v>
      </c>
      <c r="H447" s="54" t="s">
        <v>386</v>
      </c>
      <c r="I447" s="54" t="s">
        <v>386</v>
      </c>
      <c r="J447" s="54" t="s">
        <v>386</v>
      </c>
      <c r="K447" s="54" t="s">
        <v>386</v>
      </c>
      <c r="L447" s="54" t="s">
        <v>385</v>
      </c>
      <c r="M447" s="54" t="s">
        <v>385</v>
      </c>
      <c r="N447" s="54" t="s">
        <v>385</v>
      </c>
      <c r="O447" s="54"/>
      <c r="P447" s="101"/>
    </row>
    <row r="448" spans="1:16" ht="15" customHeight="1">
      <c r="A448" s="467">
        <v>243</v>
      </c>
      <c r="B448" s="489" t="s">
        <v>347</v>
      </c>
      <c r="C448" s="479">
        <v>115</v>
      </c>
      <c r="D448" s="479">
        <v>115</v>
      </c>
      <c r="E448" s="479">
        <v>115</v>
      </c>
      <c r="F448" s="499">
        <v>115</v>
      </c>
      <c r="G448" s="499">
        <v>115</v>
      </c>
      <c r="H448" s="487">
        <v>115</v>
      </c>
      <c r="I448" s="487">
        <v>115</v>
      </c>
      <c r="J448" s="487">
        <v>115</v>
      </c>
      <c r="K448" s="487"/>
      <c r="L448" s="487"/>
      <c r="M448" s="487"/>
      <c r="N448" s="486"/>
      <c r="O448" s="487">
        <v>115</v>
      </c>
      <c r="P448" s="476">
        <f>SUM(C448:O449)</f>
        <v>1035</v>
      </c>
    </row>
    <row r="449" spans="1:16">
      <c r="A449" s="468"/>
      <c r="B449" s="490"/>
      <c r="C449" s="480"/>
      <c r="D449" s="480"/>
      <c r="E449" s="480"/>
      <c r="F449" s="499"/>
      <c r="G449" s="499"/>
      <c r="H449" s="488"/>
      <c r="I449" s="488"/>
      <c r="J449" s="488"/>
      <c r="K449" s="488"/>
      <c r="L449" s="488"/>
      <c r="M449" s="488"/>
      <c r="N449" s="486"/>
      <c r="O449" s="488"/>
      <c r="P449" s="445"/>
    </row>
    <row r="450" spans="1:16">
      <c r="A450" s="468"/>
      <c r="B450" s="87" t="s">
        <v>363</v>
      </c>
      <c r="C450" s="65">
        <v>45336</v>
      </c>
      <c r="D450" s="65">
        <v>45359</v>
      </c>
      <c r="E450" s="65">
        <v>45392</v>
      </c>
      <c r="F450" s="65">
        <v>45421</v>
      </c>
      <c r="G450" s="65">
        <v>45443</v>
      </c>
      <c r="H450" s="65">
        <v>45477</v>
      </c>
      <c r="I450" s="65">
        <v>45497</v>
      </c>
      <c r="J450" s="65">
        <v>45574</v>
      </c>
      <c r="K450" s="54"/>
      <c r="L450" s="65"/>
      <c r="M450" s="65"/>
      <c r="N450" s="54"/>
      <c r="O450" s="64">
        <v>45666</v>
      </c>
      <c r="P450" s="101"/>
    </row>
    <row r="451" spans="1:16">
      <c r="A451" s="501"/>
      <c r="B451" s="76" t="s">
        <v>377</v>
      </c>
      <c r="C451" s="73" t="s">
        <v>386</v>
      </c>
      <c r="D451" s="54" t="s">
        <v>386</v>
      </c>
      <c r="E451" s="54" t="s">
        <v>386</v>
      </c>
      <c r="F451" s="54" t="s">
        <v>386</v>
      </c>
      <c r="G451" s="54" t="s">
        <v>386</v>
      </c>
      <c r="H451" s="54" t="s">
        <v>386</v>
      </c>
      <c r="I451" s="54" t="s">
        <v>386</v>
      </c>
      <c r="J451" s="54" t="s">
        <v>386</v>
      </c>
      <c r="K451" s="54"/>
      <c r="L451" s="54"/>
      <c r="M451" s="54"/>
      <c r="N451" s="54"/>
      <c r="O451" s="54" t="s">
        <v>386</v>
      </c>
      <c r="P451" s="101"/>
    </row>
    <row r="452" spans="1:16" ht="15" customHeight="1">
      <c r="A452" s="467">
        <v>244</v>
      </c>
      <c r="B452" s="543" t="s">
        <v>348</v>
      </c>
      <c r="C452" s="481"/>
      <c r="D452" s="481">
        <v>560</v>
      </c>
      <c r="E452" s="481"/>
      <c r="F452" s="481">
        <v>560</v>
      </c>
      <c r="G452" s="481">
        <v>560</v>
      </c>
      <c r="H452" s="481">
        <v>560</v>
      </c>
      <c r="I452" s="481">
        <v>560</v>
      </c>
      <c r="J452" s="481">
        <v>560</v>
      </c>
      <c r="K452" s="481">
        <v>560</v>
      </c>
      <c r="L452" s="481" t="s">
        <v>1747</v>
      </c>
      <c r="M452" s="481" t="s">
        <v>1747</v>
      </c>
      <c r="N452" s="481"/>
      <c r="O452" s="481">
        <v>560</v>
      </c>
      <c r="P452" s="476">
        <f>SUM(C452:O453)</f>
        <v>4480</v>
      </c>
    </row>
    <row r="453" spans="1:16">
      <c r="A453" s="468"/>
      <c r="B453" s="544"/>
      <c r="C453" s="482"/>
      <c r="D453" s="482"/>
      <c r="E453" s="482"/>
      <c r="F453" s="482"/>
      <c r="G453" s="482"/>
      <c r="H453" s="482"/>
      <c r="I453" s="482"/>
      <c r="J453" s="482"/>
      <c r="K453" s="482"/>
      <c r="L453" s="482"/>
      <c r="M453" s="482"/>
      <c r="N453" s="482"/>
      <c r="O453" s="482"/>
      <c r="P453" s="445"/>
    </row>
    <row r="454" spans="1:16">
      <c r="A454" s="468"/>
      <c r="B454" s="89" t="s">
        <v>363</v>
      </c>
      <c r="C454" s="65"/>
      <c r="D454" s="65">
        <v>45359</v>
      </c>
      <c r="E454" s="65"/>
      <c r="F454" s="65">
        <v>45422</v>
      </c>
      <c r="G454" s="65">
        <v>45450</v>
      </c>
      <c r="H454" s="65">
        <v>45490</v>
      </c>
      <c r="I454" s="65">
        <v>45513</v>
      </c>
      <c r="J454" s="65">
        <v>45939</v>
      </c>
      <c r="K454" s="65">
        <v>45969</v>
      </c>
      <c r="L454" s="65"/>
      <c r="M454" s="65"/>
      <c r="N454" s="54"/>
      <c r="O454" s="65">
        <v>45665</v>
      </c>
      <c r="P454" s="101"/>
    </row>
    <row r="455" spans="1:16">
      <c r="A455" s="501"/>
      <c r="B455" s="87" t="s">
        <v>377</v>
      </c>
      <c r="C455" s="54"/>
      <c r="D455" s="54" t="s">
        <v>371</v>
      </c>
      <c r="E455" s="54"/>
      <c r="F455" s="54" t="s">
        <v>371</v>
      </c>
      <c r="G455" s="54" t="s">
        <v>384</v>
      </c>
      <c r="H455" s="54" t="s">
        <v>384</v>
      </c>
      <c r="I455" s="54" t="s">
        <v>384</v>
      </c>
      <c r="J455" s="54" t="s">
        <v>384</v>
      </c>
      <c r="K455" s="54" t="s">
        <v>384</v>
      </c>
      <c r="L455" s="54"/>
      <c r="M455" s="54"/>
      <c r="N455" s="54"/>
      <c r="O455" s="54" t="s">
        <v>384</v>
      </c>
      <c r="P455" s="101"/>
    </row>
    <row r="456" spans="1:16" ht="15" customHeight="1">
      <c r="A456" s="467">
        <v>249</v>
      </c>
      <c r="B456" s="470" t="s">
        <v>350</v>
      </c>
      <c r="C456" s="481">
        <v>1100</v>
      </c>
      <c r="D456" s="481">
        <v>1100</v>
      </c>
      <c r="E456" s="500">
        <v>1100</v>
      </c>
      <c r="F456" s="481">
        <v>1100</v>
      </c>
      <c r="G456" s="481">
        <v>1100</v>
      </c>
      <c r="H456" s="481">
        <v>1100</v>
      </c>
      <c r="I456" s="481">
        <v>1100</v>
      </c>
      <c r="J456" s="481">
        <v>1100</v>
      </c>
      <c r="K456" s="481">
        <v>1100</v>
      </c>
      <c r="L456" s="481">
        <v>1100</v>
      </c>
      <c r="M456" s="481">
        <v>1100</v>
      </c>
      <c r="N456" s="473">
        <v>1100</v>
      </c>
      <c r="O456" s="491"/>
      <c r="P456" s="476">
        <f>SUM(C456:O457)</f>
        <v>13200</v>
      </c>
    </row>
    <row r="457" spans="1:16">
      <c r="A457" s="468"/>
      <c r="B457" s="471"/>
      <c r="C457" s="482"/>
      <c r="D457" s="482"/>
      <c r="E457" s="482"/>
      <c r="F457" s="482"/>
      <c r="G457" s="482"/>
      <c r="H457" s="482"/>
      <c r="I457" s="482"/>
      <c r="J457" s="482"/>
      <c r="K457" s="482"/>
      <c r="L457" s="482"/>
      <c r="M457" s="482"/>
      <c r="N457" s="473"/>
      <c r="O457" s="492"/>
      <c r="P457" s="445"/>
    </row>
    <row r="458" spans="1:16">
      <c r="A458" s="468"/>
      <c r="B458" s="86" t="s">
        <v>363</v>
      </c>
      <c r="C458" s="97">
        <v>45322</v>
      </c>
      <c r="D458" s="65">
        <v>45351</v>
      </c>
      <c r="E458" s="65">
        <v>45379</v>
      </c>
      <c r="F458" s="65">
        <v>45446</v>
      </c>
      <c r="G458" s="65">
        <v>45471</v>
      </c>
      <c r="H458" s="65">
        <v>45504</v>
      </c>
      <c r="I458" s="65">
        <v>45534</v>
      </c>
      <c r="J458" s="65">
        <v>45565</v>
      </c>
      <c r="K458" s="65">
        <v>45961</v>
      </c>
      <c r="L458" s="65">
        <v>45991</v>
      </c>
      <c r="M458" s="65">
        <v>45991</v>
      </c>
      <c r="N458" s="65">
        <v>45991</v>
      </c>
      <c r="O458" s="54"/>
      <c r="P458" s="101"/>
    </row>
    <row r="459" spans="1:16">
      <c r="A459" s="478"/>
      <c r="B459" s="76" t="s">
        <v>377</v>
      </c>
      <c r="C459" s="73" t="s">
        <v>384</v>
      </c>
      <c r="D459" s="54" t="s">
        <v>371</v>
      </c>
      <c r="E459" s="54" t="s">
        <v>384</v>
      </c>
      <c r="F459" s="54" t="s">
        <v>384</v>
      </c>
      <c r="G459" s="54" t="s">
        <v>371</v>
      </c>
      <c r="H459" s="54" t="s">
        <v>384</v>
      </c>
      <c r="I459" s="54" t="s">
        <v>384</v>
      </c>
      <c r="J459" s="54" t="s">
        <v>384</v>
      </c>
      <c r="K459" s="54" t="s">
        <v>384</v>
      </c>
      <c r="L459" s="54" t="s">
        <v>384</v>
      </c>
      <c r="M459" s="54" t="s">
        <v>384</v>
      </c>
      <c r="N459" s="54" t="s">
        <v>384</v>
      </c>
      <c r="O459" s="54"/>
      <c r="P459" s="101"/>
    </row>
    <row r="460" spans="1:16" ht="15" customHeight="1">
      <c r="A460" s="470">
        <v>251</v>
      </c>
      <c r="B460" s="497" t="s">
        <v>991</v>
      </c>
      <c r="C460" s="491"/>
      <c r="D460" s="481">
        <v>150</v>
      </c>
      <c r="E460" s="491">
        <v>150</v>
      </c>
      <c r="F460" s="491"/>
      <c r="G460" s="491"/>
      <c r="H460" s="491">
        <v>150</v>
      </c>
      <c r="I460" s="483">
        <v>150</v>
      </c>
      <c r="J460" s="483"/>
      <c r="K460" s="483"/>
      <c r="L460" s="483"/>
      <c r="M460" s="483">
        <v>150</v>
      </c>
      <c r="N460" s="483"/>
      <c r="O460" s="491"/>
      <c r="P460" s="493">
        <f>SUM(C460:O461)</f>
        <v>750</v>
      </c>
    </row>
    <row r="461" spans="1:16">
      <c r="A461" s="496"/>
      <c r="B461" s="542"/>
      <c r="C461" s="492"/>
      <c r="D461" s="482"/>
      <c r="E461" s="492"/>
      <c r="F461" s="492"/>
      <c r="G461" s="492"/>
      <c r="H461" s="492"/>
      <c r="I461" s="484"/>
      <c r="J461" s="484"/>
      <c r="K461" s="484"/>
      <c r="L461" s="484"/>
      <c r="M461" s="484"/>
      <c r="N461" s="484"/>
      <c r="O461" s="492"/>
      <c r="P461" s="494"/>
    </row>
    <row r="462" spans="1:16">
      <c r="A462" s="496"/>
      <c r="B462" s="82" t="s">
        <v>363</v>
      </c>
      <c r="C462" s="54"/>
      <c r="D462" s="65">
        <v>45358</v>
      </c>
      <c r="E462" s="65">
        <v>45418</v>
      </c>
      <c r="F462" s="54"/>
      <c r="G462" s="54"/>
      <c r="H462" s="65">
        <v>45489</v>
      </c>
      <c r="I462" s="65">
        <v>909</v>
      </c>
      <c r="J462" s="54"/>
      <c r="K462" s="65"/>
      <c r="L462" s="65"/>
      <c r="M462" s="65">
        <v>45646</v>
      </c>
      <c r="N462" s="65"/>
      <c r="O462" s="54"/>
      <c r="P462" s="101"/>
    </row>
    <row r="463" spans="1:16">
      <c r="A463" s="471"/>
      <c r="B463" s="84" t="s">
        <v>377</v>
      </c>
      <c r="C463" s="54"/>
      <c r="D463" s="54" t="s">
        <v>386</v>
      </c>
      <c r="E463" s="54" t="s">
        <v>386</v>
      </c>
      <c r="F463" s="54"/>
      <c r="G463" s="54"/>
      <c r="H463" s="54" t="s">
        <v>386</v>
      </c>
      <c r="I463" s="54" t="s">
        <v>386</v>
      </c>
      <c r="J463" s="54"/>
      <c r="K463" s="54"/>
      <c r="L463" s="54"/>
      <c r="M463" s="54" t="s">
        <v>386</v>
      </c>
      <c r="N463" s="54"/>
      <c r="O463" s="54"/>
      <c r="P463" s="101"/>
    </row>
    <row r="464" spans="1:16">
      <c r="A464" s="467">
        <v>259</v>
      </c>
      <c r="B464" s="470" t="s">
        <v>106</v>
      </c>
      <c r="C464" s="479">
        <v>415</v>
      </c>
      <c r="D464" s="479">
        <v>415</v>
      </c>
      <c r="E464" s="479">
        <v>415</v>
      </c>
      <c r="F464" s="479">
        <v>415</v>
      </c>
      <c r="G464" s="479">
        <v>415</v>
      </c>
      <c r="H464" s="479">
        <v>415</v>
      </c>
      <c r="I464" s="479">
        <v>415</v>
      </c>
      <c r="J464" s="479">
        <v>415</v>
      </c>
      <c r="K464" s="479">
        <v>415</v>
      </c>
      <c r="L464" s="479">
        <v>415</v>
      </c>
      <c r="M464" s="479">
        <v>415</v>
      </c>
      <c r="N464" s="479">
        <v>415</v>
      </c>
      <c r="O464" s="479">
        <v>415</v>
      </c>
      <c r="P464" s="476">
        <f>SUM(C464:O465)</f>
        <v>5395</v>
      </c>
    </row>
    <row r="465" spans="1:16">
      <c r="A465" s="468"/>
      <c r="B465" s="471"/>
      <c r="C465" s="480"/>
      <c r="D465" s="480"/>
      <c r="E465" s="480"/>
      <c r="F465" s="480"/>
      <c r="G465" s="480"/>
      <c r="H465" s="480"/>
      <c r="I465" s="480"/>
      <c r="J465" s="480"/>
      <c r="K465" s="480"/>
      <c r="L465" s="480"/>
      <c r="M465" s="480"/>
      <c r="N465" s="480"/>
      <c r="O465" s="480"/>
      <c r="P465" s="445"/>
    </row>
    <row r="466" spans="1:16">
      <c r="A466" s="468"/>
      <c r="B466" s="87" t="s">
        <v>363</v>
      </c>
      <c r="C466" s="65">
        <v>45343</v>
      </c>
      <c r="D466" s="65">
        <v>45573</v>
      </c>
      <c r="E466" s="65">
        <v>45573</v>
      </c>
      <c r="F466" s="65">
        <v>45573</v>
      </c>
      <c r="G466" s="65">
        <v>45573</v>
      </c>
      <c r="H466" s="65">
        <v>45573</v>
      </c>
      <c r="I466" s="65">
        <v>45573</v>
      </c>
      <c r="J466" s="65">
        <v>45573</v>
      </c>
      <c r="K466" s="65">
        <v>45573</v>
      </c>
      <c r="L466" s="65">
        <v>45573</v>
      </c>
      <c r="M466" s="65">
        <v>45573</v>
      </c>
      <c r="N466" s="65">
        <v>45573</v>
      </c>
      <c r="O466" s="65">
        <v>45573</v>
      </c>
      <c r="P466" s="101"/>
    </row>
    <row r="467" spans="1:16">
      <c r="A467" s="501"/>
      <c r="B467" s="86" t="s">
        <v>377</v>
      </c>
      <c r="C467" s="73" t="s">
        <v>386</v>
      </c>
      <c r="D467" s="54" t="s">
        <v>385</v>
      </c>
      <c r="E467" s="54" t="s">
        <v>385</v>
      </c>
      <c r="F467" s="54" t="s">
        <v>385</v>
      </c>
      <c r="G467" s="54" t="s">
        <v>385</v>
      </c>
      <c r="H467" s="54" t="s">
        <v>385</v>
      </c>
      <c r="I467" s="54" t="s">
        <v>385</v>
      </c>
      <c r="J467" s="54" t="s">
        <v>385</v>
      </c>
      <c r="K467" s="54" t="s">
        <v>385</v>
      </c>
      <c r="L467" s="54" t="s">
        <v>385</v>
      </c>
      <c r="M467" s="54" t="s">
        <v>385</v>
      </c>
      <c r="N467" s="54" t="s">
        <v>385</v>
      </c>
      <c r="O467" s="54" t="s">
        <v>385</v>
      </c>
      <c r="P467" s="101"/>
    </row>
    <row r="468" spans="1:16" ht="15" customHeight="1">
      <c r="A468" s="467">
        <v>260</v>
      </c>
      <c r="B468" s="470" t="s">
        <v>1085</v>
      </c>
      <c r="C468" s="472">
        <v>415</v>
      </c>
      <c r="D468" s="473">
        <v>415</v>
      </c>
      <c r="E468" s="473"/>
      <c r="F468" s="473"/>
      <c r="G468" s="473"/>
      <c r="H468" s="473"/>
      <c r="I468" s="473"/>
      <c r="J468" s="473">
        <v>415</v>
      </c>
      <c r="K468" s="473"/>
      <c r="L468" s="473"/>
      <c r="M468" s="473"/>
      <c r="N468" s="473"/>
      <c r="O468" s="474"/>
      <c r="P468" s="477">
        <f>SUM(C468:O469)</f>
        <v>1245</v>
      </c>
    </row>
    <row r="469" spans="1:16">
      <c r="A469" s="468"/>
      <c r="B469" s="471"/>
      <c r="C469" s="472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5"/>
      <c r="P469" s="477"/>
    </row>
    <row r="470" spans="1:16">
      <c r="A470" s="468"/>
      <c r="B470" s="86" t="s">
        <v>363</v>
      </c>
      <c r="C470" s="97">
        <v>45385</v>
      </c>
      <c r="D470" s="65">
        <v>45385</v>
      </c>
      <c r="E470" s="54"/>
      <c r="F470" s="54"/>
      <c r="G470" s="65"/>
      <c r="H470" s="65"/>
      <c r="I470" s="54"/>
      <c r="J470" s="65">
        <v>45923</v>
      </c>
      <c r="K470" s="54"/>
      <c r="L470" s="54"/>
      <c r="M470" s="54"/>
      <c r="N470" s="54"/>
      <c r="O470" s="54"/>
      <c r="P470" s="101"/>
    </row>
    <row r="471" spans="1:16">
      <c r="A471" s="478"/>
      <c r="B471" s="76" t="s">
        <v>377</v>
      </c>
      <c r="C471" s="73" t="s">
        <v>384</v>
      </c>
      <c r="D471" s="54" t="s">
        <v>384</v>
      </c>
      <c r="E471" s="54"/>
      <c r="F471" s="54"/>
      <c r="G471" s="54"/>
      <c r="H471" s="54"/>
      <c r="I471" s="54"/>
      <c r="J471" s="54" t="s">
        <v>1486</v>
      </c>
      <c r="K471" s="54"/>
      <c r="L471" s="54"/>
      <c r="M471" s="54"/>
      <c r="N471" s="54"/>
      <c r="O471" s="54"/>
      <c r="P471" s="101"/>
    </row>
    <row r="472" spans="1:16">
      <c r="A472" s="467">
        <v>261</v>
      </c>
      <c r="B472" s="470" t="s">
        <v>253</v>
      </c>
      <c r="C472" s="479"/>
      <c r="D472" s="482"/>
      <c r="E472" s="479">
        <v>400</v>
      </c>
      <c r="F472" s="473">
        <v>400</v>
      </c>
      <c r="G472" s="473">
        <v>400</v>
      </c>
      <c r="H472" s="473">
        <v>400</v>
      </c>
      <c r="I472" s="473">
        <v>400</v>
      </c>
      <c r="J472" s="473">
        <v>400</v>
      </c>
      <c r="K472" s="481">
        <v>400</v>
      </c>
      <c r="L472" s="482"/>
      <c r="M472" s="482"/>
      <c r="N472" s="482"/>
      <c r="O472" s="491"/>
      <c r="P472" s="476">
        <f>SUM(C472:O473)</f>
        <v>2800</v>
      </c>
    </row>
    <row r="473" spans="1:16">
      <c r="A473" s="468"/>
      <c r="B473" s="471"/>
      <c r="C473" s="480"/>
      <c r="D473" s="482"/>
      <c r="E473" s="480"/>
      <c r="F473" s="473"/>
      <c r="G473" s="473"/>
      <c r="H473" s="473"/>
      <c r="I473" s="473"/>
      <c r="J473" s="473"/>
      <c r="K473" s="482"/>
      <c r="L473" s="482"/>
      <c r="M473" s="482"/>
      <c r="N473" s="482"/>
      <c r="O473" s="492"/>
      <c r="P473" s="445"/>
    </row>
    <row r="474" spans="1:16">
      <c r="A474" s="468"/>
      <c r="B474" s="76" t="s">
        <v>363</v>
      </c>
      <c r="C474" s="97"/>
      <c r="D474" s="65"/>
      <c r="E474" s="97">
        <v>45364</v>
      </c>
      <c r="F474" s="65">
        <v>45462</v>
      </c>
      <c r="G474" s="65">
        <v>45462</v>
      </c>
      <c r="H474" s="65">
        <v>45511</v>
      </c>
      <c r="I474" s="65">
        <v>45515</v>
      </c>
      <c r="J474" s="65">
        <v>45572</v>
      </c>
      <c r="K474" s="65">
        <v>45642</v>
      </c>
      <c r="L474" s="54"/>
      <c r="M474" s="54"/>
      <c r="N474" s="54"/>
      <c r="O474" s="54"/>
      <c r="P474" s="101"/>
    </row>
    <row r="475" spans="1:16">
      <c r="A475" s="501"/>
      <c r="B475" s="76" t="s">
        <v>377</v>
      </c>
      <c r="C475" s="73"/>
      <c r="D475" s="54"/>
      <c r="E475" s="73" t="s">
        <v>386</v>
      </c>
      <c r="F475" s="54" t="s">
        <v>386</v>
      </c>
      <c r="G475" s="54" t="s">
        <v>386</v>
      </c>
      <c r="H475" s="54" t="s">
        <v>386</v>
      </c>
      <c r="I475" s="118" t="s">
        <v>386</v>
      </c>
      <c r="J475" s="118" t="s">
        <v>386</v>
      </c>
      <c r="K475" s="118" t="s">
        <v>386</v>
      </c>
      <c r="L475" s="118"/>
      <c r="M475" s="54"/>
      <c r="N475" s="54"/>
      <c r="O475" s="54"/>
      <c r="P475" s="101"/>
    </row>
    <row r="476" spans="1:16">
      <c r="A476" s="467">
        <v>263</v>
      </c>
      <c r="B476" s="470" t="s">
        <v>254</v>
      </c>
      <c r="C476" s="479">
        <v>510</v>
      </c>
      <c r="D476" s="483">
        <v>510</v>
      </c>
      <c r="E476" s="483">
        <v>510</v>
      </c>
      <c r="F476" s="483">
        <v>510</v>
      </c>
      <c r="G476" s="481">
        <v>510</v>
      </c>
      <c r="H476" s="537"/>
      <c r="I476" s="539">
        <v>510</v>
      </c>
      <c r="J476" s="539">
        <v>510</v>
      </c>
      <c r="K476" s="539"/>
      <c r="L476" s="539"/>
      <c r="M476" s="472">
        <v>510</v>
      </c>
      <c r="N476" s="473">
        <v>510</v>
      </c>
      <c r="O476" s="474">
        <v>510</v>
      </c>
      <c r="P476" s="476">
        <f>SUM(C476:O477)</f>
        <v>5100</v>
      </c>
    </row>
    <row r="477" spans="1:16">
      <c r="A477" s="468"/>
      <c r="B477" s="471"/>
      <c r="C477" s="480"/>
      <c r="D477" s="484"/>
      <c r="E477" s="484"/>
      <c r="F477" s="484"/>
      <c r="G477" s="482"/>
      <c r="H477" s="538"/>
      <c r="I477" s="540"/>
      <c r="J477" s="540"/>
      <c r="K477" s="540"/>
      <c r="L477" s="540"/>
      <c r="M477" s="472"/>
      <c r="N477" s="473"/>
      <c r="O477" s="475"/>
      <c r="P477" s="445"/>
    </row>
    <row r="478" spans="1:16">
      <c r="A478" s="468"/>
      <c r="B478" s="92" t="s">
        <v>363</v>
      </c>
      <c r="C478" s="97">
        <v>45350</v>
      </c>
      <c r="D478" s="65">
        <v>45384</v>
      </c>
      <c r="E478" s="65">
        <v>45404</v>
      </c>
      <c r="F478" s="65">
        <v>45443</v>
      </c>
      <c r="G478" s="65">
        <v>45502</v>
      </c>
      <c r="H478" s="65"/>
      <c r="I478" s="105">
        <v>45511</v>
      </c>
      <c r="J478" s="105">
        <v>45560</v>
      </c>
      <c r="K478" s="105"/>
      <c r="L478" s="105"/>
      <c r="M478" s="65">
        <v>45643</v>
      </c>
      <c r="N478" s="65">
        <v>45582</v>
      </c>
      <c r="O478" s="64">
        <v>45679</v>
      </c>
      <c r="P478" s="101"/>
    </row>
    <row r="479" spans="1:16">
      <c r="A479" s="478"/>
      <c r="B479" s="76" t="s">
        <v>377</v>
      </c>
      <c r="C479" s="73" t="s">
        <v>386</v>
      </c>
      <c r="D479" s="54" t="s">
        <v>386</v>
      </c>
      <c r="E479" s="54" t="s">
        <v>386</v>
      </c>
      <c r="F479" s="54" t="s">
        <v>386</v>
      </c>
      <c r="G479" s="54" t="s">
        <v>386</v>
      </c>
      <c r="H479" s="54"/>
      <c r="I479" s="54" t="s">
        <v>386</v>
      </c>
      <c r="J479" s="54" t="s">
        <v>386</v>
      </c>
      <c r="K479" s="54"/>
      <c r="L479" s="54"/>
      <c r="M479" s="54" t="s">
        <v>386</v>
      </c>
      <c r="N479" s="54" t="s">
        <v>386</v>
      </c>
      <c r="O479" s="54" t="s">
        <v>386</v>
      </c>
      <c r="P479" s="101"/>
    </row>
    <row r="480" spans="1:16" ht="15" customHeight="1">
      <c r="A480" s="467">
        <v>266</v>
      </c>
      <c r="B480" s="470" t="s">
        <v>351</v>
      </c>
      <c r="C480" s="479"/>
      <c r="D480" s="482"/>
      <c r="E480" s="482"/>
      <c r="F480" s="482"/>
      <c r="G480" s="482"/>
      <c r="H480" s="482"/>
      <c r="I480" s="482"/>
      <c r="J480" s="482"/>
      <c r="K480" s="482"/>
      <c r="L480" s="482"/>
      <c r="M480" s="482"/>
      <c r="N480" s="482"/>
      <c r="O480" s="491"/>
      <c r="P480" s="476">
        <f>SUM(C480:O481)</f>
        <v>0</v>
      </c>
    </row>
    <row r="481" spans="1:16">
      <c r="A481" s="468"/>
      <c r="B481" s="471"/>
      <c r="C481" s="480"/>
      <c r="D481" s="482"/>
      <c r="E481" s="482"/>
      <c r="F481" s="482"/>
      <c r="G481" s="482"/>
      <c r="H481" s="482"/>
      <c r="I481" s="482"/>
      <c r="J481" s="482"/>
      <c r="K481" s="482"/>
      <c r="L481" s="482"/>
      <c r="M481" s="482"/>
      <c r="N481" s="482"/>
      <c r="O481" s="492"/>
      <c r="P481" s="445"/>
    </row>
    <row r="482" spans="1:16">
      <c r="A482" s="468"/>
      <c r="B482" s="86" t="s">
        <v>363</v>
      </c>
      <c r="C482" s="97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101"/>
    </row>
    <row r="483" spans="1:16">
      <c r="A483" s="478"/>
      <c r="B483" s="76" t="s">
        <v>377</v>
      </c>
      <c r="C483" s="73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101"/>
    </row>
    <row r="484" spans="1:16">
      <c r="A484" s="467">
        <v>271</v>
      </c>
      <c r="B484" s="533" t="s">
        <v>258</v>
      </c>
      <c r="C484" s="481"/>
      <c r="D484" s="481"/>
      <c r="E484" s="481"/>
      <c r="F484" s="481"/>
      <c r="G484" s="481"/>
      <c r="H484" s="481"/>
      <c r="I484" s="482"/>
      <c r="J484" s="482"/>
      <c r="K484" s="482"/>
      <c r="L484" s="482"/>
      <c r="M484" s="482"/>
      <c r="N484" s="482"/>
      <c r="O484" s="491"/>
      <c r="P484" s="476">
        <f>SUM(C484:O485)</f>
        <v>0</v>
      </c>
    </row>
    <row r="485" spans="1:16">
      <c r="A485" s="468"/>
      <c r="B485" s="533"/>
      <c r="C485" s="482"/>
      <c r="D485" s="482"/>
      <c r="E485" s="482"/>
      <c r="F485" s="482"/>
      <c r="G485" s="482"/>
      <c r="H485" s="482"/>
      <c r="I485" s="482"/>
      <c r="J485" s="482"/>
      <c r="K485" s="482"/>
      <c r="L485" s="482"/>
      <c r="M485" s="482"/>
      <c r="N485" s="482"/>
      <c r="O485" s="492"/>
      <c r="P485" s="445"/>
    </row>
    <row r="486" spans="1:16">
      <c r="A486" s="468"/>
      <c r="B486" s="86" t="s">
        <v>363</v>
      </c>
      <c r="C486" s="97"/>
      <c r="D486" s="97"/>
      <c r="E486" s="97"/>
      <c r="F486" s="97"/>
      <c r="G486" s="97"/>
      <c r="H486" s="97"/>
      <c r="I486" s="54"/>
      <c r="J486" s="54"/>
      <c r="K486" s="54"/>
      <c r="L486" s="54"/>
      <c r="M486" s="54"/>
      <c r="N486" s="54"/>
      <c r="O486" s="54"/>
      <c r="P486" s="101"/>
    </row>
    <row r="487" spans="1:16">
      <c r="A487" s="478"/>
      <c r="B487" s="86" t="s">
        <v>377</v>
      </c>
      <c r="C487" s="73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101"/>
    </row>
    <row r="488" spans="1:16" ht="15" customHeight="1">
      <c r="A488" s="534">
        <v>274</v>
      </c>
      <c r="B488" s="536" t="s">
        <v>352</v>
      </c>
      <c r="C488" s="479">
        <v>1615</v>
      </c>
      <c r="D488" s="479">
        <v>1615</v>
      </c>
      <c r="E488" s="479">
        <v>1615</v>
      </c>
      <c r="F488" s="479">
        <v>1615</v>
      </c>
      <c r="G488" s="479">
        <v>1615</v>
      </c>
      <c r="H488" s="479">
        <v>1615</v>
      </c>
      <c r="I488" s="479">
        <v>1615</v>
      </c>
      <c r="J488" s="481">
        <v>1615</v>
      </c>
      <c r="K488" s="481">
        <v>1615</v>
      </c>
      <c r="L488" s="481">
        <v>1615</v>
      </c>
      <c r="M488" s="473">
        <v>1615</v>
      </c>
      <c r="N488" s="473">
        <v>1615</v>
      </c>
      <c r="O488" s="474">
        <v>1615</v>
      </c>
      <c r="P488" s="476">
        <f>SUM(C488:O489)</f>
        <v>20995</v>
      </c>
    </row>
    <row r="489" spans="1:16">
      <c r="A489" s="535"/>
      <c r="B489" s="536"/>
      <c r="C489" s="480"/>
      <c r="D489" s="480"/>
      <c r="E489" s="480"/>
      <c r="F489" s="480"/>
      <c r="G489" s="480"/>
      <c r="H489" s="480"/>
      <c r="I489" s="480"/>
      <c r="J489" s="482"/>
      <c r="K489" s="482"/>
      <c r="L489" s="482"/>
      <c r="M489" s="473"/>
      <c r="N489" s="473"/>
      <c r="O489" s="475"/>
      <c r="P489" s="445"/>
    </row>
    <row r="490" spans="1:16">
      <c r="A490" s="535"/>
      <c r="B490" s="76" t="s">
        <v>363</v>
      </c>
      <c r="C490" s="97">
        <v>45547</v>
      </c>
      <c r="D490" s="97">
        <v>45547</v>
      </c>
      <c r="E490" s="97">
        <v>45547</v>
      </c>
      <c r="F490" s="97">
        <v>45547</v>
      </c>
      <c r="G490" s="97">
        <v>45547</v>
      </c>
      <c r="H490" s="97">
        <v>45547</v>
      </c>
      <c r="I490" s="97">
        <v>45547</v>
      </c>
      <c r="J490" s="65">
        <v>45723</v>
      </c>
      <c r="K490" s="65">
        <v>45723</v>
      </c>
      <c r="L490" s="65">
        <v>45791</v>
      </c>
      <c r="M490" s="65">
        <v>45791</v>
      </c>
      <c r="N490" s="65">
        <v>45843</v>
      </c>
      <c r="O490" s="65">
        <v>45843</v>
      </c>
      <c r="P490" s="101"/>
    </row>
    <row r="491" spans="1:16">
      <c r="A491" s="501"/>
      <c r="B491" s="77" t="s">
        <v>377</v>
      </c>
      <c r="C491" s="73" t="s">
        <v>384</v>
      </c>
      <c r="D491" s="73" t="s">
        <v>384</v>
      </c>
      <c r="E491" s="73" t="s">
        <v>384</v>
      </c>
      <c r="F491" s="73" t="s">
        <v>384</v>
      </c>
      <c r="G491" s="73" t="s">
        <v>384</v>
      </c>
      <c r="H491" s="73" t="s">
        <v>384</v>
      </c>
      <c r="I491" s="73" t="s">
        <v>384</v>
      </c>
      <c r="J491" s="54" t="s">
        <v>384</v>
      </c>
      <c r="K491" s="54" t="s">
        <v>384</v>
      </c>
      <c r="L491" s="54" t="s">
        <v>384</v>
      </c>
      <c r="M491" s="54" t="s">
        <v>384</v>
      </c>
      <c r="N491" s="54" t="s">
        <v>384</v>
      </c>
      <c r="O491" s="54" t="s">
        <v>384</v>
      </c>
      <c r="P491" s="101"/>
    </row>
    <row r="492" spans="1:16" ht="15" customHeight="1">
      <c r="A492" s="467">
        <v>276</v>
      </c>
      <c r="B492" s="470" t="s">
        <v>353</v>
      </c>
      <c r="C492" s="499"/>
      <c r="D492" s="486">
        <v>440</v>
      </c>
      <c r="E492" s="486">
        <v>440</v>
      </c>
      <c r="F492" s="486">
        <v>440</v>
      </c>
      <c r="G492" s="486">
        <v>440</v>
      </c>
      <c r="H492" s="486">
        <v>440</v>
      </c>
      <c r="I492" s="486">
        <v>440</v>
      </c>
      <c r="J492" s="486">
        <v>440</v>
      </c>
      <c r="K492" s="486">
        <v>440</v>
      </c>
      <c r="L492" s="486">
        <v>440</v>
      </c>
      <c r="M492" s="486"/>
      <c r="N492" s="486"/>
      <c r="O492" s="487">
        <v>440</v>
      </c>
      <c r="P492" s="476">
        <f>SUM(C492:O493)</f>
        <v>4400</v>
      </c>
    </row>
    <row r="493" spans="1:16">
      <c r="A493" s="468"/>
      <c r="B493" s="471"/>
      <c r="C493" s="499"/>
      <c r="D493" s="486"/>
      <c r="E493" s="486"/>
      <c r="F493" s="486"/>
      <c r="G493" s="486"/>
      <c r="H493" s="486"/>
      <c r="I493" s="486"/>
      <c r="J493" s="486"/>
      <c r="K493" s="486"/>
      <c r="L493" s="486"/>
      <c r="M493" s="486"/>
      <c r="N493" s="486"/>
      <c r="O493" s="488"/>
      <c r="P493" s="445"/>
    </row>
    <row r="494" spans="1:16">
      <c r="A494" s="468"/>
      <c r="B494" s="76" t="s">
        <v>363</v>
      </c>
      <c r="C494" s="73"/>
      <c r="D494" s="65">
        <v>45735</v>
      </c>
      <c r="E494" s="65">
        <v>45769</v>
      </c>
      <c r="F494" s="65">
        <v>45792</v>
      </c>
      <c r="G494" s="65">
        <v>45826</v>
      </c>
      <c r="H494" s="65">
        <v>45857</v>
      </c>
      <c r="I494" s="65">
        <v>45890</v>
      </c>
      <c r="J494" s="65">
        <v>45913</v>
      </c>
      <c r="K494" s="65">
        <v>45943</v>
      </c>
      <c r="L494" s="65">
        <v>45983</v>
      </c>
      <c r="M494" s="54"/>
      <c r="N494" s="54"/>
      <c r="O494" s="64">
        <v>45673</v>
      </c>
      <c r="P494" s="101"/>
    </row>
    <row r="495" spans="1:16">
      <c r="A495" s="478"/>
      <c r="B495" s="82" t="s">
        <v>377</v>
      </c>
      <c r="C495" s="54"/>
      <c r="D495" s="54" t="s">
        <v>1486</v>
      </c>
      <c r="E495" s="54" t="s">
        <v>1486</v>
      </c>
      <c r="F495" s="54" t="s">
        <v>1486</v>
      </c>
      <c r="G495" s="54" t="s">
        <v>1486</v>
      </c>
      <c r="H495" s="54" t="s">
        <v>1486</v>
      </c>
      <c r="I495" s="54" t="s">
        <v>1486</v>
      </c>
      <c r="J495" s="54" t="s">
        <v>1486</v>
      </c>
      <c r="K495" s="54" t="s">
        <v>1486</v>
      </c>
      <c r="L495" s="54" t="s">
        <v>1486</v>
      </c>
      <c r="M495" s="54"/>
      <c r="N495" s="54"/>
      <c r="O495" s="54" t="s">
        <v>1486</v>
      </c>
      <c r="P495" s="101"/>
    </row>
    <row r="496" spans="1:16">
      <c r="A496" s="467">
        <v>279</v>
      </c>
      <c r="B496" s="470" t="s">
        <v>286</v>
      </c>
      <c r="C496" s="479">
        <v>210</v>
      </c>
      <c r="D496" s="481">
        <v>210</v>
      </c>
      <c r="E496" s="481">
        <v>210</v>
      </c>
      <c r="F496" s="481">
        <v>120</v>
      </c>
      <c r="G496" s="481">
        <v>210</v>
      </c>
      <c r="H496" s="481">
        <v>210</v>
      </c>
      <c r="I496" s="486">
        <v>210</v>
      </c>
      <c r="J496" s="486">
        <v>210</v>
      </c>
      <c r="K496" s="486">
        <v>210</v>
      </c>
      <c r="L496" s="486">
        <v>210</v>
      </c>
      <c r="M496" s="486">
        <v>210</v>
      </c>
      <c r="N496" s="486"/>
      <c r="O496" s="487">
        <v>210</v>
      </c>
      <c r="P496" s="476">
        <f>SUM(C496:O497)</f>
        <v>2430</v>
      </c>
    </row>
    <row r="497" spans="1:16">
      <c r="A497" s="468"/>
      <c r="B497" s="496"/>
      <c r="C497" s="480"/>
      <c r="D497" s="482"/>
      <c r="E497" s="482"/>
      <c r="F497" s="482"/>
      <c r="G497" s="482"/>
      <c r="H497" s="482"/>
      <c r="I497" s="486"/>
      <c r="J497" s="486"/>
      <c r="K497" s="486"/>
      <c r="L497" s="486"/>
      <c r="M497" s="486"/>
      <c r="N497" s="486"/>
      <c r="O497" s="488"/>
      <c r="P497" s="445"/>
    </row>
    <row r="498" spans="1:16">
      <c r="A498" s="468"/>
      <c r="B498" s="86" t="s">
        <v>363</v>
      </c>
      <c r="C498" s="97">
        <v>45330</v>
      </c>
      <c r="D498" s="65">
        <v>45359</v>
      </c>
      <c r="E498" s="65">
        <v>45390</v>
      </c>
      <c r="F498" s="65">
        <v>45422</v>
      </c>
      <c r="G498" s="65">
        <v>45454</v>
      </c>
      <c r="H498" s="65">
        <v>45484</v>
      </c>
      <c r="I498" s="65">
        <v>45511</v>
      </c>
      <c r="J498" s="65">
        <v>45545</v>
      </c>
      <c r="K498" s="65">
        <v>45940</v>
      </c>
      <c r="L498" s="65">
        <v>45969</v>
      </c>
      <c r="M498" s="65">
        <v>46001</v>
      </c>
      <c r="N498" s="65"/>
      <c r="O498" s="64">
        <v>45672</v>
      </c>
      <c r="P498" s="101"/>
    </row>
    <row r="499" spans="1:16">
      <c r="A499" s="478"/>
      <c r="B499" s="86" t="s">
        <v>377</v>
      </c>
      <c r="C499" s="73" t="s">
        <v>384</v>
      </c>
      <c r="D499" s="54" t="s">
        <v>371</v>
      </c>
      <c r="E499" s="54" t="s">
        <v>371</v>
      </c>
      <c r="F499" s="54" t="s">
        <v>371</v>
      </c>
      <c r="G499" s="54" t="s">
        <v>384</v>
      </c>
      <c r="H499" s="54" t="s">
        <v>384</v>
      </c>
      <c r="I499" s="54" t="s">
        <v>384</v>
      </c>
      <c r="J499" s="54" t="s">
        <v>384</v>
      </c>
      <c r="K499" s="54" t="s">
        <v>384</v>
      </c>
      <c r="L499" s="54" t="s">
        <v>384</v>
      </c>
      <c r="M499" s="54" t="s">
        <v>384</v>
      </c>
      <c r="N499" s="54"/>
      <c r="O499" s="54" t="s">
        <v>384</v>
      </c>
      <c r="P499" s="101"/>
    </row>
    <row r="500" spans="1:16">
      <c r="A500" s="485">
        <v>280</v>
      </c>
      <c r="B500" s="470" t="s">
        <v>262</v>
      </c>
      <c r="C500" s="479">
        <v>500</v>
      </c>
      <c r="D500" s="481">
        <v>500</v>
      </c>
      <c r="E500" s="481">
        <v>500</v>
      </c>
      <c r="F500" s="481">
        <v>500</v>
      </c>
      <c r="G500" s="481">
        <v>500</v>
      </c>
      <c r="H500" s="481">
        <v>500</v>
      </c>
      <c r="I500" s="481">
        <v>500</v>
      </c>
      <c r="J500" s="481">
        <v>500</v>
      </c>
      <c r="K500" s="486">
        <v>500</v>
      </c>
      <c r="L500" s="486">
        <v>500</v>
      </c>
      <c r="M500" s="486">
        <v>500</v>
      </c>
      <c r="N500" s="486">
        <v>500</v>
      </c>
      <c r="O500" s="487">
        <v>500</v>
      </c>
      <c r="P500" s="476">
        <f>SUM(C500:O501)</f>
        <v>6500</v>
      </c>
    </row>
    <row r="501" spans="1:16">
      <c r="A501" s="468"/>
      <c r="B501" s="471"/>
      <c r="C501" s="480"/>
      <c r="D501" s="482"/>
      <c r="E501" s="482"/>
      <c r="F501" s="482"/>
      <c r="G501" s="482"/>
      <c r="H501" s="482"/>
      <c r="I501" s="482"/>
      <c r="J501" s="482"/>
      <c r="K501" s="486"/>
      <c r="L501" s="486"/>
      <c r="M501" s="486"/>
      <c r="N501" s="486"/>
      <c r="O501" s="488"/>
      <c r="P501" s="445"/>
    </row>
    <row r="502" spans="1:16">
      <c r="A502" s="468"/>
      <c r="B502" s="86" t="s">
        <v>363</v>
      </c>
      <c r="C502" s="97">
        <v>45404</v>
      </c>
      <c r="D502" s="65">
        <v>45404</v>
      </c>
      <c r="E502" s="65">
        <v>45404</v>
      </c>
      <c r="F502" s="65">
        <v>45488</v>
      </c>
      <c r="G502" s="65">
        <v>45488</v>
      </c>
      <c r="H502" s="65">
        <v>45488</v>
      </c>
      <c r="I502" s="65">
        <v>45572</v>
      </c>
      <c r="J502" s="65">
        <v>45572</v>
      </c>
      <c r="K502" s="65">
        <v>45572</v>
      </c>
      <c r="L502" s="64">
        <v>45663</v>
      </c>
      <c r="M502" s="64">
        <v>45663</v>
      </c>
      <c r="N502" s="64">
        <v>45663</v>
      </c>
      <c r="O502" s="64">
        <v>45663</v>
      </c>
      <c r="P502" s="101"/>
    </row>
    <row r="503" spans="1:16">
      <c r="A503" s="501"/>
      <c r="B503" s="76" t="s">
        <v>377</v>
      </c>
      <c r="C503" s="73" t="s">
        <v>386</v>
      </c>
      <c r="D503" s="54" t="s">
        <v>386</v>
      </c>
      <c r="E503" s="54" t="s">
        <v>386</v>
      </c>
      <c r="F503" s="54" t="s">
        <v>385</v>
      </c>
      <c r="G503" s="54" t="s">
        <v>1566</v>
      </c>
      <c r="H503" s="54" t="s">
        <v>386</v>
      </c>
      <c r="I503" s="54" t="s">
        <v>1604</v>
      </c>
      <c r="J503" s="54" t="s">
        <v>1604</v>
      </c>
      <c r="K503" s="54" t="s">
        <v>1604</v>
      </c>
      <c r="L503" s="54" t="s">
        <v>385</v>
      </c>
      <c r="M503" s="54" t="s">
        <v>385</v>
      </c>
      <c r="N503" s="54" t="s">
        <v>385</v>
      </c>
      <c r="O503" s="66" t="s">
        <v>385</v>
      </c>
      <c r="P503" s="101"/>
    </row>
    <row r="504" spans="1:16">
      <c r="A504" s="467">
        <v>281</v>
      </c>
      <c r="B504" s="470" t="s">
        <v>583</v>
      </c>
      <c r="C504" s="479">
        <v>230</v>
      </c>
      <c r="D504" s="481">
        <v>230</v>
      </c>
      <c r="E504" s="481">
        <v>230</v>
      </c>
      <c r="F504" s="481">
        <v>230</v>
      </c>
      <c r="G504" s="481">
        <v>230</v>
      </c>
      <c r="H504" s="481">
        <v>230</v>
      </c>
      <c r="I504" s="481">
        <v>230</v>
      </c>
      <c r="J504" s="481">
        <v>230</v>
      </c>
      <c r="K504" s="486">
        <v>230</v>
      </c>
      <c r="L504" s="487">
        <v>230</v>
      </c>
      <c r="M504" s="486">
        <v>230</v>
      </c>
      <c r="N504" s="486"/>
      <c r="O504" s="487">
        <v>230</v>
      </c>
      <c r="P504" s="476">
        <f>SUM(C504:O505)</f>
        <v>2760</v>
      </c>
    </row>
    <row r="505" spans="1:16">
      <c r="A505" s="468"/>
      <c r="B505" s="471"/>
      <c r="C505" s="480"/>
      <c r="D505" s="482"/>
      <c r="E505" s="482"/>
      <c r="F505" s="482"/>
      <c r="G505" s="482"/>
      <c r="H505" s="482"/>
      <c r="I505" s="482"/>
      <c r="J505" s="482"/>
      <c r="K505" s="486"/>
      <c r="L505" s="488"/>
      <c r="M505" s="486"/>
      <c r="N505" s="486"/>
      <c r="O505" s="488"/>
      <c r="P505" s="445"/>
    </row>
    <row r="506" spans="1:16">
      <c r="A506" s="468"/>
      <c r="B506" s="76" t="s">
        <v>363</v>
      </c>
      <c r="C506" s="97">
        <v>45327</v>
      </c>
      <c r="D506" s="65">
        <v>45363</v>
      </c>
      <c r="E506" s="65">
        <v>45394</v>
      </c>
      <c r="F506" s="65">
        <v>45426</v>
      </c>
      <c r="G506" s="65">
        <v>45456</v>
      </c>
      <c r="H506" s="65">
        <v>45482</v>
      </c>
      <c r="I506" s="65">
        <v>45512</v>
      </c>
      <c r="J506" s="65">
        <v>45545</v>
      </c>
      <c r="K506" s="66">
        <v>45569</v>
      </c>
      <c r="L506" s="65">
        <v>45603</v>
      </c>
      <c r="M506" s="65">
        <v>45629</v>
      </c>
      <c r="N506" s="54"/>
      <c r="O506" s="64">
        <v>45667</v>
      </c>
      <c r="P506" s="101"/>
    </row>
    <row r="507" spans="1:16">
      <c r="A507" s="478"/>
      <c r="B507" s="87" t="s">
        <v>377</v>
      </c>
      <c r="C507" s="54" t="s">
        <v>386</v>
      </c>
      <c r="D507" s="54" t="s">
        <v>386</v>
      </c>
      <c r="E507" s="54" t="s">
        <v>386</v>
      </c>
      <c r="F507" s="54" t="s">
        <v>386</v>
      </c>
      <c r="G507" s="54" t="s">
        <v>368</v>
      </c>
      <c r="H507" s="54" t="s">
        <v>386</v>
      </c>
      <c r="I507" s="54" t="s">
        <v>386</v>
      </c>
      <c r="J507" s="54" t="s">
        <v>386</v>
      </c>
      <c r="K507" s="54" t="s">
        <v>386</v>
      </c>
      <c r="L507" s="54" t="s">
        <v>386</v>
      </c>
      <c r="M507" s="54" t="s">
        <v>386</v>
      </c>
      <c r="N507" s="54"/>
      <c r="O507" s="54" t="s">
        <v>386</v>
      </c>
      <c r="P507" s="101"/>
    </row>
    <row r="508" spans="1:16" ht="15" customHeight="1">
      <c r="A508" s="534">
        <v>282</v>
      </c>
      <c r="B508" s="470" t="s">
        <v>1580</v>
      </c>
      <c r="C508" s="495">
        <v>760</v>
      </c>
      <c r="D508" s="481"/>
      <c r="E508" s="481"/>
      <c r="F508" s="481"/>
      <c r="G508" s="481">
        <v>760</v>
      </c>
      <c r="H508" s="481">
        <v>760</v>
      </c>
      <c r="I508" s="481"/>
      <c r="J508" s="481"/>
      <c r="K508" s="481"/>
      <c r="L508" s="481"/>
      <c r="M508" s="482"/>
      <c r="N508" s="482"/>
      <c r="O508" s="491"/>
      <c r="P508" s="476">
        <f>SUM(C508:O509)</f>
        <v>2280</v>
      </c>
    </row>
    <row r="509" spans="1:16">
      <c r="A509" s="535"/>
      <c r="B509" s="471"/>
      <c r="C509" s="480"/>
      <c r="D509" s="482"/>
      <c r="E509" s="482"/>
      <c r="F509" s="482"/>
      <c r="G509" s="482"/>
      <c r="H509" s="482"/>
      <c r="I509" s="482"/>
      <c r="J509" s="482"/>
      <c r="K509" s="482"/>
      <c r="L509" s="482"/>
      <c r="M509" s="482"/>
      <c r="N509" s="482"/>
      <c r="O509" s="492"/>
      <c r="P509" s="445"/>
    </row>
    <row r="510" spans="1:16">
      <c r="A510" s="535"/>
      <c r="B510" s="76" t="s">
        <v>363</v>
      </c>
      <c r="C510" s="97">
        <v>45329</v>
      </c>
      <c r="D510" s="65"/>
      <c r="E510" s="65"/>
      <c r="F510" s="65"/>
      <c r="G510" s="65">
        <v>45447</v>
      </c>
      <c r="H510" s="65">
        <v>45477</v>
      </c>
      <c r="I510" s="65"/>
      <c r="J510" s="65"/>
      <c r="K510" s="65"/>
      <c r="L510" s="65"/>
      <c r="M510" s="54"/>
      <c r="N510" s="54"/>
      <c r="O510" s="54"/>
      <c r="P510" s="101"/>
    </row>
    <row r="511" spans="1:16">
      <c r="A511" s="546"/>
      <c r="B511" s="76" t="s">
        <v>377</v>
      </c>
      <c r="C511" s="73" t="s">
        <v>386</v>
      </c>
      <c r="D511" s="54"/>
      <c r="E511" s="54"/>
      <c r="F511" s="54"/>
      <c r="G511" s="54" t="s">
        <v>384</v>
      </c>
      <c r="H511" s="54" t="s">
        <v>386</v>
      </c>
      <c r="I511" s="54"/>
      <c r="J511" s="54"/>
      <c r="K511" s="54"/>
      <c r="L511" s="54"/>
      <c r="M511" s="54"/>
      <c r="N511" s="54"/>
      <c r="O511" s="54"/>
      <c r="P511" s="101"/>
    </row>
    <row r="512" spans="1:16">
      <c r="A512" s="467">
        <v>288</v>
      </c>
      <c r="B512" s="470" t="s">
        <v>120</v>
      </c>
      <c r="C512" s="479">
        <v>480</v>
      </c>
      <c r="D512" s="479">
        <v>480</v>
      </c>
      <c r="E512" s="479">
        <v>480</v>
      </c>
      <c r="F512" s="479">
        <v>480</v>
      </c>
      <c r="G512" s="481">
        <v>480</v>
      </c>
      <c r="H512" s="481">
        <v>480</v>
      </c>
      <c r="I512" s="481">
        <v>480</v>
      </c>
      <c r="J512" s="486">
        <v>480</v>
      </c>
      <c r="K512" s="486">
        <v>480</v>
      </c>
      <c r="L512" s="486">
        <v>480</v>
      </c>
      <c r="M512" s="486">
        <v>480</v>
      </c>
      <c r="N512" s="486">
        <v>480</v>
      </c>
      <c r="O512" s="487">
        <v>480</v>
      </c>
      <c r="P512" s="476">
        <f>SUM(C512:O513)</f>
        <v>6240</v>
      </c>
    </row>
    <row r="513" spans="1:16">
      <c r="A513" s="468"/>
      <c r="B513" s="471"/>
      <c r="C513" s="480"/>
      <c r="D513" s="480"/>
      <c r="E513" s="480"/>
      <c r="F513" s="480"/>
      <c r="G513" s="482"/>
      <c r="H513" s="482"/>
      <c r="I513" s="482"/>
      <c r="J513" s="486"/>
      <c r="K513" s="486"/>
      <c r="L513" s="486"/>
      <c r="M513" s="486"/>
      <c r="N513" s="486"/>
      <c r="O513" s="488"/>
      <c r="P513" s="445"/>
    </row>
    <row r="514" spans="1:16">
      <c r="A514" s="468"/>
      <c r="B514" s="86" t="s">
        <v>363</v>
      </c>
      <c r="C514" s="97">
        <v>45336</v>
      </c>
      <c r="D514" s="65">
        <v>45369</v>
      </c>
      <c r="E514" s="65">
        <v>45404</v>
      </c>
      <c r="F514" s="65">
        <v>45433</v>
      </c>
      <c r="G514" s="65">
        <v>45453</v>
      </c>
      <c r="H514" s="65">
        <v>45502</v>
      </c>
      <c r="I514" s="65">
        <v>45527</v>
      </c>
      <c r="J514" s="65">
        <v>45560</v>
      </c>
      <c r="K514" s="65">
        <v>45587</v>
      </c>
      <c r="L514" s="65">
        <v>45621</v>
      </c>
      <c r="M514" s="64">
        <v>45670</v>
      </c>
      <c r="N514" s="64">
        <v>45670</v>
      </c>
      <c r="O514" s="64">
        <v>45680</v>
      </c>
      <c r="P514" s="101"/>
    </row>
    <row r="515" spans="1:16">
      <c r="A515" s="501"/>
      <c r="B515" s="76" t="s">
        <v>377</v>
      </c>
      <c r="C515" s="73" t="s">
        <v>386</v>
      </c>
      <c r="D515" s="54" t="s">
        <v>386</v>
      </c>
      <c r="E515" s="54" t="s">
        <v>386</v>
      </c>
      <c r="F515" s="54" t="s">
        <v>386</v>
      </c>
      <c r="G515" s="54" t="s">
        <v>386</v>
      </c>
      <c r="H515" s="54" t="s">
        <v>386</v>
      </c>
      <c r="I515" s="54" t="s">
        <v>386</v>
      </c>
      <c r="J515" s="54" t="s">
        <v>386</v>
      </c>
      <c r="K515" s="54" t="s">
        <v>386</v>
      </c>
      <c r="L515" s="54" t="s">
        <v>386</v>
      </c>
      <c r="M515" s="54" t="s">
        <v>386</v>
      </c>
      <c r="N515" s="54" t="s">
        <v>386</v>
      </c>
      <c r="O515" s="54" t="s">
        <v>386</v>
      </c>
      <c r="P515" s="101"/>
    </row>
    <row r="516" spans="1:16" ht="15" customHeight="1">
      <c r="A516" s="467">
        <v>290</v>
      </c>
      <c r="B516" s="470" t="s">
        <v>1669</v>
      </c>
      <c r="C516" s="479">
        <v>390</v>
      </c>
      <c r="D516" s="481">
        <v>460</v>
      </c>
      <c r="E516" s="481">
        <v>460</v>
      </c>
      <c r="F516" s="486">
        <v>460</v>
      </c>
      <c r="G516" s="486">
        <v>460</v>
      </c>
      <c r="H516" s="486">
        <v>460</v>
      </c>
      <c r="I516" s="486">
        <v>460</v>
      </c>
      <c r="J516" s="486"/>
      <c r="K516" s="486">
        <v>460</v>
      </c>
      <c r="L516" s="486">
        <v>460</v>
      </c>
      <c r="M516" s="486">
        <v>460</v>
      </c>
      <c r="N516" s="486">
        <v>460</v>
      </c>
      <c r="O516" s="487">
        <v>460</v>
      </c>
      <c r="P516" s="476">
        <f>SUM(C516:O517)</f>
        <v>5450</v>
      </c>
    </row>
    <row r="517" spans="1:16" ht="21" customHeight="1">
      <c r="A517" s="468"/>
      <c r="B517" s="471"/>
      <c r="C517" s="480"/>
      <c r="D517" s="482"/>
      <c r="E517" s="482"/>
      <c r="F517" s="486"/>
      <c r="G517" s="486"/>
      <c r="H517" s="486"/>
      <c r="I517" s="486"/>
      <c r="J517" s="486"/>
      <c r="K517" s="486"/>
      <c r="L517" s="486"/>
      <c r="M517" s="486"/>
      <c r="N517" s="486"/>
      <c r="O517" s="488"/>
      <c r="P517" s="445"/>
    </row>
    <row r="518" spans="1:16">
      <c r="A518" s="468"/>
      <c r="B518" s="76" t="s">
        <v>363</v>
      </c>
      <c r="C518" s="97">
        <v>45328</v>
      </c>
      <c r="D518" s="65">
        <v>45336</v>
      </c>
      <c r="E518" s="65">
        <v>45370</v>
      </c>
      <c r="F518" s="65">
        <v>45426</v>
      </c>
      <c r="G518" s="65">
        <v>45426</v>
      </c>
      <c r="H518" s="65">
        <v>45461</v>
      </c>
      <c r="I518" s="65">
        <v>45488</v>
      </c>
      <c r="J518" s="65"/>
      <c r="K518" s="65">
        <v>45940</v>
      </c>
      <c r="L518" s="65">
        <v>45979</v>
      </c>
      <c r="M518" s="65">
        <v>46004</v>
      </c>
      <c r="N518" s="65">
        <v>46004</v>
      </c>
      <c r="O518" s="64">
        <v>45685</v>
      </c>
      <c r="P518" s="101"/>
    </row>
    <row r="519" spans="1:16">
      <c r="A519" s="478"/>
      <c r="B519" s="76" t="s">
        <v>377</v>
      </c>
      <c r="C519" s="73" t="s">
        <v>386</v>
      </c>
      <c r="D519" s="54" t="s">
        <v>371</v>
      </c>
      <c r="E519" s="54" t="s">
        <v>371</v>
      </c>
      <c r="F519" s="54" t="s">
        <v>384</v>
      </c>
      <c r="G519" s="54" t="s">
        <v>384</v>
      </c>
      <c r="H519" s="54" t="s">
        <v>384</v>
      </c>
      <c r="I519" s="54" t="s">
        <v>384</v>
      </c>
      <c r="J519" s="54"/>
      <c r="K519" s="54" t="s">
        <v>384</v>
      </c>
      <c r="L519" s="54" t="s">
        <v>384</v>
      </c>
      <c r="M519" s="54" t="s">
        <v>384</v>
      </c>
      <c r="N519" s="54" t="s">
        <v>384</v>
      </c>
      <c r="O519" s="54" t="s">
        <v>384</v>
      </c>
      <c r="P519" s="101"/>
    </row>
    <row r="520" spans="1:16" ht="15" customHeight="1">
      <c r="A520" s="467">
        <v>293</v>
      </c>
      <c r="B520" s="470" t="s">
        <v>354</v>
      </c>
      <c r="C520" s="499">
        <v>325</v>
      </c>
      <c r="D520" s="499">
        <v>325</v>
      </c>
      <c r="E520" s="499">
        <v>325</v>
      </c>
      <c r="F520" s="499"/>
      <c r="G520" s="499"/>
      <c r="H520" s="486"/>
      <c r="I520" s="486"/>
      <c r="J520" s="486"/>
      <c r="K520" s="486"/>
      <c r="L520" s="486"/>
      <c r="M520" s="486"/>
      <c r="N520" s="486"/>
      <c r="O520" s="487"/>
      <c r="P520" s="476">
        <f>SUM(C520:O521)</f>
        <v>975</v>
      </c>
    </row>
    <row r="521" spans="1:16">
      <c r="A521" s="468"/>
      <c r="B521" s="471"/>
      <c r="C521" s="499"/>
      <c r="D521" s="499"/>
      <c r="E521" s="499"/>
      <c r="F521" s="499"/>
      <c r="G521" s="499"/>
      <c r="H521" s="486"/>
      <c r="I521" s="486"/>
      <c r="J521" s="486"/>
      <c r="K521" s="486"/>
      <c r="L521" s="486"/>
      <c r="M521" s="486"/>
      <c r="N521" s="486"/>
      <c r="O521" s="488"/>
      <c r="P521" s="445"/>
    </row>
    <row r="522" spans="1:16">
      <c r="A522" s="468"/>
      <c r="B522" s="76" t="s">
        <v>363</v>
      </c>
      <c r="C522" s="72">
        <v>45922</v>
      </c>
      <c r="D522" s="64">
        <v>45922</v>
      </c>
      <c r="E522" s="64">
        <v>45922</v>
      </c>
      <c r="F522" s="421"/>
      <c r="G522" s="421"/>
      <c r="H522" s="421"/>
      <c r="I522" s="421"/>
      <c r="J522" s="421"/>
      <c r="K522" s="421"/>
      <c r="L522" s="421"/>
      <c r="M522" s="421"/>
      <c r="N522" s="421"/>
      <c r="O522" s="421"/>
      <c r="P522" s="101"/>
    </row>
    <row r="523" spans="1:16">
      <c r="A523" s="478"/>
      <c r="B523" s="77" t="s">
        <v>377</v>
      </c>
      <c r="C523" s="423" t="s">
        <v>384</v>
      </c>
      <c r="D523" s="421" t="s">
        <v>384</v>
      </c>
      <c r="E523" s="421" t="s">
        <v>384</v>
      </c>
      <c r="F523" s="421"/>
      <c r="G523" s="421"/>
      <c r="H523" s="421"/>
      <c r="I523" s="421"/>
      <c r="J523" s="421"/>
      <c r="K523" s="421"/>
      <c r="L523" s="421"/>
      <c r="M523" s="421"/>
      <c r="N523" s="421"/>
      <c r="O523" s="421"/>
      <c r="P523" s="101"/>
    </row>
    <row r="524" spans="1:16" ht="15" customHeight="1">
      <c r="A524" s="467">
        <v>296</v>
      </c>
      <c r="B524" s="470" t="s">
        <v>355</v>
      </c>
      <c r="C524" s="479">
        <v>350</v>
      </c>
      <c r="D524" s="481">
        <v>350</v>
      </c>
      <c r="E524" s="481">
        <v>350</v>
      </c>
      <c r="F524" s="481">
        <v>350</v>
      </c>
      <c r="G524" s="481">
        <v>350</v>
      </c>
      <c r="H524" s="481">
        <v>350</v>
      </c>
      <c r="I524" s="486">
        <v>350</v>
      </c>
      <c r="J524" s="486">
        <v>350</v>
      </c>
      <c r="K524" s="486">
        <v>350</v>
      </c>
      <c r="L524" s="486">
        <v>350</v>
      </c>
      <c r="M524" s="486">
        <v>350</v>
      </c>
      <c r="N524" s="486"/>
      <c r="O524" s="487"/>
      <c r="P524" s="476">
        <f>SUM(C524:O525)</f>
        <v>3850</v>
      </c>
    </row>
    <row r="525" spans="1:16">
      <c r="A525" s="468"/>
      <c r="B525" s="471"/>
      <c r="C525" s="480"/>
      <c r="D525" s="482"/>
      <c r="E525" s="482"/>
      <c r="F525" s="482"/>
      <c r="G525" s="482"/>
      <c r="H525" s="482"/>
      <c r="I525" s="486"/>
      <c r="J525" s="486"/>
      <c r="K525" s="486"/>
      <c r="L525" s="486"/>
      <c r="M525" s="486"/>
      <c r="N525" s="486"/>
      <c r="O525" s="488"/>
      <c r="P525" s="445"/>
    </row>
    <row r="526" spans="1:16">
      <c r="A526" s="468"/>
      <c r="B526" s="86" t="s">
        <v>363</v>
      </c>
      <c r="C526" s="97">
        <v>45369</v>
      </c>
      <c r="D526" s="65">
        <v>45369</v>
      </c>
      <c r="E526" s="65">
        <v>45426</v>
      </c>
      <c r="F526" s="65">
        <v>45488</v>
      </c>
      <c r="G526" s="65">
        <v>45488</v>
      </c>
      <c r="H526" s="65">
        <v>45488</v>
      </c>
      <c r="I526" s="65">
        <v>45551</v>
      </c>
      <c r="J526" s="65">
        <v>45551</v>
      </c>
      <c r="K526" s="65">
        <v>45579</v>
      </c>
      <c r="L526" s="65">
        <v>45608</v>
      </c>
      <c r="M526" s="65">
        <v>45635</v>
      </c>
      <c r="N526" s="54"/>
      <c r="O526" s="54"/>
      <c r="P526" s="101"/>
    </row>
    <row r="527" spans="1:16">
      <c r="A527" s="478"/>
      <c r="B527" s="76" t="s">
        <v>377</v>
      </c>
      <c r="C527" s="73" t="s">
        <v>386</v>
      </c>
      <c r="D527" s="54" t="s">
        <v>386</v>
      </c>
      <c r="E527" s="54" t="s">
        <v>386</v>
      </c>
      <c r="F527" s="54" t="s">
        <v>386</v>
      </c>
      <c r="G527" s="54" t="s">
        <v>386</v>
      </c>
      <c r="H527" s="54" t="s">
        <v>386</v>
      </c>
      <c r="I527" s="54" t="s">
        <v>386</v>
      </c>
      <c r="J527" s="54" t="s">
        <v>386</v>
      </c>
      <c r="K527" s="54" t="s">
        <v>386</v>
      </c>
      <c r="L527" s="54" t="s">
        <v>386</v>
      </c>
      <c r="M527" s="54" t="s">
        <v>386</v>
      </c>
      <c r="N527" s="54"/>
      <c r="O527" s="54"/>
      <c r="P527" s="101"/>
    </row>
    <row r="528" spans="1:16" ht="15" customHeight="1">
      <c r="A528" s="467">
        <v>297</v>
      </c>
      <c r="B528" s="470" t="s">
        <v>142</v>
      </c>
      <c r="C528" s="479">
        <v>320</v>
      </c>
      <c r="D528" s="481">
        <v>320</v>
      </c>
      <c r="E528" s="481">
        <v>320</v>
      </c>
      <c r="F528" s="481">
        <v>320</v>
      </c>
      <c r="G528" s="481">
        <v>320</v>
      </c>
      <c r="H528" s="481">
        <v>320</v>
      </c>
      <c r="I528" s="481"/>
      <c r="J528" s="481">
        <v>320</v>
      </c>
      <c r="K528" s="486">
        <v>320</v>
      </c>
      <c r="L528" s="486">
        <v>320</v>
      </c>
      <c r="M528" s="486">
        <v>320</v>
      </c>
      <c r="N528" s="486">
        <v>320</v>
      </c>
      <c r="O528" s="487">
        <v>320</v>
      </c>
      <c r="P528" s="476">
        <f>SUM(C528:O529)</f>
        <v>3840</v>
      </c>
    </row>
    <row r="529" spans="1:16">
      <c r="A529" s="468"/>
      <c r="B529" s="471"/>
      <c r="C529" s="480"/>
      <c r="D529" s="482"/>
      <c r="E529" s="482"/>
      <c r="F529" s="482"/>
      <c r="G529" s="482"/>
      <c r="H529" s="482"/>
      <c r="I529" s="482"/>
      <c r="J529" s="482"/>
      <c r="K529" s="486"/>
      <c r="L529" s="486"/>
      <c r="M529" s="486"/>
      <c r="N529" s="486"/>
      <c r="O529" s="488"/>
      <c r="P529" s="445"/>
    </row>
    <row r="530" spans="1:16">
      <c r="A530" s="468"/>
      <c r="B530" s="74" t="s">
        <v>363</v>
      </c>
      <c r="C530" s="97">
        <v>45336</v>
      </c>
      <c r="D530" s="65">
        <v>45357</v>
      </c>
      <c r="E530" s="65">
        <v>45387</v>
      </c>
      <c r="F530" s="65">
        <v>45421</v>
      </c>
      <c r="G530" s="65">
        <v>45454</v>
      </c>
      <c r="H530" s="65">
        <v>45483</v>
      </c>
      <c r="I530" s="65"/>
      <c r="J530" s="65">
        <v>45910</v>
      </c>
      <c r="K530" s="65">
        <v>45933</v>
      </c>
      <c r="L530" s="65">
        <v>45967</v>
      </c>
      <c r="M530" s="65">
        <v>45996</v>
      </c>
      <c r="N530" s="65">
        <v>45996</v>
      </c>
      <c r="O530" s="64">
        <v>45671</v>
      </c>
      <c r="P530" s="101"/>
    </row>
    <row r="531" spans="1:16">
      <c r="A531" s="501"/>
      <c r="B531" s="85" t="s">
        <v>377</v>
      </c>
      <c r="C531" s="73" t="s">
        <v>371</v>
      </c>
      <c r="D531" s="54" t="s">
        <v>384</v>
      </c>
      <c r="E531" s="54" t="s">
        <v>371</v>
      </c>
      <c r="F531" s="54" t="s">
        <v>371</v>
      </c>
      <c r="G531" s="54" t="s">
        <v>384</v>
      </c>
      <c r="H531" s="54" t="s">
        <v>384</v>
      </c>
      <c r="I531" s="54"/>
      <c r="J531" s="54" t="s">
        <v>384</v>
      </c>
      <c r="K531" s="54" t="s">
        <v>384</v>
      </c>
      <c r="L531" s="54" t="s">
        <v>384</v>
      </c>
      <c r="M531" s="54" t="s">
        <v>384</v>
      </c>
      <c r="N531" s="54" t="s">
        <v>384</v>
      </c>
      <c r="O531" s="54" t="s">
        <v>384</v>
      </c>
      <c r="P531" s="101"/>
    </row>
    <row r="532" spans="1:16">
      <c r="A532" s="467">
        <v>298</v>
      </c>
      <c r="B532" s="470" t="s">
        <v>269</v>
      </c>
      <c r="C532" s="479">
        <v>560</v>
      </c>
      <c r="D532" s="479">
        <v>560</v>
      </c>
      <c r="E532" s="479">
        <v>560</v>
      </c>
      <c r="F532" s="481"/>
      <c r="G532" s="481">
        <v>560</v>
      </c>
      <c r="H532" s="481">
        <v>560</v>
      </c>
      <c r="I532" s="482"/>
      <c r="J532" s="481">
        <v>560</v>
      </c>
      <c r="K532" s="481">
        <v>560</v>
      </c>
      <c r="L532" s="486">
        <v>560</v>
      </c>
      <c r="M532" s="486">
        <v>560</v>
      </c>
      <c r="N532" s="486">
        <v>560</v>
      </c>
      <c r="O532" s="487"/>
      <c r="P532" s="476">
        <f>SUM(C532:O533)</f>
        <v>5600</v>
      </c>
    </row>
    <row r="533" spans="1:16">
      <c r="A533" s="468"/>
      <c r="B533" s="471"/>
      <c r="C533" s="480"/>
      <c r="D533" s="480"/>
      <c r="E533" s="480"/>
      <c r="F533" s="482"/>
      <c r="G533" s="482"/>
      <c r="H533" s="482"/>
      <c r="I533" s="482"/>
      <c r="J533" s="482"/>
      <c r="K533" s="482"/>
      <c r="L533" s="486"/>
      <c r="M533" s="486"/>
      <c r="N533" s="486"/>
      <c r="O533" s="488"/>
      <c r="P533" s="445"/>
    </row>
    <row r="534" spans="1:16">
      <c r="A534" s="468"/>
      <c r="B534" s="86" t="s">
        <v>363</v>
      </c>
      <c r="C534" s="97">
        <v>45341</v>
      </c>
      <c r="D534" s="65">
        <v>45365</v>
      </c>
      <c r="E534" s="65">
        <v>45397</v>
      </c>
      <c r="F534" s="65"/>
      <c r="G534" s="65">
        <v>45456</v>
      </c>
      <c r="H534" s="65">
        <v>45488</v>
      </c>
      <c r="I534" s="65">
        <v>45519</v>
      </c>
      <c r="J534" s="65">
        <v>45516</v>
      </c>
      <c r="K534" s="65">
        <v>45576</v>
      </c>
      <c r="L534" s="65">
        <v>45610</v>
      </c>
      <c r="M534" s="65">
        <v>46008</v>
      </c>
      <c r="N534" s="65">
        <v>46008</v>
      </c>
      <c r="O534" s="54"/>
      <c r="P534" s="101"/>
    </row>
    <row r="535" spans="1:16">
      <c r="A535" s="478"/>
      <c r="B535" s="76" t="s">
        <v>377</v>
      </c>
      <c r="C535" s="73" t="s">
        <v>386</v>
      </c>
      <c r="D535" s="54" t="s">
        <v>386</v>
      </c>
      <c r="E535" s="54" t="s">
        <v>386</v>
      </c>
      <c r="F535" s="54"/>
      <c r="G535" s="54" t="s">
        <v>368</v>
      </c>
      <c r="H535" s="54" t="s">
        <v>386</v>
      </c>
      <c r="I535" s="54" t="s">
        <v>386</v>
      </c>
      <c r="J535" s="54" t="s">
        <v>386</v>
      </c>
      <c r="K535" s="54" t="s">
        <v>386</v>
      </c>
      <c r="L535" s="54" t="s">
        <v>386</v>
      </c>
      <c r="M535" s="54" t="s">
        <v>384</v>
      </c>
      <c r="N535" s="54" t="s">
        <v>384</v>
      </c>
      <c r="O535" s="54"/>
      <c r="P535" s="101"/>
    </row>
    <row r="536" spans="1:16">
      <c r="A536" s="530">
        <v>314</v>
      </c>
      <c r="B536" s="489" t="s">
        <v>791</v>
      </c>
      <c r="C536" s="483">
        <v>230</v>
      </c>
      <c r="D536" s="483">
        <v>230</v>
      </c>
      <c r="E536" s="483">
        <v>230</v>
      </c>
      <c r="F536" s="483">
        <v>230</v>
      </c>
      <c r="G536" s="483">
        <v>230</v>
      </c>
      <c r="H536" s="483">
        <v>230</v>
      </c>
      <c r="I536" s="483">
        <v>230</v>
      </c>
      <c r="J536" s="483">
        <v>230</v>
      </c>
      <c r="K536" s="483">
        <v>230</v>
      </c>
      <c r="L536" s="487">
        <v>260</v>
      </c>
      <c r="M536" s="487"/>
      <c r="N536" s="487"/>
      <c r="O536" s="487">
        <v>230</v>
      </c>
      <c r="P536" s="476">
        <f>SUM(C536:O537)</f>
        <v>2560</v>
      </c>
    </row>
    <row r="537" spans="1:16">
      <c r="A537" s="531"/>
      <c r="B537" s="490"/>
      <c r="C537" s="492"/>
      <c r="D537" s="492"/>
      <c r="E537" s="492"/>
      <c r="F537" s="492"/>
      <c r="G537" s="492"/>
      <c r="H537" s="492"/>
      <c r="I537" s="492"/>
      <c r="J537" s="492"/>
      <c r="K537" s="492"/>
      <c r="L537" s="488"/>
      <c r="M537" s="488"/>
      <c r="N537" s="488"/>
      <c r="O537" s="488"/>
      <c r="P537" s="445"/>
    </row>
    <row r="538" spans="1:16">
      <c r="A538" s="531"/>
      <c r="B538" s="81" t="s">
        <v>363</v>
      </c>
      <c r="C538" s="97">
        <v>45337</v>
      </c>
      <c r="D538" s="65">
        <v>45362</v>
      </c>
      <c r="E538" s="65">
        <v>45392</v>
      </c>
      <c r="F538" s="65">
        <v>45427</v>
      </c>
      <c r="G538" s="65">
        <v>45462</v>
      </c>
      <c r="H538" s="65">
        <v>45491</v>
      </c>
      <c r="I538" s="65">
        <v>45516</v>
      </c>
      <c r="J538" s="65">
        <v>45555</v>
      </c>
      <c r="K538" s="65">
        <v>45583</v>
      </c>
      <c r="L538" s="65">
        <v>45642</v>
      </c>
      <c r="M538" s="54"/>
      <c r="N538" s="54"/>
      <c r="O538" s="64">
        <v>45670</v>
      </c>
      <c r="P538" s="101"/>
    </row>
    <row r="539" spans="1:16">
      <c r="A539" s="532"/>
      <c r="B539" s="81" t="s">
        <v>377</v>
      </c>
      <c r="C539" s="73" t="s">
        <v>386</v>
      </c>
      <c r="D539" s="54" t="s">
        <v>386</v>
      </c>
      <c r="E539" s="54" t="s">
        <v>386</v>
      </c>
      <c r="F539" s="54" t="s">
        <v>386</v>
      </c>
      <c r="G539" s="65" t="s">
        <v>368</v>
      </c>
      <c r="H539" s="54" t="s">
        <v>386</v>
      </c>
      <c r="I539" s="54" t="s">
        <v>386</v>
      </c>
      <c r="J539" s="54" t="s">
        <v>386</v>
      </c>
      <c r="K539" s="54" t="s">
        <v>386</v>
      </c>
      <c r="L539" s="54" t="s">
        <v>386</v>
      </c>
      <c r="M539" s="54"/>
      <c r="N539" s="54"/>
      <c r="O539" s="54" t="s">
        <v>386</v>
      </c>
      <c r="P539" s="101"/>
    </row>
    <row r="540" spans="1:16" ht="15" customHeight="1">
      <c r="A540" s="485">
        <v>315</v>
      </c>
      <c r="B540" s="470" t="s">
        <v>356</v>
      </c>
      <c r="C540" s="528">
        <v>320</v>
      </c>
      <c r="D540" s="481">
        <v>320</v>
      </c>
      <c r="E540" s="481">
        <v>320</v>
      </c>
      <c r="F540" s="481">
        <v>320</v>
      </c>
      <c r="G540" s="486">
        <v>320</v>
      </c>
      <c r="H540" s="486">
        <v>320</v>
      </c>
      <c r="I540" s="486">
        <v>320</v>
      </c>
      <c r="J540" s="486">
        <v>320</v>
      </c>
      <c r="K540" s="486">
        <v>320</v>
      </c>
      <c r="L540" s="486">
        <v>320</v>
      </c>
      <c r="M540" s="486">
        <v>320</v>
      </c>
      <c r="N540" s="486">
        <v>320</v>
      </c>
      <c r="O540" s="487">
        <v>320</v>
      </c>
      <c r="P540" s="476">
        <f>SUM(C540:O541)</f>
        <v>4160</v>
      </c>
    </row>
    <row r="541" spans="1:16">
      <c r="A541" s="468"/>
      <c r="B541" s="471"/>
      <c r="C541" s="529"/>
      <c r="D541" s="482"/>
      <c r="E541" s="482"/>
      <c r="F541" s="482"/>
      <c r="G541" s="486"/>
      <c r="H541" s="486"/>
      <c r="I541" s="486"/>
      <c r="J541" s="486"/>
      <c r="K541" s="486"/>
      <c r="L541" s="486"/>
      <c r="M541" s="486"/>
      <c r="N541" s="486"/>
      <c r="O541" s="488"/>
      <c r="P541" s="445"/>
    </row>
    <row r="542" spans="1:16">
      <c r="A542" s="468"/>
      <c r="B542" s="86" t="s">
        <v>363</v>
      </c>
      <c r="C542" s="97">
        <v>45457</v>
      </c>
      <c r="D542" s="65">
        <v>45583</v>
      </c>
      <c r="E542" s="65">
        <v>45457</v>
      </c>
      <c r="F542" s="66">
        <v>45457</v>
      </c>
      <c r="G542" s="65">
        <v>45583</v>
      </c>
      <c r="H542" s="65">
        <v>45583</v>
      </c>
      <c r="I542" s="65">
        <v>45583</v>
      </c>
      <c r="J542" s="65">
        <v>45621</v>
      </c>
      <c r="K542" s="65">
        <v>45621</v>
      </c>
      <c r="L542" s="65">
        <v>45621</v>
      </c>
      <c r="M542" s="64">
        <v>45748</v>
      </c>
      <c r="N542" s="64">
        <v>45748</v>
      </c>
      <c r="O542" s="64">
        <v>45748</v>
      </c>
      <c r="P542" s="101"/>
    </row>
    <row r="543" spans="1:16">
      <c r="A543" s="478"/>
      <c r="B543" s="76" t="s">
        <v>377</v>
      </c>
      <c r="C543" s="73" t="s">
        <v>386</v>
      </c>
      <c r="D543" s="64" t="s">
        <v>1606</v>
      </c>
      <c r="E543" s="54" t="s">
        <v>386</v>
      </c>
      <c r="F543" s="54" t="s">
        <v>386</v>
      </c>
      <c r="G543" s="54" t="s">
        <v>385</v>
      </c>
      <c r="H543" s="54" t="s">
        <v>385</v>
      </c>
      <c r="I543" s="54" t="s">
        <v>385</v>
      </c>
      <c r="J543" s="54" t="s">
        <v>385</v>
      </c>
      <c r="K543" s="54" t="s">
        <v>385</v>
      </c>
      <c r="L543" s="54" t="s">
        <v>385</v>
      </c>
      <c r="M543" s="54" t="s">
        <v>386</v>
      </c>
      <c r="N543" s="54" t="s">
        <v>386</v>
      </c>
      <c r="O543" s="54" t="s">
        <v>386</v>
      </c>
      <c r="P543" s="101"/>
    </row>
    <row r="544" spans="1:16" ht="15" customHeight="1">
      <c r="A544" s="485">
        <v>319</v>
      </c>
      <c r="B544" s="470" t="s">
        <v>357</v>
      </c>
      <c r="C544" s="479">
        <v>300</v>
      </c>
      <c r="D544" s="479">
        <v>300</v>
      </c>
      <c r="E544" s="479">
        <v>300</v>
      </c>
      <c r="F544" s="479">
        <v>300</v>
      </c>
      <c r="G544" s="481">
        <v>300</v>
      </c>
      <c r="H544" s="481">
        <v>300</v>
      </c>
      <c r="I544" s="481">
        <v>300</v>
      </c>
      <c r="J544" s="481">
        <v>300</v>
      </c>
      <c r="K544" s="486">
        <v>300</v>
      </c>
      <c r="L544" s="486">
        <v>300</v>
      </c>
      <c r="M544" s="486">
        <v>300</v>
      </c>
      <c r="N544" s="486"/>
      <c r="O544" s="487">
        <v>300</v>
      </c>
      <c r="P544" s="476">
        <f>SUM(C544:O545)</f>
        <v>3600</v>
      </c>
    </row>
    <row r="545" spans="1:16">
      <c r="A545" s="468"/>
      <c r="B545" s="471"/>
      <c r="C545" s="480"/>
      <c r="D545" s="480"/>
      <c r="E545" s="480"/>
      <c r="F545" s="480"/>
      <c r="G545" s="482"/>
      <c r="H545" s="482"/>
      <c r="I545" s="482"/>
      <c r="J545" s="482"/>
      <c r="K545" s="486"/>
      <c r="L545" s="486"/>
      <c r="M545" s="486"/>
      <c r="N545" s="486"/>
      <c r="O545" s="488"/>
      <c r="P545" s="445"/>
    </row>
    <row r="546" spans="1:16">
      <c r="A546" s="468"/>
      <c r="B546" s="86" t="s">
        <v>363</v>
      </c>
      <c r="C546" s="97">
        <v>45324</v>
      </c>
      <c r="D546" s="65">
        <v>45349</v>
      </c>
      <c r="E546" s="65">
        <v>45369</v>
      </c>
      <c r="F546" s="65">
        <v>45425</v>
      </c>
      <c r="G546" s="65">
        <v>45425</v>
      </c>
      <c r="H546" s="65">
        <v>45460</v>
      </c>
      <c r="I546" s="65">
        <v>45490</v>
      </c>
      <c r="J546" s="65">
        <v>45546</v>
      </c>
      <c r="K546" s="65">
        <v>45934</v>
      </c>
      <c r="L546" s="65">
        <v>45609</v>
      </c>
      <c r="M546" s="65">
        <v>45665</v>
      </c>
      <c r="N546" s="54"/>
      <c r="O546" s="64">
        <v>45665</v>
      </c>
      <c r="P546" s="101"/>
    </row>
    <row r="547" spans="1:16">
      <c r="A547" s="501"/>
      <c r="B547" s="76" t="s">
        <v>377</v>
      </c>
      <c r="C547" s="73" t="s">
        <v>386</v>
      </c>
      <c r="D547" s="54" t="s">
        <v>386</v>
      </c>
      <c r="E547" s="54" t="s">
        <v>384</v>
      </c>
      <c r="F547" s="54" t="s">
        <v>384</v>
      </c>
      <c r="G547" s="54" t="s">
        <v>384</v>
      </c>
      <c r="H547" s="54" t="s">
        <v>384</v>
      </c>
      <c r="I547" s="54" t="s">
        <v>384</v>
      </c>
      <c r="J547" s="54" t="s">
        <v>384</v>
      </c>
      <c r="K547" s="54" t="s">
        <v>384</v>
      </c>
      <c r="L547" s="54" t="s">
        <v>384</v>
      </c>
      <c r="M547" s="54" t="s">
        <v>384</v>
      </c>
      <c r="N547" s="54"/>
      <c r="O547" s="54" t="s">
        <v>384</v>
      </c>
      <c r="P547" s="101"/>
    </row>
    <row r="548" spans="1:16" ht="15" customHeight="1">
      <c r="A548" s="467">
        <v>338</v>
      </c>
      <c r="B548" s="470" t="s">
        <v>358</v>
      </c>
      <c r="C548" s="479"/>
      <c r="D548" s="482"/>
      <c r="E548" s="481"/>
      <c r="F548" s="481"/>
      <c r="G548" s="481"/>
      <c r="H548" s="482" t="s">
        <v>998</v>
      </c>
      <c r="I548" s="482" t="s">
        <v>998</v>
      </c>
      <c r="J548" s="482"/>
      <c r="K548" s="482" t="s">
        <v>998</v>
      </c>
      <c r="L548" s="482" t="s">
        <v>998</v>
      </c>
      <c r="M548" s="482" t="s">
        <v>998</v>
      </c>
      <c r="N548" s="482" t="s">
        <v>998</v>
      </c>
      <c r="O548" s="491" t="s">
        <v>998</v>
      </c>
      <c r="P548" s="476">
        <f>SUM(C548:O549)</f>
        <v>0</v>
      </c>
    </row>
    <row r="549" spans="1:16">
      <c r="A549" s="468"/>
      <c r="B549" s="471"/>
      <c r="C549" s="480"/>
      <c r="D549" s="482"/>
      <c r="E549" s="482"/>
      <c r="F549" s="482"/>
      <c r="G549" s="482"/>
      <c r="H549" s="482"/>
      <c r="I549" s="482"/>
      <c r="J549" s="482"/>
      <c r="K549" s="482"/>
      <c r="L549" s="482"/>
      <c r="M549" s="482"/>
      <c r="N549" s="482"/>
      <c r="O549" s="492"/>
      <c r="P549" s="445"/>
    </row>
    <row r="550" spans="1:16">
      <c r="A550" s="468"/>
      <c r="B550" s="86" t="s">
        <v>363</v>
      </c>
      <c r="C550" s="97"/>
      <c r="D550" s="54"/>
      <c r="E550" s="65"/>
      <c r="F550" s="65"/>
      <c r="G550" s="65"/>
      <c r="H550" s="54" t="s">
        <v>998</v>
      </c>
      <c r="I550" s="54" t="s">
        <v>998</v>
      </c>
      <c r="J550" s="54" t="s">
        <v>998</v>
      </c>
      <c r="K550" s="54" t="s">
        <v>998</v>
      </c>
      <c r="L550" s="54" t="s">
        <v>998</v>
      </c>
      <c r="M550" s="54" t="s">
        <v>998</v>
      </c>
      <c r="N550" s="54" t="s">
        <v>998</v>
      </c>
      <c r="O550" s="54" t="s">
        <v>998</v>
      </c>
      <c r="P550" s="101"/>
    </row>
    <row r="551" spans="1:16">
      <c r="A551" s="501"/>
      <c r="B551" s="76" t="s">
        <v>377</v>
      </c>
      <c r="C551" s="73"/>
      <c r="D551" s="54"/>
      <c r="E551" s="54"/>
      <c r="F551" s="54"/>
      <c r="G551" s="54"/>
      <c r="H551" s="54" t="s">
        <v>998</v>
      </c>
      <c r="I551" s="54" t="s">
        <v>998</v>
      </c>
      <c r="J551" s="54" t="s">
        <v>998</v>
      </c>
      <c r="K551" s="54" t="s">
        <v>998</v>
      </c>
      <c r="L551" s="54" t="s">
        <v>998</v>
      </c>
      <c r="M551" s="54" t="s">
        <v>998</v>
      </c>
      <c r="N551" s="54" t="s">
        <v>998</v>
      </c>
      <c r="O551" s="54" t="s">
        <v>998</v>
      </c>
      <c r="P551" s="101"/>
    </row>
    <row r="552" spans="1:16" ht="15" customHeight="1">
      <c r="A552" s="467">
        <v>344</v>
      </c>
      <c r="B552" s="470" t="s">
        <v>273</v>
      </c>
      <c r="C552" s="479">
        <v>485</v>
      </c>
      <c r="D552" s="481">
        <v>485</v>
      </c>
      <c r="E552" s="481">
        <v>485</v>
      </c>
      <c r="F552" s="481">
        <v>485</v>
      </c>
      <c r="G552" s="481">
        <v>485</v>
      </c>
      <c r="H552" s="481">
        <v>485</v>
      </c>
      <c r="I552" s="481">
        <v>485</v>
      </c>
      <c r="J552" s="481">
        <v>485</v>
      </c>
      <c r="K552" s="481">
        <v>485</v>
      </c>
      <c r="L552" s="486">
        <v>485</v>
      </c>
      <c r="M552" s="486">
        <v>485</v>
      </c>
      <c r="N552" s="486">
        <v>485</v>
      </c>
      <c r="O552" s="487">
        <v>485</v>
      </c>
      <c r="P552" s="476">
        <f>SUM(C552:O553)</f>
        <v>6305</v>
      </c>
    </row>
    <row r="553" spans="1:16">
      <c r="A553" s="468"/>
      <c r="B553" s="496"/>
      <c r="C553" s="480"/>
      <c r="D553" s="482"/>
      <c r="E553" s="482"/>
      <c r="F553" s="482"/>
      <c r="G553" s="482"/>
      <c r="H553" s="482"/>
      <c r="I553" s="482"/>
      <c r="J553" s="482"/>
      <c r="K553" s="482"/>
      <c r="L553" s="486"/>
      <c r="M553" s="486"/>
      <c r="N553" s="486"/>
      <c r="O553" s="488"/>
      <c r="P553" s="445"/>
    </row>
    <row r="554" spans="1:16">
      <c r="A554" s="468"/>
      <c r="B554" s="86" t="s">
        <v>363</v>
      </c>
      <c r="C554" s="97">
        <v>45330</v>
      </c>
      <c r="D554" s="65">
        <v>45358</v>
      </c>
      <c r="E554" s="65">
        <v>45390</v>
      </c>
      <c r="F554" s="65">
        <v>45418</v>
      </c>
      <c r="G554" s="65">
        <v>45449</v>
      </c>
      <c r="H554" s="65">
        <v>45477</v>
      </c>
      <c r="I554" s="65">
        <v>45509</v>
      </c>
      <c r="J554" s="65">
        <v>45545</v>
      </c>
      <c r="K554" s="65">
        <v>45937</v>
      </c>
      <c r="L554" s="65">
        <v>45965</v>
      </c>
      <c r="M554" s="65">
        <v>45996</v>
      </c>
      <c r="N554" s="65">
        <v>45996</v>
      </c>
      <c r="O554" s="64">
        <v>45666</v>
      </c>
      <c r="P554" s="101"/>
    </row>
    <row r="555" spans="1:16">
      <c r="A555" s="501"/>
      <c r="B555" s="76" t="s">
        <v>377</v>
      </c>
      <c r="C555" s="73" t="s">
        <v>384</v>
      </c>
      <c r="D555" s="54" t="s">
        <v>371</v>
      </c>
      <c r="E555" s="54" t="s">
        <v>371</v>
      </c>
      <c r="F555" s="54" t="s">
        <v>371</v>
      </c>
      <c r="G555" s="54" t="s">
        <v>384</v>
      </c>
      <c r="H555" s="54" t="s">
        <v>384</v>
      </c>
      <c r="I555" s="54" t="s">
        <v>384</v>
      </c>
      <c r="J555" s="54" t="s">
        <v>384</v>
      </c>
      <c r="K555" s="54" t="s">
        <v>384</v>
      </c>
      <c r="L555" s="54" t="s">
        <v>384</v>
      </c>
      <c r="M555" s="54" t="s">
        <v>384</v>
      </c>
      <c r="N555" s="54" t="s">
        <v>384</v>
      </c>
      <c r="O555" s="54" t="s">
        <v>384</v>
      </c>
      <c r="P555" s="101"/>
    </row>
    <row r="556" spans="1:16">
      <c r="A556" s="467">
        <v>352</v>
      </c>
      <c r="B556" s="470" t="s">
        <v>359</v>
      </c>
      <c r="C556" s="479"/>
      <c r="D556" s="481"/>
      <c r="E556" s="481"/>
      <c r="F556" s="481"/>
      <c r="G556" s="481"/>
      <c r="H556" s="481"/>
      <c r="I556" s="482"/>
      <c r="J556" s="482"/>
      <c r="K556" s="482"/>
      <c r="L556" s="482"/>
      <c r="M556" s="482"/>
      <c r="N556" s="482"/>
      <c r="O556" s="491"/>
      <c r="P556" s="476">
        <f>SUM(C556:O557)</f>
        <v>0</v>
      </c>
    </row>
    <row r="557" spans="1:16">
      <c r="A557" s="468"/>
      <c r="B557" s="471"/>
      <c r="C557" s="480"/>
      <c r="D557" s="482"/>
      <c r="E557" s="482"/>
      <c r="F557" s="482"/>
      <c r="G557" s="482"/>
      <c r="H557" s="482"/>
      <c r="I557" s="482"/>
      <c r="J557" s="482"/>
      <c r="K557" s="482"/>
      <c r="L557" s="482"/>
      <c r="M557" s="482"/>
      <c r="N557" s="482"/>
      <c r="O557" s="492"/>
      <c r="P557" s="445"/>
    </row>
    <row r="558" spans="1:16">
      <c r="A558" s="468"/>
      <c r="B558" s="87" t="s">
        <v>363</v>
      </c>
      <c r="C558" s="65"/>
      <c r="D558" s="65"/>
      <c r="E558" s="65"/>
      <c r="F558" s="54"/>
      <c r="G558" s="65"/>
      <c r="H558" s="65"/>
      <c r="I558" s="54"/>
      <c r="J558" s="54"/>
      <c r="K558" s="54"/>
      <c r="L558" s="54"/>
      <c r="M558" s="54"/>
      <c r="N558" s="54"/>
      <c r="O558" s="54"/>
      <c r="P558" s="101"/>
    </row>
    <row r="559" spans="1:16">
      <c r="A559" s="478"/>
      <c r="B559" s="84" t="s">
        <v>377</v>
      </c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101"/>
    </row>
    <row r="560" spans="1:16" ht="15" customHeight="1">
      <c r="A560" s="485">
        <v>451</v>
      </c>
      <c r="B560" s="470" t="s">
        <v>360</v>
      </c>
      <c r="C560" s="479">
        <v>135</v>
      </c>
      <c r="D560" s="482"/>
      <c r="E560" s="479">
        <v>135</v>
      </c>
      <c r="F560" s="481"/>
      <c r="G560" s="499">
        <v>135</v>
      </c>
      <c r="H560" s="486"/>
      <c r="I560" s="486">
        <v>240</v>
      </c>
      <c r="J560" s="486">
        <v>135</v>
      </c>
      <c r="K560" s="486"/>
      <c r="L560" s="486"/>
      <c r="M560" s="486"/>
      <c r="N560" s="486"/>
      <c r="O560" s="487">
        <v>135</v>
      </c>
      <c r="P560" s="476">
        <f>SUM(C560:O561)</f>
        <v>915</v>
      </c>
    </row>
    <row r="561" spans="1:16">
      <c r="A561" s="468"/>
      <c r="B561" s="471"/>
      <c r="C561" s="480"/>
      <c r="D561" s="482"/>
      <c r="E561" s="480"/>
      <c r="F561" s="482"/>
      <c r="G561" s="499"/>
      <c r="H561" s="486"/>
      <c r="I561" s="486"/>
      <c r="J561" s="486"/>
      <c r="K561" s="486"/>
      <c r="L561" s="486"/>
      <c r="M561" s="486"/>
      <c r="N561" s="486"/>
      <c r="O561" s="488"/>
      <c r="P561" s="445"/>
    </row>
    <row r="562" spans="1:16">
      <c r="A562" s="468"/>
      <c r="B562" s="76" t="s">
        <v>363</v>
      </c>
      <c r="C562" s="97">
        <v>45327</v>
      </c>
      <c r="D562" s="54"/>
      <c r="E562" s="65">
        <v>45391</v>
      </c>
      <c r="F562" s="65"/>
      <c r="G562" s="65">
        <v>45446</v>
      </c>
      <c r="H562" s="65"/>
      <c r="I562" s="65">
        <v>45510</v>
      </c>
      <c r="J562" s="65">
        <v>45512</v>
      </c>
      <c r="K562" s="65"/>
      <c r="L562" s="65"/>
      <c r="M562" s="65"/>
      <c r="N562" s="65"/>
      <c r="O562" s="64">
        <v>45663</v>
      </c>
      <c r="P562" s="101"/>
    </row>
    <row r="563" spans="1:16">
      <c r="A563" s="478"/>
      <c r="B563" s="77" t="s">
        <v>377</v>
      </c>
      <c r="C563" s="73" t="s">
        <v>386</v>
      </c>
      <c r="D563" s="54"/>
      <c r="E563" s="54" t="s">
        <v>386</v>
      </c>
      <c r="F563" s="54"/>
      <c r="G563" s="54" t="s">
        <v>386</v>
      </c>
      <c r="H563" s="54"/>
      <c r="I563" s="54" t="s">
        <v>386</v>
      </c>
      <c r="J563" s="54" t="s">
        <v>386</v>
      </c>
      <c r="K563" s="54"/>
      <c r="L563" s="54"/>
      <c r="M563" s="54"/>
      <c r="N563" s="54"/>
      <c r="O563" s="54" t="s">
        <v>386</v>
      </c>
      <c r="P563" s="101"/>
    </row>
    <row r="564" spans="1:16" ht="15" customHeight="1">
      <c r="A564" s="485">
        <v>483</v>
      </c>
      <c r="B564" s="470" t="s">
        <v>275</v>
      </c>
      <c r="C564" s="480"/>
      <c r="D564" s="482"/>
      <c r="E564" s="482"/>
      <c r="F564" s="482"/>
      <c r="G564" s="482"/>
      <c r="H564" s="482"/>
      <c r="I564" s="482"/>
      <c r="J564" s="482"/>
      <c r="K564" s="482"/>
      <c r="L564" s="482"/>
      <c r="M564" s="482"/>
      <c r="N564" s="482"/>
      <c r="O564" s="491"/>
      <c r="P564" s="476">
        <f>SUM(C564:O565)</f>
        <v>0</v>
      </c>
    </row>
    <row r="565" spans="1:16">
      <c r="A565" s="468"/>
      <c r="B565" s="471"/>
      <c r="C565" s="480"/>
      <c r="D565" s="482"/>
      <c r="E565" s="482"/>
      <c r="F565" s="482"/>
      <c r="G565" s="482"/>
      <c r="H565" s="482"/>
      <c r="I565" s="482"/>
      <c r="J565" s="482"/>
      <c r="K565" s="482"/>
      <c r="L565" s="482"/>
      <c r="M565" s="482"/>
      <c r="N565" s="482"/>
      <c r="O565" s="492"/>
      <c r="P565" s="445"/>
    </row>
    <row r="566" spans="1:16">
      <c r="A566" s="468"/>
      <c r="B566" s="86" t="s">
        <v>363</v>
      </c>
      <c r="C566" s="73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101"/>
    </row>
    <row r="567" spans="1:16">
      <c r="A567" s="501"/>
      <c r="B567" s="76" t="s">
        <v>377</v>
      </c>
      <c r="C567" s="73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101"/>
    </row>
    <row r="568" spans="1:16" ht="15" customHeight="1">
      <c r="A568" s="467">
        <v>513</v>
      </c>
      <c r="B568" s="470" t="s">
        <v>276</v>
      </c>
      <c r="C568" s="480"/>
      <c r="D568" s="482"/>
      <c r="E568" s="482"/>
      <c r="F568" s="482"/>
      <c r="G568" s="486"/>
      <c r="H568" s="486">
        <v>390</v>
      </c>
      <c r="I568" s="486">
        <v>390</v>
      </c>
      <c r="J568" s="486"/>
      <c r="K568" s="486"/>
      <c r="L568" s="486"/>
      <c r="M568" s="486"/>
      <c r="N568" s="482"/>
      <c r="O568" s="491"/>
      <c r="P568" s="476">
        <f>SUM(C568:O569)</f>
        <v>780</v>
      </c>
    </row>
    <row r="569" spans="1:16">
      <c r="A569" s="468"/>
      <c r="B569" s="471"/>
      <c r="C569" s="480"/>
      <c r="D569" s="482"/>
      <c r="E569" s="482"/>
      <c r="F569" s="482"/>
      <c r="G569" s="486"/>
      <c r="H569" s="486"/>
      <c r="I569" s="486"/>
      <c r="J569" s="486"/>
      <c r="K569" s="486"/>
      <c r="L569" s="486"/>
      <c r="M569" s="486"/>
      <c r="N569" s="482"/>
      <c r="O569" s="492"/>
      <c r="P569" s="445"/>
    </row>
    <row r="570" spans="1:16">
      <c r="A570" s="468"/>
      <c r="B570" s="86" t="s">
        <v>363</v>
      </c>
      <c r="C570" s="73"/>
      <c r="D570" s="54"/>
      <c r="E570" s="54"/>
      <c r="F570" s="54"/>
      <c r="G570" s="54"/>
      <c r="H570" s="65">
        <v>45519</v>
      </c>
      <c r="I570" s="65">
        <v>45519</v>
      </c>
      <c r="J570" s="54"/>
      <c r="K570" s="54"/>
      <c r="L570" s="54"/>
      <c r="M570" s="54"/>
      <c r="N570" s="54"/>
      <c r="O570" s="54"/>
      <c r="P570" s="101"/>
    </row>
    <row r="571" spans="1:16">
      <c r="A571" s="468"/>
      <c r="B571" s="76" t="s">
        <v>377</v>
      </c>
      <c r="C571" s="73"/>
      <c r="D571" s="54"/>
      <c r="E571" s="54"/>
      <c r="F571" s="54"/>
      <c r="G571" s="54"/>
      <c r="H571" s="54" t="s">
        <v>386</v>
      </c>
      <c r="I571" s="54" t="s">
        <v>386</v>
      </c>
      <c r="J571" s="54"/>
      <c r="K571" s="54"/>
      <c r="L571" s="54"/>
      <c r="M571" s="54"/>
      <c r="N571" s="54"/>
      <c r="O571" s="54"/>
      <c r="P571" s="101"/>
    </row>
    <row r="572" spans="1:16" ht="15" customHeight="1">
      <c r="A572" s="468">
        <v>605</v>
      </c>
      <c r="B572" s="470" t="s">
        <v>361</v>
      </c>
      <c r="C572" s="481">
        <v>260</v>
      </c>
      <c r="D572" s="482"/>
      <c r="E572" s="481">
        <v>260</v>
      </c>
      <c r="F572" s="481">
        <v>260</v>
      </c>
      <c r="G572" s="481">
        <v>260</v>
      </c>
      <c r="H572" s="481">
        <v>260</v>
      </c>
      <c r="I572" s="486">
        <v>260</v>
      </c>
      <c r="J572" s="486">
        <v>260</v>
      </c>
      <c r="K572" s="486">
        <v>260</v>
      </c>
      <c r="L572" s="486">
        <v>260</v>
      </c>
      <c r="M572" s="486">
        <v>260</v>
      </c>
      <c r="N572" s="486">
        <v>260</v>
      </c>
      <c r="O572" s="487">
        <v>260</v>
      </c>
      <c r="P572" s="476">
        <f>SUM(C572:O573)</f>
        <v>3120</v>
      </c>
    </row>
    <row r="573" spans="1:16">
      <c r="A573" s="468"/>
      <c r="B573" s="471"/>
      <c r="C573" s="482"/>
      <c r="D573" s="482"/>
      <c r="E573" s="482"/>
      <c r="F573" s="482"/>
      <c r="G573" s="482"/>
      <c r="H573" s="482"/>
      <c r="I573" s="486"/>
      <c r="J573" s="486"/>
      <c r="K573" s="486"/>
      <c r="L573" s="486"/>
      <c r="M573" s="486"/>
      <c r="N573" s="486"/>
      <c r="O573" s="488"/>
      <c r="P573" s="445"/>
    </row>
    <row r="574" spans="1:16">
      <c r="A574" s="468"/>
      <c r="B574" s="86" t="s">
        <v>363</v>
      </c>
      <c r="C574" s="97">
        <v>45328</v>
      </c>
      <c r="D574" s="54"/>
      <c r="E574" s="65">
        <v>45384</v>
      </c>
      <c r="F574" s="65">
        <v>45414</v>
      </c>
      <c r="G574" s="65">
        <v>45448</v>
      </c>
      <c r="H574" s="65">
        <v>45482</v>
      </c>
      <c r="I574" s="65">
        <v>45511</v>
      </c>
      <c r="J574" s="65">
        <v>45514</v>
      </c>
      <c r="K574" s="65">
        <v>45573</v>
      </c>
      <c r="L574" s="65">
        <v>45601</v>
      </c>
      <c r="M574" s="65">
        <v>45643</v>
      </c>
      <c r="N574" s="65">
        <v>45643</v>
      </c>
      <c r="O574" s="64">
        <v>45667</v>
      </c>
      <c r="P574" s="101"/>
    </row>
    <row r="575" spans="1:16">
      <c r="A575" s="478"/>
      <c r="B575" s="76" t="s">
        <v>377</v>
      </c>
      <c r="C575" s="73" t="s">
        <v>385</v>
      </c>
      <c r="D575" s="54"/>
      <c r="E575" s="54" t="s">
        <v>385</v>
      </c>
      <c r="F575" s="54" t="s">
        <v>386</v>
      </c>
      <c r="G575" s="54" t="s">
        <v>385</v>
      </c>
      <c r="H575" s="54" t="s">
        <v>385</v>
      </c>
      <c r="I575" s="54" t="s">
        <v>385</v>
      </c>
      <c r="J575" s="54" t="s">
        <v>386</v>
      </c>
      <c r="K575" s="54" t="s">
        <v>385</v>
      </c>
      <c r="L575" s="54" t="s">
        <v>385</v>
      </c>
      <c r="M575" s="54" t="s">
        <v>385</v>
      </c>
      <c r="N575" s="54" t="s">
        <v>385</v>
      </c>
      <c r="O575" s="54" t="s">
        <v>385</v>
      </c>
      <c r="P575" s="101"/>
    </row>
    <row r="576" spans="1:16" s="101" customFormat="1" ht="47.25" customHeight="1">
      <c r="A576" s="470" t="s">
        <v>405</v>
      </c>
      <c r="B576" s="302" t="s">
        <v>369</v>
      </c>
      <c r="C576" s="301">
        <v>200</v>
      </c>
      <c r="D576" s="103"/>
      <c r="E576" s="129"/>
      <c r="F576" s="129"/>
      <c r="G576" s="129"/>
      <c r="H576" s="129"/>
      <c r="I576" s="129"/>
      <c r="J576" s="129"/>
      <c r="K576" s="129"/>
      <c r="L576" s="100"/>
      <c r="M576" s="100"/>
      <c r="N576" s="100"/>
      <c r="O576" s="100"/>
      <c r="P576" s="47"/>
    </row>
    <row r="577" spans="1:16">
      <c r="A577" s="496"/>
      <c r="B577" s="76" t="s">
        <v>363</v>
      </c>
      <c r="C577" s="102">
        <v>45384</v>
      </c>
      <c r="D577" s="105"/>
      <c r="E577" s="105"/>
      <c r="F577" s="105"/>
      <c r="G577" s="105"/>
      <c r="H577" s="105"/>
      <c r="I577" s="105"/>
      <c r="J577" s="105"/>
      <c r="K577" s="105"/>
      <c r="L577" s="99"/>
      <c r="M577" s="99"/>
      <c r="N577" s="99"/>
      <c r="O577" s="99"/>
    </row>
    <row r="578" spans="1:16">
      <c r="A578" s="471"/>
      <c r="B578" s="92" t="s">
        <v>377</v>
      </c>
      <c r="C578" s="73" t="s">
        <v>386</v>
      </c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</row>
    <row r="579" spans="1:16" ht="15" customHeight="1">
      <c r="A579" s="467">
        <v>740</v>
      </c>
      <c r="B579" s="470" t="s">
        <v>136</v>
      </c>
      <c r="C579" s="479">
        <v>150</v>
      </c>
      <c r="D579" s="481"/>
      <c r="E579" s="479"/>
      <c r="F579" s="481"/>
      <c r="G579" s="479"/>
      <c r="H579" s="481"/>
      <c r="I579" s="479"/>
      <c r="J579" s="481"/>
      <c r="K579" s="479"/>
      <c r="L579" s="481"/>
      <c r="M579" s="479"/>
      <c r="N579" s="479"/>
      <c r="O579" s="483"/>
      <c r="P579" s="477">
        <f>SUM(C579:O580)</f>
        <v>150</v>
      </c>
    </row>
    <row r="580" spans="1:16">
      <c r="A580" s="468"/>
      <c r="B580" s="471"/>
      <c r="C580" s="480"/>
      <c r="D580" s="482"/>
      <c r="E580" s="480"/>
      <c r="F580" s="482"/>
      <c r="G580" s="480"/>
      <c r="H580" s="482"/>
      <c r="I580" s="480"/>
      <c r="J580" s="482"/>
      <c r="K580" s="480"/>
      <c r="L580" s="482"/>
      <c r="M580" s="480"/>
      <c r="N580" s="480"/>
      <c r="O580" s="484"/>
      <c r="P580" s="477"/>
    </row>
    <row r="581" spans="1:16">
      <c r="A581" s="468"/>
      <c r="B581" s="76" t="s">
        <v>363</v>
      </c>
      <c r="C581" s="97">
        <v>45607</v>
      </c>
      <c r="D581" s="65"/>
      <c r="E581" s="97"/>
      <c r="F581" s="65"/>
      <c r="G581" s="97"/>
      <c r="H581" s="65"/>
      <c r="I581" s="97"/>
      <c r="J581" s="65"/>
      <c r="K581" s="97"/>
      <c r="L581" s="65"/>
      <c r="M581" s="97"/>
      <c r="N581" s="97"/>
      <c r="O581" s="65"/>
      <c r="P581" s="101"/>
    </row>
    <row r="582" spans="1:16">
      <c r="A582" s="478"/>
      <c r="B582" s="76" t="s">
        <v>377</v>
      </c>
      <c r="C582" s="73" t="s">
        <v>385</v>
      </c>
      <c r="D582" s="54"/>
      <c r="E582" s="73"/>
      <c r="F582" s="54"/>
      <c r="G582" s="73"/>
      <c r="H582" s="54"/>
      <c r="I582" s="73"/>
      <c r="J582" s="54"/>
      <c r="K582" s="73"/>
      <c r="L582" s="54"/>
      <c r="M582" s="73"/>
      <c r="N582" s="73"/>
      <c r="O582" s="54"/>
      <c r="P582" s="101"/>
    </row>
    <row r="583" spans="1:16">
      <c r="A583" s="467"/>
      <c r="B583" s="467" t="s">
        <v>134</v>
      </c>
      <c r="C583" s="479">
        <v>705</v>
      </c>
      <c r="D583" s="479">
        <v>705</v>
      </c>
      <c r="E583" s="479">
        <v>705</v>
      </c>
      <c r="F583" s="479">
        <v>705</v>
      </c>
      <c r="G583" s="481">
        <v>705</v>
      </c>
      <c r="H583" s="486">
        <v>1410</v>
      </c>
      <c r="I583" s="486">
        <v>705</v>
      </c>
      <c r="J583" s="486">
        <v>705</v>
      </c>
      <c r="K583" s="486">
        <v>705</v>
      </c>
      <c r="L583" s="486">
        <v>705</v>
      </c>
      <c r="M583" s="486">
        <v>705</v>
      </c>
      <c r="N583" s="486">
        <v>705</v>
      </c>
      <c r="O583" s="491"/>
      <c r="P583" s="477">
        <f>SUM(C583:O584)</f>
        <v>9165</v>
      </c>
    </row>
    <row r="584" spans="1:16">
      <c r="A584" s="468"/>
      <c r="B584" s="478"/>
      <c r="C584" s="480"/>
      <c r="D584" s="480"/>
      <c r="E584" s="480"/>
      <c r="F584" s="480"/>
      <c r="G584" s="482"/>
      <c r="H584" s="486"/>
      <c r="I584" s="486"/>
      <c r="J584" s="486"/>
      <c r="K584" s="486"/>
      <c r="L584" s="486"/>
      <c r="M584" s="486"/>
      <c r="N584" s="486"/>
      <c r="O584" s="492"/>
      <c r="P584" s="477"/>
    </row>
    <row r="585" spans="1:16">
      <c r="A585" s="468"/>
      <c r="B585" s="86" t="s">
        <v>363</v>
      </c>
      <c r="C585" s="97">
        <v>45342</v>
      </c>
      <c r="D585" s="65">
        <v>45426</v>
      </c>
      <c r="E585" s="65">
        <v>45426</v>
      </c>
      <c r="F585" s="65">
        <v>45426</v>
      </c>
      <c r="G585" s="65">
        <v>45642</v>
      </c>
      <c r="H585" s="65">
        <v>45470</v>
      </c>
      <c r="I585" s="65">
        <v>45523</v>
      </c>
      <c r="J585" s="65">
        <v>45642</v>
      </c>
      <c r="K585" s="65">
        <v>45642</v>
      </c>
      <c r="L585" s="65">
        <v>45642</v>
      </c>
      <c r="M585" s="65">
        <v>45642</v>
      </c>
      <c r="N585" s="65">
        <v>45642</v>
      </c>
      <c r="O585" s="54"/>
      <c r="P585" s="101"/>
    </row>
    <row r="586" spans="1:16">
      <c r="A586" s="478"/>
      <c r="B586" s="86" t="s">
        <v>377</v>
      </c>
      <c r="C586" s="98" t="s">
        <v>386</v>
      </c>
      <c r="D586" s="98" t="s">
        <v>386</v>
      </c>
      <c r="E586" s="98" t="s">
        <v>386</v>
      </c>
      <c r="F586" s="98" t="s">
        <v>386</v>
      </c>
      <c r="G586" s="118" t="s">
        <v>385</v>
      </c>
      <c r="H586" s="118" t="s">
        <v>386</v>
      </c>
      <c r="I586" s="118" t="s">
        <v>386</v>
      </c>
      <c r="J586" s="118" t="s">
        <v>385</v>
      </c>
      <c r="K586" s="118" t="s">
        <v>385</v>
      </c>
      <c r="L586" s="118" t="s">
        <v>385</v>
      </c>
      <c r="M586" s="118" t="s">
        <v>385</v>
      </c>
      <c r="N586" s="118" t="s">
        <v>385</v>
      </c>
      <c r="O586" s="118"/>
      <c r="P586" s="101"/>
    </row>
    <row r="587" spans="1:16" s="122" customFormat="1" ht="15" customHeight="1" thickBot="1">
      <c r="A587" s="511"/>
      <c r="B587" s="511"/>
      <c r="C587" s="514" t="s">
        <v>387</v>
      </c>
      <c r="D587" s="515"/>
      <c r="E587" s="515"/>
      <c r="F587" s="516"/>
      <c r="G587" s="523"/>
      <c r="H587" s="523"/>
      <c r="I587" s="523"/>
      <c r="J587" s="523"/>
      <c r="K587" s="523"/>
      <c r="L587" s="523"/>
      <c r="M587" s="523"/>
      <c r="N587" s="523"/>
      <c r="O587" s="525"/>
      <c r="P587" s="527">
        <f>SUM(C587:O588)</f>
        <v>0</v>
      </c>
    </row>
    <row r="588" spans="1:16" s="119" customFormat="1" ht="15.75" customHeight="1" thickBot="1">
      <c r="A588" s="512"/>
      <c r="B588" s="512"/>
      <c r="C588" s="517"/>
      <c r="D588" s="518"/>
      <c r="E588" s="518"/>
      <c r="F588" s="519"/>
      <c r="G588" s="524"/>
      <c r="H588" s="524"/>
      <c r="I588" s="524"/>
      <c r="J588" s="524"/>
      <c r="K588" s="524"/>
      <c r="L588" s="524"/>
      <c r="M588" s="524"/>
      <c r="N588" s="524"/>
      <c r="O588" s="526"/>
      <c r="P588" s="527"/>
    </row>
    <row r="589" spans="1:16" s="119" customFormat="1" ht="15.75" customHeight="1" thickBot="1">
      <c r="A589" s="512"/>
      <c r="B589" s="120"/>
      <c r="C589" s="517"/>
      <c r="D589" s="518"/>
      <c r="E589" s="518"/>
      <c r="F589" s="519"/>
      <c r="G589" s="121"/>
      <c r="H589" s="121"/>
      <c r="I589" s="121"/>
      <c r="J589" s="121"/>
      <c r="K589" s="121"/>
      <c r="L589" s="121"/>
      <c r="M589" s="121"/>
      <c r="N589" s="121"/>
      <c r="O589" s="242"/>
      <c r="P589" s="243"/>
    </row>
    <row r="590" spans="1:16" s="125" customFormat="1" ht="3.75" customHeight="1">
      <c r="A590" s="513"/>
      <c r="B590" s="123"/>
      <c r="C590" s="520"/>
      <c r="D590" s="521"/>
      <c r="E590" s="521"/>
      <c r="F590" s="522"/>
      <c r="G590" s="124"/>
      <c r="H590" s="124"/>
      <c r="I590" s="124"/>
      <c r="J590" s="124"/>
      <c r="K590" s="124"/>
      <c r="L590" s="124"/>
      <c r="M590" s="124"/>
      <c r="N590" s="124"/>
      <c r="O590" s="244"/>
      <c r="P590" s="243"/>
    </row>
    <row r="591" spans="1:16" ht="15" customHeight="1">
      <c r="A591" s="467"/>
      <c r="B591" s="506" t="s">
        <v>388</v>
      </c>
      <c r="C591" s="508"/>
      <c r="D591" s="502"/>
      <c r="E591" s="502"/>
      <c r="F591" s="502"/>
      <c r="G591" s="502"/>
      <c r="H591" s="502"/>
      <c r="I591" s="502"/>
      <c r="J591" s="502"/>
      <c r="K591" s="502"/>
      <c r="L591" s="502"/>
      <c r="M591" s="502"/>
      <c r="N591" s="502"/>
      <c r="O591" s="510"/>
      <c r="P591" s="477">
        <f>SUM(C591:O592)</f>
        <v>0</v>
      </c>
    </row>
    <row r="592" spans="1:16">
      <c r="A592" s="468"/>
      <c r="B592" s="507"/>
      <c r="C592" s="509"/>
      <c r="D592" s="503"/>
      <c r="E592" s="503"/>
      <c r="F592" s="503"/>
      <c r="G592" s="503"/>
      <c r="H592" s="503"/>
      <c r="I592" s="503"/>
      <c r="J592" s="503"/>
      <c r="K592" s="503"/>
      <c r="L592" s="503"/>
      <c r="M592" s="503"/>
      <c r="N592" s="503"/>
      <c r="O592" s="502"/>
      <c r="P592" s="477"/>
    </row>
    <row r="593" spans="1:16">
      <c r="A593" s="468"/>
      <c r="B593" s="81" t="s">
        <v>363</v>
      </c>
      <c r="C593" s="72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101"/>
    </row>
    <row r="594" spans="1:16">
      <c r="A594" s="478"/>
      <c r="B594" s="76" t="s">
        <v>377</v>
      </c>
      <c r="C594" s="73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101"/>
    </row>
    <row r="595" spans="1:16" ht="17.25" customHeight="1">
      <c r="A595" s="485">
        <v>719</v>
      </c>
      <c r="B595" s="470" t="s">
        <v>996</v>
      </c>
      <c r="C595" s="499">
        <v>350</v>
      </c>
      <c r="D595" s="486"/>
      <c r="E595" s="482"/>
      <c r="F595" s="482"/>
      <c r="G595" s="482"/>
      <c r="H595" s="482"/>
      <c r="I595" s="482"/>
      <c r="J595" s="482"/>
      <c r="K595" s="482"/>
      <c r="L595" s="482"/>
      <c r="M595" s="482"/>
      <c r="N595" s="482"/>
      <c r="O595" s="491"/>
      <c r="P595" s="477">
        <f>SUM(C595:O596)</f>
        <v>350</v>
      </c>
    </row>
    <row r="596" spans="1:16">
      <c r="A596" s="468"/>
      <c r="B596" s="471"/>
      <c r="C596" s="499"/>
      <c r="D596" s="486"/>
      <c r="E596" s="482"/>
      <c r="F596" s="482"/>
      <c r="G596" s="482"/>
      <c r="H596" s="482"/>
      <c r="I596" s="482"/>
      <c r="J596" s="482"/>
      <c r="K596" s="482"/>
      <c r="L596" s="482"/>
      <c r="M596" s="482"/>
      <c r="N596" s="482"/>
      <c r="O596" s="492"/>
      <c r="P596" s="477"/>
    </row>
    <row r="597" spans="1:16">
      <c r="A597" s="468"/>
      <c r="B597" s="76" t="s">
        <v>363</v>
      </c>
      <c r="C597" s="97">
        <v>45509</v>
      </c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101"/>
    </row>
    <row r="598" spans="1:16">
      <c r="A598" s="501"/>
      <c r="B598" s="92" t="s">
        <v>377</v>
      </c>
      <c r="C598" s="98" t="s">
        <v>384</v>
      </c>
      <c r="D598" s="118"/>
      <c r="E598" s="118"/>
      <c r="F598" s="118"/>
      <c r="G598" s="118"/>
      <c r="H598" s="118"/>
      <c r="I598" s="118"/>
      <c r="J598" s="118"/>
      <c r="K598" s="118"/>
      <c r="L598" s="118"/>
      <c r="M598" s="118"/>
      <c r="N598" s="118"/>
      <c r="O598" s="118"/>
      <c r="P598" s="101"/>
    </row>
    <row r="599" spans="1:16" ht="15" customHeight="1">
      <c r="A599" s="470">
        <v>904</v>
      </c>
      <c r="B599" s="489" t="s">
        <v>997</v>
      </c>
      <c r="C599" s="480"/>
      <c r="D599" s="482"/>
      <c r="E599" s="482"/>
      <c r="F599" s="482"/>
      <c r="G599" s="482"/>
      <c r="H599" s="482"/>
      <c r="I599" s="482"/>
      <c r="J599" s="482"/>
      <c r="K599" s="482"/>
      <c r="L599" s="482"/>
      <c r="M599" s="482"/>
      <c r="N599" s="482"/>
      <c r="O599" s="491"/>
      <c r="P599" s="477">
        <f>SUM(C599:O600)</f>
        <v>0</v>
      </c>
    </row>
    <row r="600" spans="1:16">
      <c r="A600" s="496"/>
      <c r="B600" s="490"/>
      <c r="C600" s="480"/>
      <c r="D600" s="482"/>
      <c r="E600" s="482"/>
      <c r="F600" s="482"/>
      <c r="G600" s="482"/>
      <c r="H600" s="482"/>
      <c r="I600" s="482"/>
      <c r="J600" s="482"/>
      <c r="K600" s="482"/>
      <c r="L600" s="482"/>
      <c r="M600" s="482"/>
      <c r="N600" s="482"/>
      <c r="O600" s="492"/>
      <c r="P600" s="477"/>
    </row>
    <row r="601" spans="1:16">
      <c r="A601" s="496"/>
      <c r="B601" s="78" t="s">
        <v>363</v>
      </c>
      <c r="C601" s="97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101"/>
    </row>
    <row r="602" spans="1:16">
      <c r="A602" s="471"/>
      <c r="B602" s="80" t="s">
        <v>377</v>
      </c>
      <c r="C602" s="98"/>
      <c r="D602" s="118"/>
      <c r="E602" s="118"/>
      <c r="F602" s="118"/>
      <c r="G602" s="118"/>
      <c r="H602" s="118"/>
      <c r="I602" s="118"/>
      <c r="J602" s="118"/>
      <c r="K602" s="118"/>
      <c r="L602" s="118"/>
      <c r="M602" s="118"/>
      <c r="N602" s="118"/>
      <c r="O602" s="118"/>
      <c r="P602" s="101"/>
    </row>
    <row r="603" spans="1:16" ht="15" customHeight="1">
      <c r="A603" s="470">
        <v>239</v>
      </c>
      <c r="B603" s="489" t="s">
        <v>1021</v>
      </c>
      <c r="C603" s="499">
        <v>350</v>
      </c>
      <c r="D603" s="486"/>
      <c r="E603" s="486"/>
      <c r="F603" s="482"/>
      <c r="G603" s="482"/>
      <c r="H603" s="482"/>
      <c r="I603" s="482"/>
      <c r="J603" s="482"/>
      <c r="K603" s="482"/>
      <c r="L603" s="482"/>
      <c r="M603" s="482"/>
      <c r="N603" s="482"/>
      <c r="O603" s="491"/>
      <c r="P603" s="477">
        <f>SUM(C603:O604)</f>
        <v>350</v>
      </c>
    </row>
    <row r="604" spans="1:16">
      <c r="A604" s="496"/>
      <c r="B604" s="490"/>
      <c r="C604" s="499"/>
      <c r="D604" s="486"/>
      <c r="E604" s="486"/>
      <c r="F604" s="482"/>
      <c r="G604" s="482"/>
      <c r="H604" s="482"/>
      <c r="I604" s="482"/>
      <c r="J604" s="482"/>
      <c r="K604" s="482"/>
      <c r="L604" s="482"/>
      <c r="M604" s="482"/>
      <c r="N604" s="482"/>
      <c r="O604" s="492"/>
      <c r="P604" s="477"/>
    </row>
    <row r="605" spans="1:16">
      <c r="A605" s="496"/>
      <c r="B605" s="78" t="s">
        <v>363</v>
      </c>
      <c r="C605" s="97">
        <v>45506</v>
      </c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101"/>
    </row>
    <row r="606" spans="1:16">
      <c r="A606" s="471"/>
      <c r="B606" s="80" t="s">
        <v>377</v>
      </c>
      <c r="C606" s="98" t="s">
        <v>386</v>
      </c>
      <c r="D606" s="118"/>
      <c r="E606" s="118"/>
      <c r="F606" s="118"/>
      <c r="G606" s="118"/>
      <c r="H606" s="118"/>
      <c r="I606" s="118"/>
      <c r="J606" s="118"/>
      <c r="K606" s="118"/>
      <c r="L606" s="118"/>
      <c r="M606" s="118"/>
      <c r="N606" s="118"/>
      <c r="O606" s="118"/>
      <c r="P606" s="101"/>
    </row>
    <row r="607" spans="1:16" ht="15" customHeight="1">
      <c r="A607" s="470"/>
      <c r="B607" s="489" t="s">
        <v>1078</v>
      </c>
      <c r="C607" s="480"/>
      <c r="D607" s="482"/>
      <c r="E607" s="482"/>
      <c r="F607" s="482"/>
      <c r="G607" s="482"/>
      <c r="H607" s="482"/>
      <c r="I607" s="482"/>
      <c r="J607" s="482"/>
      <c r="K607" s="482"/>
      <c r="L607" s="482"/>
      <c r="M607" s="482"/>
      <c r="N607" s="482"/>
      <c r="O607" s="491"/>
      <c r="P607" s="477">
        <f>SUM(C607:O608)</f>
        <v>0</v>
      </c>
    </row>
    <row r="608" spans="1:16">
      <c r="A608" s="496"/>
      <c r="B608" s="490"/>
      <c r="C608" s="480"/>
      <c r="D608" s="482"/>
      <c r="E608" s="482"/>
      <c r="F608" s="482"/>
      <c r="G608" s="482"/>
      <c r="H608" s="482"/>
      <c r="I608" s="482"/>
      <c r="J608" s="482"/>
      <c r="K608" s="482"/>
      <c r="L608" s="482"/>
      <c r="M608" s="482"/>
      <c r="N608" s="482"/>
      <c r="O608" s="492"/>
      <c r="P608" s="477"/>
    </row>
    <row r="609" spans="1:16">
      <c r="A609" s="496"/>
      <c r="B609" s="78" t="s">
        <v>363</v>
      </c>
      <c r="C609" s="97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101"/>
    </row>
    <row r="610" spans="1:16">
      <c r="A610" s="471"/>
      <c r="B610" s="80" t="s">
        <v>377</v>
      </c>
      <c r="C610" s="98"/>
      <c r="D610" s="118"/>
      <c r="E610" s="118"/>
      <c r="F610" s="118"/>
      <c r="G610" s="118"/>
      <c r="H610" s="118"/>
      <c r="I610" s="118"/>
      <c r="J610" s="118"/>
      <c r="K610" s="118"/>
      <c r="L610" s="118"/>
      <c r="M610" s="118"/>
      <c r="N610" s="118"/>
      <c r="O610" s="118"/>
      <c r="P610" s="101"/>
    </row>
    <row r="611" spans="1:16" ht="15" customHeight="1">
      <c r="A611" s="470">
        <v>705</v>
      </c>
      <c r="B611" s="489" t="s">
        <v>1309</v>
      </c>
      <c r="C611" s="499">
        <v>130</v>
      </c>
      <c r="D611" s="486">
        <v>130</v>
      </c>
      <c r="E611" s="499">
        <v>130</v>
      </c>
      <c r="F611" s="486">
        <v>130</v>
      </c>
      <c r="G611" s="499">
        <v>130</v>
      </c>
      <c r="H611" s="486">
        <v>130</v>
      </c>
      <c r="I611" s="499">
        <v>130</v>
      </c>
      <c r="J611" s="486">
        <v>130</v>
      </c>
      <c r="K611" s="499">
        <v>130</v>
      </c>
      <c r="L611" s="486">
        <v>130</v>
      </c>
      <c r="M611" s="499">
        <v>130</v>
      </c>
      <c r="N611" s="486">
        <v>130</v>
      </c>
      <c r="O611" s="499">
        <v>130</v>
      </c>
      <c r="P611" s="477">
        <f>SUM(C611:O612)</f>
        <v>1690</v>
      </c>
    </row>
    <row r="612" spans="1:16">
      <c r="A612" s="496"/>
      <c r="B612" s="490"/>
      <c r="C612" s="499"/>
      <c r="D612" s="486"/>
      <c r="E612" s="499"/>
      <c r="F612" s="486"/>
      <c r="G612" s="499"/>
      <c r="H612" s="486"/>
      <c r="I612" s="499"/>
      <c r="J612" s="486"/>
      <c r="K612" s="499"/>
      <c r="L612" s="486"/>
      <c r="M612" s="499"/>
      <c r="N612" s="486"/>
      <c r="O612" s="499"/>
      <c r="P612" s="477"/>
    </row>
    <row r="613" spans="1:16">
      <c r="A613" s="496"/>
      <c r="B613" s="78" t="s">
        <v>363</v>
      </c>
      <c r="C613" s="97">
        <v>45499</v>
      </c>
      <c r="D613" s="65">
        <v>45499</v>
      </c>
      <c r="E613" s="97">
        <v>45499</v>
      </c>
      <c r="F613" s="65">
        <v>45499</v>
      </c>
      <c r="G613" s="97">
        <v>45499</v>
      </c>
      <c r="H613" s="65">
        <v>45499</v>
      </c>
      <c r="I613" s="97">
        <v>45499</v>
      </c>
      <c r="J613" s="65">
        <v>45499</v>
      </c>
      <c r="K613" s="97">
        <v>45499</v>
      </c>
      <c r="L613" s="65">
        <v>45499</v>
      </c>
      <c r="M613" s="97">
        <v>45499</v>
      </c>
      <c r="N613" s="65">
        <v>45499</v>
      </c>
      <c r="O613" s="97">
        <v>45499</v>
      </c>
      <c r="P613" s="101"/>
    </row>
    <row r="614" spans="1:16">
      <c r="A614" s="471"/>
      <c r="B614" s="80" t="s">
        <v>377</v>
      </c>
      <c r="C614" s="98" t="s">
        <v>374</v>
      </c>
      <c r="D614" s="98" t="s">
        <v>374</v>
      </c>
      <c r="E614" s="98" t="s">
        <v>374</v>
      </c>
      <c r="F614" s="98" t="s">
        <v>374</v>
      </c>
      <c r="G614" s="98" t="s">
        <v>374</v>
      </c>
      <c r="H614" s="98" t="s">
        <v>374</v>
      </c>
      <c r="I614" s="98" t="s">
        <v>374</v>
      </c>
      <c r="J614" s="98" t="s">
        <v>374</v>
      </c>
      <c r="K614" s="98" t="s">
        <v>374</v>
      </c>
      <c r="L614" s="98" t="s">
        <v>374</v>
      </c>
      <c r="M614" s="98" t="s">
        <v>374</v>
      </c>
      <c r="N614" s="98" t="s">
        <v>374</v>
      </c>
      <c r="O614" s="98" t="s">
        <v>374</v>
      </c>
      <c r="P614" s="101"/>
    </row>
    <row r="615" spans="1:16" ht="15" customHeight="1">
      <c r="A615" s="470"/>
      <c r="B615" s="489" t="s">
        <v>1099</v>
      </c>
      <c r="C615" s="499">
        <v>350</v>
      </c>
      <c r="D615" s="486"/>
      <c r="E615" s="486"/>
      <c r="F615" s="486"/>
      <c r="G615" s="486"/>
      <c r="H615" s="482"/>
      <c r="I615" s="482"/>
      <c r="J615" s="482"/>
      <c r="K615" s="482"/>
      <c r="L615" s="482"/>
      <c r="M615" s="482"/>
      <c r="N615" s="482"/>
      <c r="O615" s="491"/>
      <c r="P615" s="477">
        <f>SUM(C615:O616)</f>
        <v>350</v>
      </c>
    </row>
    <row r="616" spans="1:16">
      <c r="A616" s="496"/>
      <c r="B616" s="490"/>
      <c r="C616" s="499"/>
      <c r="D616" s="486"/>
      <c r="E616" s="486"/>
      <c r="F616" s="486"/>
      <c r="G616" s="486"/>
      <c r="H616" s="482"/>
      <c r="I616" s="482"/>
      <c r="J616" s="482"/>
      <c r="K616" s="482"/>
      <c r="L616" s="482"/>
      <c r="M616" s="482"/>
      <c r="N616" s="482"/>
      <c r="O616" s="492"/>
      <c r="P616" s="477"/>
    </row>
    <row r="617" spans="1:16">
      <c r="A617" s="496"/>
      <c r="B617" s="78" t="s">
        <v>363</v>
      </c>
      <c r="C617" s="97">
        <v>45512</v>
      </c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101"/>
    </row>
    <row r="618" spans="1:16">
      <c r="A618" s="471"/>
      <c r="B618" s="80" t="s">
        <v>377</v>
      </c>
      <c r="C618" s="98" t="s">
        <v>386</v>
      </c>
      <c r="D618" s="118"/>
      <c r="E618" s="118"/>
      <c r="F618" s="118"/>
      <c r="G618" s="118"/>
      <c r="H618" s="118"/>
      <c r="I618" s="118"/>
      <c r="J618" s="118"/>
      <c r="K618" s="118"/>
      <c r="L618" s="118"/>
      <c r="M618" s="118"/>
      <c r="N618" s="118"/>
      <c r="O618" s="118"/>
      <c r="P618" s="101"/>
    </row>
    <row r="619" spans="1:16" ht="15" customHeight="1">
      <c r="A619" s="467"/>
      <c r="B619" s="506" t="s">
        <v>1007</v>
      </c>
      <c r="C619" s="508"/>
      <c r="D619" s="502"/>
      <c r="E619" s="502"/>
      <c r="F619" s="502"/>
      <c r="G619" s="502"/>
      <c r="H619" s="502"/>
      <c r="I619" s="502"/>
      <c r="J619" s="502"/>
      <c r="K619" s="502"/>
      <c r="L619" s="502"/>
      <c r="M619" s="502"/>
      <c r="N619" s="502"/>
      <c r="O619" s="505"/>
      <c r="P619" s="477">
        <f>SUM(C619:O620)</f>
        <v>0</v>
      </c>
    </row>
    <row r="620" spans="1:16">
      <c r="A620" s="468"/>
      <c r="B620" s="507"/>
      <c r="C620" s="509"/>
      <c r="D620" s="503"/>
      <c r="E620" s="503"/>
      <c r="F620" s="503"/>
      <c r="G620" s="503"/>
      <c r="H620" s="503"/>
      <c r="I620" s="503"/>
      <c r="J620" s="503"/>
      <c r="K620" s="503"/>
      <c r="L620" s="503"/>
      <c r="M620" s="503"/>
      <c r="N620" s="503"/>
      <c r="O620" s="502"/>
      <c r="P620" s="477"/>
    </row>
    <row r="621" spans="1:16">
      <c r="A621" s="468"/>
      <c r="B621" s="81" t="s">
        <v>363</v>
      </c>
      <c r="C621" s="72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101"/>
    </row>
    <row r="622" spans="1:16">
      <c r="A622" s="478"/>
      <c r="B622" s="76" t="s">
        <v>377</v>
      </c>
      <c r="C622" s="73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101"/>
    </row>
    <row r="623" spans="1:16" ht="15" customHeight="1">
      <c r="A623" s="467">
        <v>715</v>
      </c>
      <c r="B623" s="506" t="s">
        <v>362</v>
      </c>
      <c r="C623" s="508"/>
      <c r="D623" s="502"/>
      <c r="E623" s="502"/>
      <c r="F623" s="502"/>
      <c r="G623" s="502"/>
      <c r="H623" s="502"/>
      <c r="I623" s="502"/>
      <c r="J623" s="502"/>
      <c r="K623" s="502"/>
      <c r="L623" s="502"/>
      <c r="M623" s="502"/>
      <c r="N623" s="502"/>
      <c r="O623" s="504"/>
      <c r="P623" s="477">
        <f>SUM(C623:O624)</f>
        <v>0</v>
      </c>
    </row>
    <row r="624" spans="1:16">
      <c r="A624" s="468"/>
      <c r="B624" s="507"/>
      <c r="C624" s="509"/>
      <c r="D624" s="503"/>
      <c r="E624" s="503"/>
      <c r="F624" s="503"/>
      <c r="G624" s="503"/>
      <c r="H624" s="503"/>
      <c r="I624" s="503"/>
      <c r="J624" s="503"/>
      <c r="K624" s="503"/>
      <c r="L624" s="503"/>
      <c r="M624" s="503"/>
      <c r="N624" s="503"/>
      <c r="O624" s="502"/>
      <c r="P624" s="477"/>
    </row>
    <row r="625" spans="1:16">
      <c r="A625" s="468"/>
      <c r="B625" s="81" t="s">
        <v>363</v>
      </c>
      <c r="C625" s="72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101"/>
    </row>
    <row r="626" spans="1:16">
      <c r="A626" s="478"/>
      <c r="B626" s="76" t="s">
        <v>377</v>
      </c>
      <c r="C626" s="73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101"/>
    </row>
    <row r="627" spans="1:16" ht="15" customHeight="1">
      <c r="A627" s="467"/>
      <c r="B627" s="506" t="s">
        <v>1582</v>
      </c>
      <c r="C627" s="508">
        <v>350</v>
      </c>
      <c r="D627" s="502"/>
      <c r="E627" s="502"/>
      <c r="F627" s="502"/>
      <c r="G627" s="502"/>
      <c r="H627" s="502"/>
      <c r="I627" s="502"/>
      <c r="J627" s="502"/>
      <c r="K627" s="502"/>
      <c r="L627" s="502"/>
      <c r="M627" s="502"/>
      <c r="N627" s="502"/>
      <c r="O627" s="504"/>
      <c r="P627" s="477">
        <f>SUM(C627:O628)</f>
        <v>350</v>
      </c>
    </row>
    <row r="628" spans="1:16">
      <c r="A628" s="468"/>
      <c r="B628" s="507"/>
      <c r="C628" s="509"/>
      <c r="D628" s="503"/>
      <c r="E628" s="503"/>
      <c r="F628" s="503"/>
      <c r="G628" s="503"/>
      <c r="H628" s="503"/>
      <c r="I628" s="503"/>
      <c r="J628" s="503"/>
      <c r="K628" s="503"/>
      <c r="L628" s="503"/>
      <c r="M628" s="503"/>
      <c r="N628" s="503"/>
      <c r="O628" s="502"/>
      <c r="P628" s="477"/>
    </row>
    <row r="629" spans="1:16">
      <c r="A629" s="468"/>
      <c r="B629" s="81" t="s">
        <v>363</v>
      </c>
      <c r="C629" s="72">
        <v>45509</v>
      </c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101"/>
    </row>
    <row r="630" spans="1:16">
      <c r="A630" s="478"/>
      <c r="B630" s="76" t="s">
        <v>377</v>
      </c>
      <c r="C630" s="73" t="s">
        <v>384</v>
      </c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101"/>
    </row>
  </sheetData>
  <mergeCells count="2479">
    <mergeCell ref="A227:A230"/>
    <mergeCell ref="B227:B228"/>
    <mergeCell ref="C227:C228"/>
    <mergeCell ref="D227:D228"/>
    <mergeCell ref="E227:E228"/>
    <mergeCell ref="F227:F228"/>
    <mergeCell ref="G227:G228"/>
    <mergeCell ref="H227:H228"/>
    <mergeCell ref="I227:I228"/>
    <mergeCell ref="J227:J228"/>
    <mergeCell ref="K227:K228"/>
    <mergeCell ref="L227:L228"/>
    <mergeCell ref="M227:M228"/>
    <mergeCell ref="N227:N228"/>
    <mergeCell ref="O227:O228"/>
    <mergeCell ref="P227:P228"/>
    <mergeCell ref="A179:A182"/>
    <mergeCell ref="B179:B180"/>
    <mergeCell ref="C179:C180"/>
    <mergeCell ref="D179:D180"/>
    <mergeCell ref="E179:E180"/>
    <mergeCell ref="F179:F180"/>
    <mergeCell ref="G179:G180"/>
    <mergeCell ref="H179:H180"/>
    <mergeCell ref="I179:I180"/>
    <mergeCell ref="J179:J180"/>
    <mergeCell ref="K179:K180"/>
    <mergeCell ref="L179:L180"/>
    <mergeCell ref="M179:M180"/>
    <mergeCell ref="N179:N180"/>
    <mergeCell ref="O179:O180"/>
    <mergeCell ref="P179:P180"/>
    <mergeCell ref="A279:A282"/>
    <mergeCell ref="B279:B280"/>
    <mergeCell ref="C279:C280"/>
    <mergeCell ref="D279:D280"/>
    <mergeCell ref="E279:E280"/>
    <mergeCell ref="F279:F280"/>
    <mergeCell ref="G279:G280"/>
    <mergeCell ref="H279:H280"/>
    <mergeCell ref="I279:I280"/>
    <mergeCell ref="J279:J280"/>
    <mergeCell ref="K279:K280"/>
    <mergeCell ref="L279:L280"/>
    <mergeCell ref="M279:M280"/>
    <mergeCell ref="N279:N280"/>
    <mergeCell ref="O279:O280"/>
    <mergeCell ref="P279:P280"/>
    <mergeCell ref="A43:A46"/>
    <mergeCell ref="B43:B44"/>
    <mergeCell ref="C43:C44"/>
    <mergeCell ref="D43:D44"/>
    <mergeCell ref="E43:E44"/>
    <mergeCell ref="F43:F44"/>
    <mergeCell ref="G43:G44"/>
    <mergeCell ref="H43:H44"/>
    <mergeCell ref="I43:I44"/>
    <mergeCell ref="J43:J44"/>
    <mergeCell ref="K43:K44"/>
    <mergeCell ref="L43:L44"/>
    <mergeCell ref="M43:M44"/>
    <mergeCell ref="N43:N44"/>
    <mergeCell ref="O43:O44"/>
    <mergeCell ref="P43:P44"/>
    <mergeCell ref="A1:B1"/>
    <mergeCell ref="A3:A6"/>
    <mergeCell ref="B3:B4"/>
    <mergeCell ref="C3:C4"/>
    <mergeCell ref="D3:D4"/>
    <mergeCell ref="E3:E4"/>
    <mergeCell ref="L7:L8"/>
    <mergeCell ref="M7:M8"/>
    <mergeCell ref="N7:N8"/>
    <mergeCell ref="O7:O8"/>
    <mergeCell ref="P7:P8"/>
    <mergeCell ref="A11:A14"/>
    <mergeCell ref="B11:B12"/>
    <mergeCell ref="C11:C12"/>
    <mergeCell ref="D11:D12"/>
    <mergeCell ref="E11:E12"/>
    <mergeCell ref="F7:F8"/>
    <mergeCell ref="G7:G8"/>
    <mergeCell ref="H7:H8"/>
    <mergeCell ref="I7:I8"/>
    <mergeCell ref="J7:J8"/>
    <mergeCell ref="K7:K8"/>
    <mergeCell ref="L3:L4"/>
    <mergeCell ref="M3:M4"/>
    <mergeCell ref="N3:N4"/>
    <mergeCell ref="P3:P4"/>
    <mergeCell ref="A7:A10"/>
    <mergeCell ref="B7:B8"/>
    <mergeCell ref="C7:C8"/>
    <mergeCell ref="D7:D8"/>
    <mergeCell ref="E7:E8"/>
    <mergeCell ref="F3:F4"/>
    <mergeCell ref="G3:G4"/>
    <mergeCell ref="H3:H4"/>
    <mergeCell ref="I3:I4"/>
    <mergeCell ref="J3:J4"/>
    <mergeCell ref="K3:K4"/>
    <mergeCell ref="L15:L16"/>
    <mergeCell ref="M15:M16"/>
    <mergeCell ref="N15:N16"/>
    <mergeCell ref="O15:O16"/>
    <mergeCell ref="P15:P16"/>
    <mergeCell ref="A19:A22"/>
    <mergeCell ref="B19:B20"/>
    <mergeCell ref="C19:C20"/>
    <mergeCell ref="D19:D20"/>
    <mergeCell ref="E19:E20"/>
    <mergeCell ref="F15:F16"/>
    <mergeCell ref="G15:G16"/>
    <mergeCell ref="H15:H16"/>
    <mergeCell ref="I15:I16"/>
    <mergeCell ref="J15:J16"/>
    <mergeCell ref="K15:K16"/>
    <mergeCell ref="L11:L12"/>
    <mergeCell ref="M11:M12"/>
    <mergeCell ref="N11:N12"/>
    <mergeCell ref="O11:O12"/>
    <mergeCell ref="P11:P12"/>
    <mergeCell ref="A15:A18"/>
    <mergeCell ref="B15:B16"/>
    <mergeCell ref="C15:C16"/>
    <mergeCell ref="D15:D16"/>
    <mergeCell ref="E15:E16"/>
    <mergeCell ref="F11:F12"/>
    <mergeCell ref="G11:G12"/>
    <mergeCell ref="H11:H12"/>
    <mergeCell ref="I11:I12"/>
    <mergeCell ref="J11:J12"/>
    <mergeCell ref="K11:K12"/>
    <mergeCell ref="L23:L24"/>
    <mergeCell ref="M23:M24"/>
    <mergeCell ref="N23:N24"/>
    <mergeCell ref="O23:O24"/>
    <mergeCell ref="P23:P24"/>
    <mergeCell ref="A27:A30"/>
    <mergeCell ref="B27:B28"/>
    <mergeCell ref="C27:C28"/>
    <mergeCell ref="D27:D28"/>
    <mergeCell ref="E27:E28"/>
    <mergeCell ref="F23:F24"/>
    <mergeCell ref="G23:G24"/>
    <mergeCell ref="H23:H24"/>
    <mergeCell ref="I23:I24"/>
    <mergeCell ref="J23:J24"/>
    <mergeCell ref="K23:K24"/>
    <mergeCell ref="L19:L20"/>
    <mergeCell ref="M19:M20"/>
    <mergeCell ref="N19:N20"/>
    <mergeCell ref="O19:O20"/>
    <mergeCell ref="P19:P20"/>
    <mergeCell ref="A23:A26"/>
    <mergeCell ref="B23:B24"/>
    <mergeCell ref="C23:C24"/>
    <mergeCell ref="D23:D24"/>
    <mergeCell ref="E23:E24"/>
    <mergeCell ref="F19:F20"/>
    <mergeCell ref="G19:G20"/>
    <mergeCell ref="H19:H20"/>
    <mergeCell ref="I19:I20"/>
    <mergeCell ref="J19:J20"/>
    <mergeCell ref="K19:K20"/>
    <mergeCell ref="L31:L32"/>
    <mergeCell ref="M31:M32"/>
    <mergeCell ref="N31:N32"/>
    <mergeCell ref="O31:O32"/>
    <mergeCell ref="P31:P32"/>
    <mergeCell ref="A35:A38"/>
    <mergeCell ref="B35:B36"/>
    <mergeCell ref="C35:C36"/>
    <mergeCell ref="D35:D36"/>
    <mergeCell ref="E35:E36"/>
    <mergeCell ref="F31:F32"/>
    <mergeCell ref="G31:G32"/>
    <mergeCell ref="H31:H32"/>
    <mergeCell ref="I31:I32"/>
    <mergeCell ref="J31:J32"/>
    <mergeCell ref="K31:K32"/>
    <mergeCell ref="L27:L28"/>
    <mergeCell ref="M27:M28"/>
    <mergeCell ref="N27:N28"/>
    <mergeCell ref="O27:O28"/>
    <mergeCell ref="P27:P28"/>
    <mergeCell ref="A31:A34"/>
    <mergeCell ref="B31:B32"/>
    <mergeCell ref="C31:C32"/>
    <mergeCell ref="D31:D32"/>
    <mergeCell ref="E31:E32"/>
    <mergeCell ref="F27:F28"/>
    <mergeCell ref="G27:G28"/>
    <mergeCell ref="H27:H28"/>
    <mergeCell ref="I27:I28"/>
    <mergeCell ref="J27:J28"/>
    <mergeCell ref="K27:K28"/>
    <mergeCell ref="L39:L40"/>
    <mergeCell ref="M39:M40"/>
    <mergeCell ref="N39:N40"/>
    <mergeCell ref="O39:O40"/>
    <mergeCell ref="P39:P40"/>
    <mergeCell ref="F39:F40"/>
    <mergeCell ref="G39:G40"/>
    <mergeCell ref="H39:H40"/>
    <mergeCell ref="I39:I40"/>
    <mergeCell ref="J39:J40"/>
    <mergeCell ref="K39:K40"/>
    <mergeCell ref="L35:L36"/>
    <mergeCell ref="M35:M36"/>
    <mergeCell ref="N35:N36"/>
    <mergeCell ref="O35:O36"/>
    <mergeCell ref="P35:P36"/>
    <mergeCell ref="A39:A42"/>
    <mergeCell ref="B39:B40"/>
    <mergeCell ref="C39:C40"/>
    <mergeCell ref="D39:D40"/>
    <mergeCell ref="E39:E40"/>
    <mergeCell ref="F35:F36"/>
    <mergeCell ref="G35:G36"/>
    <mergeCell ref="H35:H36"/>
    <mergeCell ref="I35:I36"/>
    <mergeCell ref="J35:J36"/>
    <mergeCell ref="K35:K36"/>
    <mergeCell ref="L47:L48"/>
    <mergeCell ref="M47:M48"/>
    <mergeCell ref="N47:N48"/>
    <mergeCell ref="O47:O48"/>
    <mergeCell ref="P47:P48"/>
    <mergeCell ref="A51:A54"/>
    <mergeCell ref="B51:B52"/>
    <mergeCell ref="C51:C52"/>
    <mergeCell ref="D51:D52"/>
    <mergeCell ref="E51:E52"/>
    <mergeCell ref="F47:F48"/>
    <mergeCell ref="G47:G48"/>
    <mergeCell ref="H47:H48"/>
    <mergeCell ref="I47:I48"/>
    <mergeCell ref="J47:J48"/>
    <mergeCell ref="K47:K48"/>
    <mergeCell ref="A47:A50"/>
    <mergeCell ref="B47:B48"/>
    <mergeCell ref="C47:C48"/>
    <mergeCell ref="D47:D48"/>
    <mergeCell ref="E47:E48"/>
    <mergeCell ref="L55:L56"/>
    <mergeCell ref="M55:M56"/>
    <mergeCell ref="N55:N56"/>
    <mergeCell ref="O55:O56"/>
    <mergeCell ref="P55:P56"/>
    <mergeCell ref="A59:A62"/>
    <mergeCell ref="B59:B60"/>
    <mergeCell ref="C59:C60"/>
    <mergeCell ref="D59:D60"/>
    <mergeCell ref="E59:E60"/>
    <mergeCell ref="F55:F56"/>
    <mergeCell ref="G55:G56"/>
    <mergeCell ref="H55:H56"/>
    <mergeCell ref="I55:I56"/>
    <mergeCell ref="J55:J56"/>
    <mergeCell ref="K55:K56"/>
    <mergeCell ref="L51:L52"/>
    <mergeCell ref="M51:M52"/>
    <mergeCell ref="N51:N52"/>
    <mergeCell ref="O51:O52"/>
    <mergeCell ref="P51:P52"/>
    <mergeCell ref="A55:A58"/>
    <mergeCell ref="B55:B56"/>
    <mergeCell ref="C55:C56"/>
    <mergeCell ref="D55:D56"/>
    <mergeCell ref="E55:E56"/>
    <mergeCell ref="F51:F52"/>
    <mergeCell ref="G51:G52"/>
    <mergeCell ref="H51:H52"/>
    <mergeCell ref="I51:I52"/>
    <mergeCell ref="J51:J52"/>
    <mergeCell ref="K51:K52"/>
    <mergeCell ref="L63:L64"/>
    <mergeCell ref="M63:M64"/>
    <mergeCell ref="N63:N64"/>
    <mergeCell ref="O63:O64"/>
    <mergeCell ref="P63:P64"/>
    <mergeCell ref="A67:A70"/>
    <mergeCell ref="B67:B68"/>
    <mergeCell ref="C67:C68"/>
    <mergeCell ref="D67:D68"/>
    <mergeCell ref="E67:E68"/>
    <mergeCell ref="F63:F64"/>
    <mergeCell ref="G63:G64"/>
    <mergeCell ref="H63:H64"/>
    <mergeCell ref="I63:I64"/>
    <mergeCell ref="J63:J64"/>
    <mergeCell ref="K63:K64"/>
    <mergeCell ref="L59:L60"/>
    <mergeCell ref="M59:M60"/>
    <mergeCell ref="N59:N60"/>
    <mergeCell ref="O59:O60"/>
    <mergeCell ref="P59:P60"/>
    <mergeCell ref="A63:A66"/>
    <mergeCell ref="B63:B64"/>
    <mergeCell ref="C63:C64"/>
    <mergeCell ref="D63:D64"/>
    <mergeCell ref="E63:E64"/>
    <mergeCell ref="F59:F60"/>
    <mergeCell ref="G59:G60"/>
    <mergeCell ref="H59:H60"/>
    <mergeCell ref="I59:I60"/>
    <mergeCell ref="J59:J60"/>
    <mergeCell ref="K59:K60"/>
    <mergeCell ref="L71:L72"/>
    <mergeCell ref="M71:M72"/>
    <mergeCell ref="N71:N72"/>
    <mergeCell ref="O71:O72"/>
    <mergeCell ref="P71:P72"/>
    <mergeCell ref="A75:A78"/>
    <mergeCell ref="B75:B76"/>
    <mergeCell ref="C75:C76"/>
    <mergeCell ref="D75:D76"/>
    <mergeCell ref="E75:E76"/>
    <mergeCell ref="F71:F72"/>
    <mergeCell ref="G71:G72"/>
    <mergeCell ref="H71:H72"/>
    <mergeCell ref="I71:I72"/>
    <mergeCell ref="J71:J72"/>
    <mergeCell ref="K71:K72"/>
    <mergeCell ref="L67:L68"/>
    <mergeCell ref="M67:M68"/>
    <mergeCell ref="N67:N68"/>
    <mergeCell ref="O67:O68"/>
    <mergeCell ref="P67:P68"/>
    <mergeCell ref="A71:A74"/>
    <mergeCell ref="B71:B72"/>
    <mergeCell ref="C71:C72"/>
    <mergeCell ref="D71:D72"/>
    <mergeCell ref="E71:E72"/>
    <mergeCell ref="F67:F68"/>
    <mergeCell ref="G67:G68"/>
    <mergeCell ref="H67:H68"/>
    <mergeCell ref="I67:I68"/>
    <mergeCell ref="J67:J68"/>
    <mergeCell ref="K67:K68"/>
    <mergeCell ref="L79:L80"/>
    <mergeCell ref="M79:M80"/>
    <mergeCell ref="N79:N80"/>
    <mergeCell ref="O79:O80"/>
    <mergeCell ref="P79:P80"/>
    <mergeCell ref="A83:A86"/>
    <mergeCell ref="B83:B84"/>
    <mergeCell ref="C83:C84"/>
    <mergeCell ref="D83:D84"/>
    <mergeCell ref="E83:E84"/>
    <mergeCell ref="F79:F80"/>
    <mergeCell ref="G79:G80"/>
    <mergeCell ref="H79:H80"/>
    <mergeCell ref="I79:I80"/>
    <mergeCell ref="J79:J80"/>
    <mergeCell ref="K79:K80"/>
    <mergeCell ref="L75:L76"/>
    <mergeCell ref="M75:M76"/>
    <mergeCell ref="N75:N76"/>
    <mergeCell ref="O75:O76"/>
    <mergeCell ref="P75:P76"/>
    <mergeCell ref="A79:A82"/>
    <mergeCell ref="B79:B80"/>
    <mergeCell ref="C79:C80"/>
    <mergeCell ref="D79:D80"/>
    <mergeCell ref="E79:E80"/>
    <mergeCell ref="F75:F76"/>
    <mergeCell ref="G75:G76"/>
    <mergeCell ref="H75:H76"/>
    <mergeCell ref="I75:I76"/>
    <mergeCell ref="J75:J76"/>
    <mergeCell ref="K75:K76"/>
    <mergeCell ref="L87:L88"/>
    <mergeCell ref="M87:M88"/>
    <mergeCell ref="N87:N88"/>
    <mergeCell ref="O87:O88"/>
    <mergeCell ref="P87:P88"/>
    <mergeCell ref="A91:A94"/>
    <mergeCell ref="B91:B92"/>
    <mergeCell ref="C91:C92"/>
    <mergeCell ref="D91:D92"/>
    <mergeCell ref="E91:E92"/>
    <mergeCell ref="F87:F88"/>
    <mergeCell ref="G87:G88"/>
    <mergeCell ref="H87:H88"/>
    <mergeCell ref="I87:I88"/>
    <mergeCell ref="J87:J88"/>
    <mergeCell ref="K87:K88"/>
    <mergeCell ref="L83:L84"/>
    <mergeCell ref="M83:M84"/>
    <mergeCell ref="N83:N84"/>
    <mergeCell ref="O83:O84"/>
    <mergeCell ref="P83:P84"/>
    <mergeCell ref="A87:A90"/>
    <mergeCell ref="B87:B88"/>
    <mergeCell ref="C87:C88"/>
    <mergeCell ref="D87:D88"/>
    <mergeCell ref="E87:E88"/>
    <mergeCell ref="F83:F84"/>
    <mergeCell ref="G83:G84"/>
    <mergeCell ref="H83:H84"/>
    <mergeCell ref="I83:I84"/>
    <mergeCell ref="J83:J84"/>
    <mergeCell ref="K83:K84"/>
    <mergeCell ref="L95:L96"/>
    <mergeCell ref="M95:M96"/>
    <mergeCell ref="N95:N96"/>
    <mergeCell ref="O95:O96"/>
    <mergeCell ref="P95:P96"/>
    <mergeCell ref="A99:A102"/>
    <mergeCell ref="B99:B100"/>
    <mergeCell ref="C99:C100"/>
    <mergeCell ref="D99:D100"/>
    <mergeCell ref="E99:E100"/>
    <mergeCell ref="F95:F96"/>
    <mergeCell ref="G95:G96"/>
    <mergeCell ref="H95:H96"/>
    <mergeCell ref="I95:I96"/>
    <mergeCell ref="J95:J96"/>
    <mergeCell ref="K95:K96"/>
    <mergeCell ref="L91:L92"/>
    <mergeCell ref="M91:M92"/>
    <mergeCell ref="N91:N92"/>
    <mergeCell ref="O91:O92"/>
    <mergeCell ref="P91:P92"/>
    <mergeCell ref="A95:A98"/>
    <mergeCell ref="B95:B96"/>
    <mergeCell ref="C95:C96"/>
    <mergeCell ref="D95:D96"/>
    <mergeCell ref="E95:E96"/>
    <mergeCell ref="F91:F92"/>
    <mergeCell ref="G91:G92"/>
    <mergeCell ref="H91:H92"/>
    <mergeCell ref="I91:I92"/>
    <mergeCell ref="J91:J92"/>
    <mergeCell ref="K91:K92"/>
    <mergeCell ref="L103:L104"/>
    <mergeCell ref="M103:M104"/>
    <mergeCell ref="N103:N104"/>
    <mergeCell ref="O103:O104"/>
    <mergeCell ref="P103:P104"/>
    <mergeCell ref="A107:A110"/>
    <mergeCell ref="B107:B108"/>
    <mergeCell ref="C107:C108"/>
    <mergeCell ref="D107:D108"/>
    <mergeCell ref="E107:E108"/>
    <mergeCell ref="F103:F104"/>
    <mergeCell ref="G103:G104"/>
    <mergeCell ref="H103:H104"/>
    <mergeCell ref="I103:I104"/>
    <mergeCell ref="J103:J104"/>
    <mergeCell ref="K103:K104"/>
    <mergeCell ref="L99:L100"/>
    <mergeCell ref="M99:M100"/>
    <mergeCell ref="N99:N100"/>
    <mergeCell ref="O99:O100"/>
    <mergeCell ref="P99:P100"/>
    <mergeCell ref="A103:A106"/>
    <mergeCell ref="B103:B104"/>
    <mergeCell ref="C103:C104"/>
    <mergeCell ref="D103:D104"/>
    <mergeCell ref="E103:E104"/>
    <mergeCell ref="F99:F100"/>
    <mergeCell ref="G99:G100"/>
    <mergeCell ref="H99:H100"/>
    <mergeCell ref="I99:I100"/>
    <mergeCell ref="J99:J100"/>
    <mergeCell ref="K99:K100"/>
    <mergeCell ref="L111:L112"/>
    <mergeCell ref="M111:M112"/>
    <mergeCell ref="N111:N112"/>
    <mergeCell ref="O111:O112"/>
    <mergeCell ref="P111:P112"/>
    <mergeCell ref="A115:A118"/>
    <mergeCell ref="B115:B116"/>
    <mergeCell ref="C115:C116"/>
    <mergeCell ref="D115:D116"/>
    <mergeCell ref="E115:E116"/>
    <mergeCell ref="F111:F112"/>
    <mergeCell ref="G111:G112"/>
    <mergeCell ref="H111:H112"/>
    <mergeCell ref="I111:I112"/>
    <mergeCell ref="J111:J112"/>
    <mergeCell ref="K111:K112"/>
    <mergeCell ref="L107:L108"/>
    <mergeCell ref="M107:M108"/>
    <mergeCell ref="N107:N108"/>
    <mergeCell ref="O107:O108"/>
    <mergeCell ref="P107:P108"/>
    <mergeCell ref="A111:A114"/>
    <mergeCell ref="B111:B112"/>
    <mergeCell ref="C111:C112"/>
    <mergeCell ref="D111:D112"/>
    <mergeCell ref="E111:E112"/>
    <mergeCell ref="F107:F108"/>
    <mergeCell ref="G107:G108"/>
    <mergeCell ref="H107:H108"/>
    <mergeCell ref="I107:I108"/>
    <mergeCell ref="J107:J108"/>
    <mergeCell ref="K107:K108"/>
    <mergeCell ref="L119:L120"/>
    <mergeCell ref="M119:M120"/>
    <mergeCell ref="N119:N120"/>
    <mergeCell ref="O119:O120"/>
    <mergeCell ref="P119:P120"/>
    <mergeCell ref="A123:A126"/>
    <mergeCell ref="B123:B124"/>
    <mergeCell ref="C123:C124"/>
    <mergeCell ref="D123:D124"/>
    <mergeCell ref="E123:E124"/>
    <mergeCell ref="F119:F120"/>
    <mergeCell ref="G119:G120"/>
    <mergeCell ref="H119:H120"/>
    <mergeCell ref="I119:I120"/>
    <mergeCell ref="J119:J120"/>
    <mergeCell ref="K119:K120"/>
    <mergeCell ref="L115:L116"/>
    <mergeCell ref="M115:M116"/>
    <mergeCell ref="N115:N116"/>
    <mergeCell ref="O115:O116"/>
    <mergeCell ref="P115:P116"/>
    <mergeCell ref="A119:A122"/>
    <mergeCell ref="B119:B120"/>
    <mergeCell ref="C119:C120"/>
    <mergeCell ref="D119:D120"/>
    <mergeCell ref="E119:E120"/>
    <mergeCell ref="F115:F116"/>
    <mergeCell ref="G115:G116"/>
    <mergeCell ref="H115:H116"/>
    <mergeCell ref="I115:I116"/>
    <mergeCell ref="J115:J116"/>
    <mergeCell ref="K115:K116"/>
    <mergeCell ref="L127:L128"/>
    <mergeCell ref="M127:M128"/>
    <mergeCell ref="N127:N128"/>
    <mergeCell ref="O127:O128"/>
    <mergeCell ref="P127:P128"/>
    <mergeCell ref="A131:A134"/>
    <mergeCell ref="B131:B132"/>
    <mergeCell ref="C131:C132"/>
    <mergeCell ref="D131:D132"/>
    <mergeCell ref="E131:E132"/>
    <mergeCell ref="F127:F128"/>
    <mergeCell ref="G127:G128"/>
    <mergeCell ref="H127:H128"/>
    <mergeCell ref="I127:I128"/>
    <mergeCell ref="J127:J128"/>
    <mergeCell ref="K127:K128"/>
    <mergeCell ref="L123:L124"/>
    <mergeCell ref="M123:M124"/>
    <mergeCell ref="N123:N124"/>
    <mergeCell ref="O123:O124"/>
    <mergeCell ref="P123:P124"/>
    <mergeCell ref="A127:A130"/>
    <mergeCell ref="B127:B128"/>
    <mergeCell ref="C127:C128"/>
    <mergeCell ref="D127:D128"/>
    <mergeCell ref="E127:E128"/>
    <mergeCell ref="F123:F124"/>
    <mergeCell ref="G123:G124"/>
    <mergeCell ref="H123:H124"/>
    <mergeCell ref="I123:I124"/>
    <mergeCell ref="J123:J124"/>
    <mergeCell ref="K123:K124"/>
    <mergeCell ref="L135:L136"/>
    <mergeCell ref="M135:M136"/>
    <mergeCell ref="N135:N136"/>
    <mergeCell ref="O135:O136"/>
    <mergeCell ref="P135:P136"/>
    <mergeCell ref="A139:A142"/>
    <mergeCell ref="B139:B140"/>
    <mergeCell ref="C139:C140"/>
    <mergeCell ref="D139:D140"/>
    <mergeCell ref="E139:E140"/>
    <mergeCell ref="F135:F136"/>
    <mergeCell ref="G135:G136"/>
    <mergeCell ref="H135:H136"/>
    <mergeCell ref="I135:I136"/>
    <mergeCell ref="J135:J136"/>
    <mergeCell ref="K135:K136"/>
    <mergeCell ref="L131:L132"/>
    <mergeCell ref="M131:M132"/>
    <mergeCell ref="N131:N132"/>
    <mergeCell ref="O131:O132"/>
    <mergeCell ref="P131:P132"/>
    <mergeCell ref="A135:A138"/>
    <mergeCell ref="B135:B136"/>
    <mergeCell ref="C135:C136"/>
    <mergeCell ref="D135:D136"/>
    <mergeCell ref="E135:E136"/>
    <mergeCell ref="F131:F132"/>
    <mergeCell ref="G131:G132"/>
    <mergeCell ref="H131:H132"/>
    <mergeCell ref="I131:I132"/>
    <mergeCell ref="J131:J132"/>
    <mergeCell ref="K131:K132"/>
    <mergeCell ref="L143:L144"/>
    <mergeCell ref="M143:M144"/>
    <mergeCell ref="N143:N144"/>
    <mergeCell ref="O143:O144"/>
    <mergeCell ref="P143:P144"/>
    <mergeCell ref="A147:A150"/>
    <mergeCell ref="B147:B148"/>
    <mergeCell ref="C147:C148"/>
    <mergeCell ref="D147:D148"/>
    <mergeCell ref="E147:E148"/>
    <mergeCell ref="F143:F144"/>
    <mergeCell ref="G143:G144"/>
    <mergeCell ref="H143:H144"/>
    <mergeCell ref="I143:I144"/>
    <mergeCell ref="J143:J144"/>
    <mergeCell ref="K143:K144"/>
    <mergeCell ref="L139:L140"/>
    <mergeCell ref="M139:M140"/>
    <mergeCell ref="N139:N140"/>
    <mergeCell ref="O139:O140"/>
    <mergeCell ref="P139:P140"/>
    <mergeCell ref="A143:A146"/>
    <mergeCell ref="B143:B144"/>
    <mergeCell ref="C143:C144"/>
    <mergeCell ref="D143:D144"/>
    <mergeCell ref="E143:E144"/>
    <mergeCell ref="F139:F140"/>
    <mergeCell ref="G139:G140"/>
    <mergeCell ref="H139:H140"/>
    <mergeCell ref="I139:I140"/>
    <mergeCell ref="J139:J140"/>
    <mergeCell ref="K139:K140"/>
    <mergeCell ref="L151:L152"/>
    <mergeCell ref="M151:M152"/>
    <mergeCell ref="N151:N152"/>
    <mergeCell ref="O151:O152"/>
    <mergeCell ref="P151:P152"/>
    <mergeCell ref="A155:A158"/>
    <mergeCell ref="B155:B156"/>
    <mergeCell ref="C155:C156"/>
    <mergeCell ref="D155:D156"/>
    <mergeCell ref="E155:E156"/>
    <mergeCell ref="F151:F152"/>
    <mergeCell ref="G151:G152"/>
    <mergeCell ref="H151:H152"/>
    <mergeCell ref="I151:I152"/>
    <mergeCell ref="J151:J152"/>
    <mergeCell ref="K151:K152"/>
    <mergeCell ref="L147:L148"/>
    <mergeCell ref="M147:M148"/>
    <mergeCell ref="N147:N148"/>
    <mergeCell ref="O147:O148"/>
    <mergeCell ref="P147:P148"/>
    <mergeCell ref="A151:A154"/>
    <mergeCell ref="B151:B152"/>
    <mergeCell ref="C151:C152"/>
    <mergeCell ref="D151:D152"/>
    <mergeCell ref="E151:E152"/>
    <mergeCell ref="F147:F148"/>
    <mergeCell ref="G147:G148"/>
    <mergeCell ref="H147:H148"/>
    <mergeCell ref="I147:I148"/>
    <mergeCell ref="J147:J148"/>
    <mergeCell ref="K147:K148"/>
    <mergeCell ref="L159:L160"/>
    <mergeCell ref="M159:M160"/>
    <mergeCell ref="N159:N160"/>
    <mergeCell ref="O159:O160"/>
    <mergeCell ref="P159:P160"/>
    <mergeCell ref="A163:A166"/>
    <mergeCell ref="B163:B164"/>
    <mergeCell ref="C163:C164"/>
    <mergeCell ref="D163:D164"/>
    <mergeCell ref="E163:E164"/>
    <mergeCell ref="F159:F160"/>
    <mergeCell ref="G159:G160"/>
    <mergeCell ref="H159:H160"/>
    <mergeCell ref="I159:I160"/>
    <mergeCell ref="J159:J160"/>
    <mergeCell ref="K159:K160"/>
    <mergeCell ref="L155:L156"/>
    <mergeCell ref="M155:M156"/>
    <mergeCell ref="N155:N156"/>
    <mergeCell ref="O155:O156"/>
    <mergeCell ref="P155:P156"/>
    <mergeCell ref="A159:A162"/>
    <mergeCell ref="B159:B160"/>
    <mergeCell ref="C159:C160"/>
    <mergeCell ref="D159:D160"/>
    <mergeCell ref="E159:E160"/>
    <mergeCell ref="F155:F156"/>
    <mergeCell ref="G155:G156"/>
    <mergeCell ref="H155:H156"/>
    <mergeCell ref="I155:I156"/>
    <mergeCell ref="J155:J156"/>
    <mergeCell ref="K155:K156"/>
    <mergeCell ref="L167:L168"/>
    <mergeCell ref="M167:M168"/>
    <mergeCell ref="N167:N168"/>
    <mergeCell ref="O167:O168"/>
    <mergeCell ref="P167:P168"/>
    <mergeCell ref="A171:A174"/>
    <mergeCell ref="B171:B172"/>
    <mergeCell ref="C171:C172"/>
    <mergeCell ref="D171:D172"/>
    <mergeCell ref="E171:E172"/>
    <mergeCell ref="F167:F168"/>
    <mergeCell ref="G167:G168"/>
    <mergeCell ref="H167:H168"/>
    <mergeCell ref="I167:I168"/>
    <mergeCell ref="J167:J168"/>
    <mergeCell ref="K167:K168"/>
    <mergeCell ref="L163:L164"/>
    <mergeCell ref="M163:M164"/>
    <mergeCell ref="N163:N164"/>
    <mergeCell ref="O163:O164"/>
    <mergeCell ref="P163:P164"/>
    <mergeCell ref="A167:A170"/>
    <mergeCell ref="B167:B168"/>
    <mergeCell ref="C167:C168"/>
    <mergeCell ref="D167:D168"/>
    <mergeCell ref="E167:E168"/>
    <mergeCell ref="F163:F164"/>
    <mergeCell ref="G163:G164"/>
    <mergeCell ref="H163:H164"/>
    <mergeCell ref="I163:I164"/>
    <mergeCell ref="J163:J164"/>
    <mergeCell ref="K163:K164"/>
    <mergeCell ref="A183:A186"/>
    <mergeCell ref="B183:B184"/>
    <mergeCell ref="C183:C184"/>
    <mergeCell ref="D183:D184"/>
    <mergeCell ref="E183:E184"/>
    <mergeCell ref="L175:L176"/>
    <mergeCell ref="M175:M176"/>
    <mergeCell ref="N175:N176"/>
    <mergeCell ref="O175:O176"/>
    <mergeCell ref="P175:P176"/>
    <mergeCell ref="F175:F176"/>
    <mergeCell ref="G175:G176"/>
    <mergeCell ref="H175:H176"/>
    <mergeCell ref="I175:I176"/>
    <mergeCell ref="J175:J176"/>
    <mergeCell ref="K175:K176"/>
    <mergeCell ref="L171:L172"/>
    <mergeCell ref="M171:M172"/>
    <mergeCell ref="N171:N172"/>
    <mergeCell ref="O171:O172"/>
    <mergeCell ref="P171:P172"/>
    <mergeCell ref="A175:A178"/>
    <mergeCell ref="B175:B176"/>
    <mergeCell ref="C175:C176"/>
    <mergeCell ref="D175:D176"/>
    <mergeCell ref="E175:E176"/>
    <mergeCell ref="F171:F172"/>
    <mergeCell ref="G171:G172"/>
    <mergeCell ref="H171:H172"/>
    <mergeCell ref="I171:I172"/>
    <mergeCell ref="J171:J172"/>
    <mergeCell ref="K171:K172"/>
    <mergeCell ref="L187:L188"/>
    <mergeCell ref="M187:M188"/>
    <mergeCell ref="N187:N188"/>
    <mergeCell ref="O187:O188"/>
    <mergeCell ref="P187:P188"/>
    <mergeCell ref="A191:A194"/>
    <mergeCell ref="B191:B192"/>
    <mergeCell ref="C191:C192"/>
    <mergeCell ref="D191:D192"/>
    <mergeCell ref="E191:E192"/>
    <mergeCell ref="F187:F188"/>
    <mergeCell ref="G187:G188"/>
    <mergeCell ref="H187:H188"/>
    <mergeCell ref="I187:I188"/>
    <mergeCell ref="J187:J188"/>
    <mergeCell ref="K187:K188"/>
    <mergeCell ref="L183:L184"/>
    <mergeCell ref="M183:M184"/>
    <mergeCell ref="N183:N184"/>
    <mergeCell ref="O183:O184"/>
    <mergeCell ref="P183:P184"/>
    <mergeCell ref="A187:A190"/>
    <mergeCell ref="B187:B188"/>
    <mergeCell ref="C187:C188"/>
    <mergeCell ref="D187:D188"/>
    <mergeCell ref="E187:E188"/>
    <mergeCell ref="F183:F184"/>
    <mergeCell ref="G183:G184"/>
    <mergeCell ref="H183:H184"/>
    <mergeCell ref="I183:I184"/>
    <mergeCell ref="J183:J184"/>
    <mergeCell ref="K183:K184"/>
    <mergeCell ref="L195:L196"/>
    <mergeCell ref="M195:M196"/>
    <mergeCell ref="N195:N196"/>
    <mergeCell ref="O195:O196"/>
    <mergeCell ref="P195:P196"/>
    <mergeCell ref="A199:A202"/>
    <mergeCell ref="B199:B200"/>
    <mergeCell ref="C199:C200"/>
    <mergeCell ref="D199:D200"/>
    <mergeCell ref="E199:E200"/>
    <mergeCell ref="F195:F196"/>
    <mergeCell ref="G195:G196"/>
    <mergeCell ref="H195:H196"/>
    <mergeCell ref="I195:I196"/>
    <mergeCell ref="J195:J196"/>
    <mergeCell ref="K195:K196"/>
    <mergeCell ref="L191:L192"/>
    <mergeCell ref="M191:M192"/>
    <mergeCell ref="N191:N192"/>
    <mergeCell ref="O191:O192"/>
    <mergeCell ref="P191:P192"/>
    <mergeCell ref="A195:A198"/>
    <mergeCell ref="B195:B196"/>
    <mergeCell ref="C195:C196"/>
    <mergeCell ref="D195:D196"/>
    <mergeCell ref="E195:E196"/>
    <mergeCell ref="F191:F192"/>
    <mergeCell ref="G191:G192"/>
    <mergeCell ref="H191:H192"/>
    <mergeCell ref="I191:I192"/>
    <mergeCell ref="J191:J192"/>
    <mergeCell ref="K191:K192"/>
    <mergeCell ref="L203:L204"/>
    <mergeCell ref="M203:M204"/>
    <mergeCell ref="N203:N204"/>
    <mergeCell ref="O203:O204"/>
    <mergeCell ref="P203:P204"/>
    <mergeCell ref="A207:A210"/>
    <mergeCell ref="B207:B208"/>
    <mergeCell ref="C207:C208"/>
    <mergeCell ref="D207:D208"/>
    <mergeCell ref="E207:E208"/>
    <mergeCell ref="F203:F204"/>
    <mergeCell ref="G203:G204"/>
    <mergeCell ref="H203:H204"/>
    <mergeCell ref="I203:I204"/>
    <mergeCell ref="J203:J204"/>
    <mergeCell ref="K203:K204"/>
    <mergeCell ref="L199:L200"/>
    <mergeCell ref="M199:M200"/>
    <mergeCell ref="N199:N200"/>
    <mergeCell ref="O199:O200"/>
    <mergeCell ref="P199:P200"/>
    <mergeCell ref="A203:A206"/>
    <mergeCell ref="B203:B204"/>
    <mergeCell ref="C203:C204"/>
    <mergeCell ref="D203:D204"/>
    <mergeCell ref="E203:E204"/>
    <mergeCell ref="F199:F200"/>
    <mergeCell ref="G199:G200"/>
    <mergeCell ref="H199:H200"/>
    <mergeCell ref="I199:I200"/>
    <mergeCell ref="J199:J200"/>
    <mergeCell ref="K199:K200"/>
    <mergeCell ref="L211:L212"/>
    <mergeCell ref="M211:M212"/>
    <mergeCell ref="N211:N212"/>
    <mergeCell ref="O211:O212"/>
    <mergeCell ref="P211:P212"/>
    <mergeCell ref="A215:A218"/>
    <mergeCell ref="B215:B216"/>
    <mergeCell ref="C215:C216"/>
    <mergeCell ref="D215:D216"/>
    <mergeCell ref="E215:E216"/>
    <mergeCell ref="F211:F212"/>
    <mergeCell ref="G211:G212"/>
    <mergeCell ref="H211:H212"/>
    <mergeCell ref="I211:I212"/>
    <mergeCell ref="J211:J212"/>
    <mergeCell ref="K211:K212"/>
    <mergeCell ref="L207:L208"/>
    <mergeCell ref="M207:M208"/>
    <mergeCell ref="N207:N208"/>
    <mergeCell ref="O207:O208"/>
    <mergeCell ref="P207:P208"/>
    <mergeCell ref="A211:A214"/>
    <mergeCell ref="B211:B212"/>
    <mergeCell ref="C211:C212"/>
    <mergeCell ref="D211:D212"/>
    <mergeCell ref="E211:E212"/>
    <mergeCell ref="F207:F208"/>
    <mergeCell ref="G207:G208"/>
    <mergeCell ref="H207:H208"/>
    <mergeCell ref="I207:I208"/>
    <mergeCell ref="J207:J208"/>
    <mergeCell ref="K207:K208"/>
    <mergeCell ref="L219:L220"/>
    <mergeCell ref="M219:M220"/>
    <mergeCell ref="N219:N220"/>
    <mergeCell ref="O219:O220"/>
    <mergeCell ref="P219:P220"/>
    <mergeCell ref="A223:A226"/>
    <mergeCell ref="B223:B224"/>
    <mergeCell ref="C223:C224"/>
    <mergeCell ref="D223:D224"/>
    <mergeCell ref="E223:E224"/>
    <mergeCell ref="F219:F220"/>
    <mergeCell ref="G219:G220"/>
    <mergeCell ref="H219:H220"/>
    <mergeCell ref="I219:I220"/>
    <mergeCell ref="J219:J220"/>
    <mergeCell ref="K219:K220"/>
    <mergeCell ref="L215:L216"/>
    <mergeCell ref="M215:M216"/>
    <mergeCell ref="N215:N216"/>
    <mergeCell ref="O215:O216"/>
    <mergeCell ref="P215:P216"/>
    <mergeCell ref="A219:A222"/>
    <mergeCell ref="B219:B220"/>
    <mergeCell ref="C219:C220"/>
    <mergeCell ref="D219:D220"/>
    <mergeCell ref="E219:E220"/>
    <mergeCell ref="F215:F216"/>
    <mergeCell ref="G215:G216"/>
    <mergeCell ref="H215:H216"/>
    <mergeCell ref="I215:I216"/>
    <mergeCell ref="J215:J216"/>
    <mergeCell ref="K215:K216"/>
    <mergeCell ref="L231:L232"/>
    <mergeCell ref="M231:M232"/>
    <mergeCell ref="N231:N232"/>
    <mergeCell ref="O231:O232"/>
    <mergeCell ref="P231:P232"/>
    <mergeCell ref="A235:A238"/>
    <mergeCell ref="B235:B236"/>
    <mergeCell ref="C235:C236"/>
    <mergeCell ref="D235:D236"/>
    <mergeCell ref="E235:E236"/>
    <mergeCell ref="F231:F232"/>
    <mergeCell ref="G231:G232"/>
    <mergeCell ref="H231:H232"/>
    <mergeCell ref="I231:I232"/>
    <mergeCell ref="J231:J232"/>
    <mergeCell ref="K231:K232"/>
    <mergeCell ref="L223:L224"/>
    <mergeCell ref="M223:M224"/>
    <mergeCell ref="N223:N224"/>
    <mergeCell ref="O223:O224"/>
    <mergeCell ref="P223:P224"/>
    <mergeCell ref="A231:A234"/>
    <mergeCell ref="B231:B232"/>
    <mergeCell ref="C231:C232"/>
    <mergeCell ref="D231:D232"/>
    <mergeCell ref="E231:E232"/>
    <mergeCell ref="F223:F224"/>
    <mergeCell ref="G223:G224"/>
    <mergeCell ref="H223:H224"/>
    <mergeCell ref="I223:I224"/>
    <mergeCell ref="J223:J224"/>
    <mergeCell ref="K223:K224"/>
    <mergeCell ref="L239:L240"/>
    <mergeCell ref="M239:M240"/>
    <mergeCell ref="N239:N240"/>
    <mergeCell ref="O239:O240"/>
    <mergeCell ref="P239:P240"/>
    <mergeCell ref="F239:F240"/>
    <mergeCell ref="G239:G240"/>
    <mergeCell ref="H239:H240"/>
    <mergeCell ref="I239:I240"/>
    <mergeCell ref="J239:J240"/>
    <mergeCell ref="K239:K240"/>
    <mergeCell ref="L235:L236"/>
    <mergeCell ref="M235:M236"/>
    <mergeCell ref="N235:N236"/>
    <mergeCell ref="O235:O236"/>
    <mergeCell ref="P235:P236"/>
    <mergeCell ref="A239:A242"/>
    <mergeCell ref="B239:B240"/>
    <mergeCell ref="C239:C240"/>
    <mergeCell ref="D239:D240"/>
    <mergeCell ref="E239:E240"/>
    <mergeCell ref="F235:F236"/>
    <mergeCell ref="G235:G236"/>
    <mergeCell ref="H235:H236"/>
    <mergeCell ref="I235:I236"/>
    <mergeCell ref="J235:J236"/>
    <mergeCell ref="K235:K236"/>
    <mergeCell ref="L243:L244"/>
    <mergeCell ref="M243:M244"/>
    <mergeCell ref="N243:N244"/>
    <mergeCell ref="O243:O244"/>
    <mergeCell ref="P243:P244"/>
    <mergeCell ref="A247:A250"/>
    <mergeCell ref="B247:B248"/>
    <mergeCell ref="C247:C248"/>
    <mergeCell ref="D247:D248"/>
    <mergeCell ref="E247:E248"/>
    <mergeCell ref="F243:F244"/>
    <mergeCell ref="G243:G244"/>
    <mergeCell ref="H243:H244"/>
    <mergeCell ref="I243:I244"/>
    <mergeCell ref="J243:J244"/>
    <mergeCell ref="K243:K244"/>
    <mergeCell ref="A243:A246"/>
    <mergeCell ref="B243:B244"/>
    <mergeCell ref="C243:C244"/>
    <mergeCell ref="D243:D244"/>
    <mergeCell ref="E243:E244"/>
    <mergeCell ref="L251:L252"/>
    <mergeCell ref="M251:M252"/>
    <mergeCell ref="N251:N252"/>
    <mergeCell ref="O251:O252"/>
    <mergeCell ref="P251:P252"/>
    <mergeCell ref="A255:A258"/>
    <mergeCell ref="B255:B256"/>
    <mergeCell ref="C255:C256"/>
    <mergeCell ref="D255:D256"/>
    <mergeCell ref="E255:E256"/>
    <mergeCell ref="F251:F252"/>
    <mergeCell ref="G251:G252"/>
    <mergeCell ref="H251:H252"/>
    <mergeCell ref="I251:I252"/>
    <mergeCell ref="J251:J252"/>
    <mergeCell ref="K251:K252"/>
    <mergeCell ref="L247:L248"/>
    <mergeCell ref="M247:M248"/>
    <mergeCell ref="N247:N248"/>
    <mergeCell ref="O247:O248"/>
    <mergeCell ref="P247:P248"/>
    <mergeCell ref="A251:A254"/>
    <mergeCell ref="B251:B252"/>
    <mergeCell ref="C251:C252"/>
    <mergeCell ref="D251:D252"/>
    <mergeCell ref="E251:E252"/>
    <mergeCell ref="F247:F248"/>
    <mergeCell ref="G247:G248"/>
    <mergeCell ref="H247:H248"/>
    <mergeCell ref="I247:I248"/>
    <mergeCell ref="J247:J248"/>
    <mergeCell ref="K247:K248"/>
    <mergeCell ref="L259:L260"/>
    <mergeCell ref="M259:M260"/>
    <mergeCell ref="N259:N260"/>
    <mergeCell ref="O259:O260"/>
    <mergeCell ref="P259:P260"/>
    <mergeCell ref="A263:A266"/>
    <mergeCell ref="B263:B264"/>
    <mergeCell ref="C263:C264"/>
    <mergeCell ref="D263:D264"/>
    <mergeCell ref="E263:E264"/>
    <mergeCell ref="F259:F260"/>
    <mergeCell ref="G259:G260"/>
    <mergeCell ref="H259:H260"/>
    <mergeCell ref="I259:I260"/>
    <mergeCell ref="J259:J260"/>
    <mergeCell ref="K259:K260"/>
    <mergeCell ref="L255:L256"/>
    <mergeCell ref="M255:M256"/>
    <mergeCell ref="N255:N256"/>
    <mergeCell ref="O255:O256"/>
    <mergeCell ref="P255:P256"/>
    <mergeCell ref="A259:A262"/>
    <mergeCell ref="B259:B260"/>
    <mergeCell ref="C259:C260"/>
    <mergeCell ref="D259:D260"/>
    <mergeCell ref="E259:E260"/>
    <mergeCell ref="F255:F256"/>
    <mergeCell ref="G255:G256"/>
    <mergeCell ref="H255:H256"/>
    <mergeCell ref="I255:I256"/>
    <mergeCell ref="J255:J256"/>
    <mergeCell ref="K255:K256"/>
    <mergeCell ref="L267:L268"/>
    <mergeCell ref="M267:M268"/>
    <mergeCell ref="N267:N268"/>
    <mergeCell ref="O267:O268"/>
    <mergeCell ref="P267:P268"/>
    <mergeCell ref="A271:A274"/>
    <mergeCell ref="B271:B272"/>
    <mergeCell ref="C271:C272"/>
    <mergeCell ref="D271:D272"/>
    <mergeCell ref="E271:E272"/>
    <mergeCell ref="F267:F268"/>
    <mergeCell ref="G267:G268"/>
    <mergeCell ref="H267:H268"/>
    <mergeCell ref="I267:I268"/>
    <mergeCell ref="J267:J268"/>
    <mergeCell ref="K267:K268"/>
    <mergeCell ref="L263:L264"/>
    <mergeCell ref="M263:M264"/>
    <mergeCell ref="N263:N264"/>
    <mergeCell ref="O263:O264"/>
    <mergeCell ref="P263:P264"/>
    <mergeCell ref="A267:A270"/>
    <mergeCell ref="B267:B268"/>
    <mergeCell ref="C267:C268"/>
    <mergeCell ref="D267:D268"/>
    <mergeCell ref="E267:E268"/>
    <mergeCell ref="F263:F264"/>
    <mergeCell ref="G263:G264"/>
    <mergeCell ref="H263:H264"/>
    <mergeCell ref="I263:I264"/>
    <mergeCell ref="J263:J264"/>
    <mergeCell ref="K263:K264"/>
    <mergeCell ref="L275:L276"/>
    <mergeCell ref="M275:M276"/>
    <mergeCell ref="N275:N276"/>
    <mergeCell ref="O275:O276"/>
    <mergeCell ref="P275:P276"/>
    <mergeCell ref="A283:A286"/>
    <mergeCell ref="B283:B284"/>
    <mergeCell ref="C283:C284"/>
    <mergeCell ref="D283:D284"/>
    <mergeCell ref="E283:E284"/>
    <mergeCell ref="F275:F276"/>
    <mergeCell ref="G275:G276"/>
    <mergeCell ref="H275:H276"/>
    <mergeCell ref="I275:I276"/>
    <mergeCell ref="J275:J276"/>
    <mergeCell ref="K275:K276"/>
    <mergeCell ref="L271:L272"/>
    <mergeCell ref="M271:M272"/>
    <mergeCell ref="N271:N272"/>
    <mergeCell ref="O271:O272"/>
    <mergeCell ref="P271:P272"/>
    <mergeCell ref="A275:A278"/>
    <mergeCell ref="B275:B276"/>
    <mergeCell ref="C275:C276"/>
    <mergeCell ref="D275:D276"/>
    <mergeCell ref="E275:E276"/>
    <mergeCell ref="F271:F272"/>
    <mergeCell ref="G271:G272"/>
    <mergeCell ref="H271:H272"/>
    <mergeCell ref="I271:I272"/>
    <mergeCell ref="J271:J272"/>
    <mergeCell ref="K271:K272"/>
    <mergeCell ref="L287:L288"/>
    <mergeCell ref="M287:M288"/>
    <mergeCell ref="N287:N288"/>
    <mergeCell ref="O287:O288"/>
    <mergeCell ref="P287:P288"/>
    <mergeCell ref="A291:A294"/>
    <mergeCell ref="B291:B292"/>
    <mergeCell ref="C291:C292"/>
    <mergeCell ref="D291:D292"/>
    <mergeCell ref="E291:E292"/>
    <mergeCell ref="F287:F288"/>
    <mergeCell ref="G287:G288"/>
    <mergeCell ref="H287:H288"/>
    <mergeCell ref="I287:I288"/>
    <mergeCell ref="J287:J288"/>
    <mergeCell ref="K287:K288"/>
    <mergeCell ref="L283:L284"/>
    <mergeCell ref="M283:M284"/>
    <mergeCell ref="N283:N284"/>
    <mergeCell ref="O283:O284"/>
    <mergeCell ref="P283:P284"/>
    <mergeCell ref="A287:A290"/>
    <mergeCell ref="B287:B288"/>
    <mergeCell ref="C287:C288"/>
    <mergeCell ref="D287:D288"/>
    <mergeCell ref="E287:E288"/>
    <mergeCell ref="F283:F284"/>
    <mergeCell ref="G283:G284"/>
    <mergeCell ref="H283:H284"/>
    <mergeCell ref="I283:I284"/>
    <mergeCell ref="J283:J284"/>
    <mergeCell ref="K283:K284"/>
    <mergeCell ref="L295:L296"/>
    <mergeCell ref="M295:M296"/>
    <mergeCell ref="N295:N296"/>
    <mergeCell ref="O295:O296"/>
    <mergeCell ref="P295:P296"/>
    <mergeCell ref="A299:A302"/>
    <mergeCell ref="B299:B300"/>
    <mergeCell ref="C299:C300"/>
    <mergeCell ref="D299:D300"/>
    <mergeCell ref="E299:E300"/>
    <mergeCell ref="F295:F296"/>
    <mergeCell ref="G295:G296"/>
    <mergeCell ref="H295:H296"/>
    <mergeCell ref="I295:I296"/>
    <mergeCell ref="J295:J296"/>
    <mergeCell ref="K295:K296"/>
    <mergeCell ref="L291:L292"/>
    <mergeCell ref="M291:M292"/>
    <mergeCell ref="N291:N292"/>
    <mergeCell ref="O291:O292"/>
    <mergeCell ref="P291:P292"/>
    <mergeCell ref="A295:A298"/>
    <mergeCell ref="B295:B296"/>
    <mergeCell ref="C295:C296"/>
    <mergeCell ref="D295:D296"/>
    <mergeCell ref="E295:E296"/>
    <mergeCell ref="F291:F292"/>
    <mergeCell ref="G291:G292"/>
    <mergeCell ref="H291:H292"/>
    <mergeCell ref="I291:I292"/>
    <mergeCell ref="J291:J292"/>
    <mergeCell ref="K291:K292"/>
    <mergeCell ref="L303:L304"/>
    <mergeCell ref="M303:M304"/>
    <mergeCell ref="N303:N304"/>
    <mergeCell ref="O303:O304"/>
    <mergeCell ref="P303:P304"/>
    <mergeCell ref="A307:A310"/>
    <mergeCell ref="B307:B308"/>
    <mergeCell ref="C307:C308"/>
    <mergeCell ref="D307:D308"/>
    <mergeCell ref="E307:E308"/>
    <mergeCell ref="F303:F304"/>
    <mergeCell ref="G303:G304"/>
    <mergeCell ref="H303:H304"/>
    <mergeCell ref="I303:I304"/>
    <mergeCell ref="J303:J304"/>
    <mergeCell ref="K303:K304"/>
    <mergeCell ref="L299:L300"/>
    <mergeCell ref="M299:M300"/>
    <mergeCell ref="N299:N300"/>
    <mergeCell ref="O299:O300"/>
    <mergeCell ref="P299:P300"/>
    <mergeCell ref="A303:A306"/>
    <mergeCell ref="B303:B304"/>
    <mergeCell ref="C303:C304"/>
    <mergeCell ref="D303:D304"/>
    <mergeCell ref="E303:E304"/>
    <mergeCell ref="F299:F300"/>
    <mergeCell ref="G299:G300"/>
    <mergeCell ref="H299:H300"/>
    <mergeCell ref="I299:I300"/>
    <mergeCell ref="J299:J300"/>
    <mergeCell ref="K299:K300"/>
    <mergeCell ref="L315:L316"/>
    <mergeCell ref="M315:M316"/>
    <mergeCell ref="N315:N316"/>
    <mergeCell ref="O315:O316"/>
    <mergeCell ref="P315:P316"/>
    <mergeCell ref="A319:A322"/>
    <mergeCell ref="B319:B320"/>
    <mergeCell ref="C319:C320"/>
    <mergeCell ref="D319:D320"/>
    <mergeCell ref="E319:E320"/>
    <mergeCell ref="F315:F316"/>
    <mergeCell ref="G315:G316"/>
    <mergeCell ref="H315:H316"/>
    <mergeCell ref="I315:I316"/>
    <mergeCell ref="J315:J316"/>
    <mergeCell ref="K315:K316"/>
    <mergeCell ref="L307:L308"/>
    <mergeCell ref="M307:M308"/>
    <mergeCell ref="N307:N308"/>
    <mergeCell ref="O307:O308"/>
    <mergeCell ref="P307:P308"/>
    <mergeCell ref="A315:A318"/>
    <mergeCell ref="B315:B316"/>
    <mergeCell ref="C315:C316"/>
    <mergeCell ref="D315:D316"/>
    <mergeCell ref="E315:E316"/>
    <mergeCell ref="F307:F308"/>
    <mergeCell ref="G307:G308"/>
    <mergeCell ref="H307:H308"/>
    <mergeCell ref="I307:I308"/>
    <mergeCell ref="J307:J308"/>
    <mergeCell ref="K307:K308"/>
    <mergeCell ref="L323:L324"/>
    <mergeCell ref="M323:M324"/>
    <mergeCell ref="N323:N324"/>
    <mergeCell ref="O323:O324"/>
    <mergeCell ref="P323:P324"/>
    <mergeCell ref="A327:A330"/>
    <mergeCell ref="B327:B328"/>
    <mergeCell ref="C327:C328"/>
    <mergeCell ref="D327:D328"/>
    <mergeCell ref="E327:E328"/>
    <mergeCell ref="F323:F324"/>
    <mergeCell ref="G323:G324"/>
    <mergeCell ref="H323:H324"/>
    <mergeCell ref="I323:I324"/>
    <mergeCell ref="J323:J324"/>
    <mergeCell ref="K323:K324"/>
    <mergeCell ref="L319:L320"/>
    <mergeCell ref="M319:M320"/>
    <mergeCell ref="N319:N320"/>
    <mergeCell ref="O319:O320"/>
    <mergeCell ref="P319:P320"/>
    <mergeCell ref="A323:A326"/>
    <mergeCell ref="B323:B324"/>
    <mergeCell ref="C323:C324"/>
    <mergeCell ref="D323:D324"/>
    <mergeCell ref="E323:E324"/>
    <mergeCell ref="F319:F320"/>
    <mergeCell ref="G319:G320"/>
    <mergeCell ref="H319:H320"/>
    <mergeCell ref="I319:I320"/>
    <mergeCell ref="J319:J320"/>
    <mergeCell ref="K319:K320"/>
    <mergeCell ref="L331:L332"/>
    <mergeCell ref="M331:M332"/>
    <mergeCell ref="N331:N332"/>
    <mergeCell ref="O331:O332"/>
    <mergeCell ref="P331:P332"/>
    <mergeCell ref="A335:A338"/>
    <mergeCell ref="B335:B336"/>
    <mergeCell ref="C335:C336"/>
    <mergeCell ref="D335:D336"/>
    <mergeCell ref="E335:E336"/>
    <mergeCell ref="F331:F332"/>
    <mergeCell ref="G331:G332"/>
    <mergeCell ref="H331:H332"/>
    <mergeCell ref="I331:I332"/>
    <mergeCell ref="J331:J332"/>
    <mergeCell ref="K331:K332"/>
    <mergeCell ref="L327:L328"/>
    <mergeCell ref="M327:M328"/>
    <mergeCell ref="N327:N328"/>
    <mergeCell ref="O327:O328"/>
    <mergeCell ref="P327:P328"/>
    <mergeCell ref="A331:A334"/>
    <mergeCell ref="B331:B332"/>
    <mergeCell ref="C331:C332"/>
    <mergeCell ref="D331:D332"/>
    <mergeCell ref="E331:E332"/>
    <mergeCell ref="F327:F328"/>
    <mergeCell ref="G327:G328"/>
    <mergeCell ref="H327:H328"/>
    <mergeCell ref="I327:I328"/>
    <mergeCell ref="J327:J328"/>
    <mergeCell ref="K327:K328"/>
    <mergeCell ref="L339:L340"/>
    <mergeCell ref="M339:M340"/>
    <mergeCell ref="N339:N340"/>
    <mergeCell ref="O339:O340"/>
    <mergeCell ref="P339:P340"/>
    <mergeCell ref="A347:A350"/>
    <mergeCell ref="B347:B348"/>
    <mergeCell ref="C347:C348"/>
    <mergeCell ref="D347:D348"/>
    <mergeCell ref="E347:E348"/>
    <mergeCell ref="F339:F340"/>
    <mergeCell ref="G339:G340"/>
    <mergeCell ref="H339:H340"/>
    <mergeCell ref="I339:I340"/>
    <mergeCell ref="J339:J340"/>
    <mergeCell ref="K339:K340"/>
    <mergeCell ref="L335:L336"/>
    <mergeCell ref="M335:M336"/>
    <mergeCell ref="N335:N336"/>
    <mergeCell ref="O335:O336"/>
    <mergeCell ref="P335:P336"/>
    <mergeCell ref="A339:A342"/>
    <mergeCell ref="B339:B340"/>
    <mergeCell ref="C339:C340"/>
    <mergeCell ref="D339:D340"/>
    <mergeCell ref="E339:E340"/>
    <mergeCell ref="F335:F336"/>
    <mergeCell ref="G335:G336"/>
    <mergeCell ref="H335:H336"/>
    <mergeCell ref="I335:I336"/>
    <mergeCell ref="J335:J336"/>
    <mergeCell ref="K335:K336"/>
    <mergeCell ref="I351:I352"/>
    <mergeCell ref="J351:J352"/>
    <mergeCell ref="K351:K352"/>
    <mergeCell ref="L347:L348"/>
    <mergeCell ref="M347:M348"/>
    <mergeCell ref="N347:N348"/>
    <mergeCell ref="O347:O348"/>
    <mergeCell ref="P347:P348"/>
    <mergeCell ref="A351:A354"/>
    <mergeCell ref="B351:B352"/>
    <mergeCell ref="C351:C352"/>
    <mergeCell ref="D351:D352"/>
    <mergeCell ref="E351:E352"/>
    <mergeCell ref="F347:F348"/>
    <mergeCell ref="G347:G348"/>
    <mergeCell ref="H347:H348"/>
    <mergeCell ref="I347:I348"/>
    <mergeCell ref="J347:J348"/>
    <mergeCell ref="K347:K348"/>
    <mergeCell ref="L367:L368"/>
    <mergeCell ref="M367:M368"/>
    <mergeCell ref="N367:N368"/>
    <mergeCell ref="O367:O368"/>
    <mergeCell ref="P367:P368"/>
    <mergeCell ref="A371:A374"/>
    <mergeCell ref="B371:B372"/>
    <mergeCell ref="C371:C372"/>
    <mergeCell ref="D371:D372"/>
    <mergeCell ref="E371:E372"/>
    <mergeCell ref="F367:F368"/>
    <mergeCell ref="G367:G368"/>
    <mergeCell ref="H367:H368"/>
    <mergeCell ref="I367:I368"/>
    <mergeCell ref="J367:J368"/>
    <mergeCell ref="K367:K368"/>
    <mergeCell ref="L355:L356"/>
    <mergeCell ref="M355:M356"/>
    <mergeCell ref="N355:N356"/>
    <mergeCell ref="O355:O356"/>
    <mergeCell ref="P355:P356"/>
    <mergeCell ref="A367:A370"/>
    <mergeCell ref="B367:B368"/>
    <mergeCell ref="C367:C368"/>
    <mergeCell ref="D367:D368"/>
    <mergeCell ref="E367:E368"/>
    <mergeCell ref="F355:F356"/>
    <mergeCell ref="G355:G356"/>
    <mergeCell ref="H355:H356"/>
    <mergeCell ref="I355:I356"/>
    <mergeCell ref="J355:J356"/>
    <mergeCell ref="K355:K356"/>
    <mergeCell ref="L375:L376"/>
    <mergeCell ref="M375:M376"/>
    <mergeCell ref="N375:N376"/>
    <mergeCell ref="O375:O376"/>
    <mergeCell ref="P375:P376"/>
    <mergeCell ref="A379:A382"/>
    <mergeCell ref="B379:B380"/>
    <mergeCell ref="C379:C380"/>
    <mergeCell ref="D379:D380"/>
    <mergeCell ref="E379:E380"/>
    <mergeCell ref="F375:F376"/>
    <mergeCell ref="G375:G376"/>
    <mergeCell ref="H375:H376"/>
    <mergeCell ref="I375:I376"/>
    <mergeCell ref="J375:J376"/>
    <mergeCell ref="K375:K376"/>
    <mergeCell ref="L371:L372"/>
    <mergeCell ref="M371:M372"/>
    <mergeCell ref="N371:N372"/>
    <mergeCell ref="O371:O372"/>
    <mergeCell ref="P371:P372"/>
    <mergeCell ref="A375:A378"/>
    <mergeCell ref="B375:B376"/>
    <mergeCell ref="C375:C376"/>
    <mergeCell ref="D375:D376"/>
    <mergeCell ref="E375:E376"/>
    <mergeCell ref="F371:F372"/>
    <mergeCell ref="G371:G372"/>
    <mergeCell ref="H371:H372"/>
    <mergeCell ref="I371:I372"/>
    <mergeCell ref="J371:J372"/>
    <mergeCell ref="K371:K372"/>
    <mergeCell ref="L383:L384"/>
    <mergeCell ref="M383:M384"/>
    <mergeCell ref="N383:N384"/>
    <mergeCell ref="O383:O384"/>
    <mergeCell ref="P383:P384"/>
    <mergeCell ref="A387:A390"/>
    <mergeCell ref="B387:B388"/>
    <mergeCell ref="C387:C388"/>
    <mergeCell ref="D387:D388"/>
    <mergeCell ref="E387:E388"/>
    <mergeCell ref="F383:F384"/>
    <mergeCell ref="G383:G384"/>
    <mergeCell ref="H383:H384"/>
    <mergeCell ref="I383:I384"/>
    <mergeCell ref="J383:J384"/>
    <mergeCell ref="K383:K384"/>
    <mergeCell ref="L379:L380"/>
    <mergeCell ref="M379:M380"/>
    <mergeCell ref="N379:N380"/>
    <mergeCell ref="O379:O380"/>
    <mergeCell ref="P379:P380"/>
    <mergeCell ref="A383:A386"/>
    <mergeCell ref="B383:B384"/>
    <mergeCell ref="C383:C384"/>
    <mergeCell ref="D383:D384"/>
    <mergeCell ref="E383:E384"/>
    <mergeCell ref="F379:F380"/>
    <mergeCell ref="G379:G380"/>
    <mergeCell ref="H379:H380"/>
    <mergeCell ref="I379:I380"/>
    <mergeCell ref="J379:J380"/>
    <mergeCell ref="K379:K380"/>
    <mergeCell ref="L391:L392"/>
    <mergeCell ref="M391:M392"/>
    <mergeCell ref="N391:N392"/>
    <mergeCell ref="O391:O392"/>
    <mergeCell ref="P391:P392"/>
    <mergeCell ref="A395:A398"/>
    <mergeCell ref="B395:B396"/>
    <mergeCell ref="C395:C396"/>
    <mergeCell ref="D395:D396"/>
    <mergeCell ref="E395:E396"/>
    <mergeCell ref="F391:F392"/>
    <mergeCell ref="G391:G392"/>
    <mergeCell ref="H391:H392"/>
    <mergeCell ref="I391:I392"/>
    <mergeCell ref="J391:J392"/>
    <mergeCell ref="K391:K392"/>
    <mergeCell ref="L387:L388"/>
    <mergeCell ref="M387:M388"/>
    <mergeCell ref="N387:N388"/>
    <mergeCell ref="O387:O388"/>
    <mergeCell ref="P387:P388"/>
    <mergeCell ref="A391:A394"/>
    <mergeCell ref="B391:B392"/>
    <mergeCell ref="C391:C392"/>
    <mergeCell ref="D391:D392"/>
    <mergeCell ref="E391:E392"/>
    <mergeCell ref="F387:F388"/>
    <mergeCell ref="G387:G388"/>
    <mergeCell ref="H387:H388"/>
    <mergeCell ref="I387:I388"/>
    <mergeCell ref="J387:J388"/>
    <mergeCell ref="K387:K388"/>
    <mergeCell ref="L399:L400"/>
    <mergeCell ref="M399:M400"/>
    <mergeCell ref="N399:N400"/>
    <mergeCell ref="O399:O400"/>
    <mergeCell ref="P399:P400"/>
    <mergeCell ref="A403:A407"/>
    <mergeCell ref="B403:B405"/>
    <mergeCell ref="C403:C405"/>
    <mergeCell ref="D403:D405"/>
    <mergeCell ref="E403:E405"/>
    <mergeCell ref="F399:F400"/>
    <mergeCell ref="G399:G400"/>
    <mergeCell ref="H399:H400"/>
    <mergeCell ref="I399:I400"/>
    <mergeCell ref="J399:J400"/>
    <mergeCell ref="K399:K400"/>
    <mergeCell ref="L395:L396"/>
    <mergeCell ref="M395:M396"/>
    <mergeCell ref="N395:N396"/>
    <mergeCell ref="O395:O396"/>
    <mergeCell ref="P395:P396"/>
    <mergeCell ref="A399:A402"/>
    <mergeCell ref="B399:B400"/>
    <mergeCell ref="C399:C400"/>
    <mergeCell ref="D399:D400"/>
    <mergeCell ref="E399:E400"/>
    <mergeCell ref="F395:F396"/>
    <mergeCell ref="G395:G396"/>
    <mergeCell ref="H395:H396"/>
    <mergeCell ref="I395:I396"/>
    <mergeCell ref="J395:J396"/>
    <mergeCell ref="K395:K396"/>
    <mergeCell ref="L408:L409"/>
    <mergeCell ref="M408:M409"/>
    <mergeCell ref="N408:N409"/>
    <mergeCell ref="O408:O409"/>
    <mergeCell ref="P408:P409"/>
    <mergeCell ref="A412:A415"/>
    <mergeCell ref="B412:B413"/>
    <mergeCell ref="C412:C413"/>
    <mergeCell ref="D412:D413"/>
    <mergeCell ref="E412:E413"/>
    <mergeCell ref="F408:F409"/>
    <mergeCell ref="G408:G409"/>
    <mergeCell ref="H408:H409"/>
    <mergeCell ref="I408:I409"/>
    <mergeCell ref="J408:J409"/>
    <mergeCell ref="K408:K409"/>
    <mergeCell ref="L403:L405"/>
    <mergeCell ref="M403:M405"/>
    <mergeCell ref="N403:N405"/>
    <mergeCell ref="O403:O405"/>
    <mergeCell ref="P403:P405"/>
    <mergeCell ref="A408:A411"/>
    <mergeCell ref="B408:B409"/>
    <mergeCell ref="C408:C409"/>
    <mergeCell ref="D408:D409"/>
    <mergeCell ref="E408:E409"/>
    <mergeCell ref="F403:F405"/>
    <mergeCell ref="G403:G405"/>
    <mergeCell ref="H403:H405"/>
    <mergeCell ref="I403:I405"/>
    <mergeCell ref="J403:J405"/>
    <mergeCell ref="K403:K405"/>
    <mergeCell ref="L416:L417"/>
    <mergeCell ref="M416:M417"/>
    <mergeCell ref="N416:N417"/>
    <mergeCell ref="O416:O417"/>
    <mergeCell ref="P416:P417"/>
    <mergeCell ref="A420:A423"/>
    <mergeCell ref="B420:B421"/>
    <mergeCell ref="C420:C421"/>
    <mergeCell ref="D420:D421"/>
    <mergeCell ref="E420:E421"/>
    <mergeCell ref="F416:F417"/>
    <mergeCell ref="G416:G417"/>
    <mergeCell ref="H416:H417"/>
    <mergeCell ref="I416:I417"/>
    <mergeCell ref="J416:J417"/>
    <mergeCell ref="K416:K417"/>
    <mergeCell ref="L412:L413"/>
    <mergeCell ref="M412:M413"/>
    <mergeCell ref="N412:N413"/>
    <mergeCell ref="O412:O413"/>
    <mergeCell ref="P412:P413"/>
    <mergeCell ref="A416:A419"/>
    <mergeCell ref="B416:B417"/>
    <mergeCell ref="C416:C417"/>
    <mergeCell ref="D416:D417"/>
    <mergeCell ref="E416:E417"/>
    <mergeCell ref="F412:F413"/>
    <mergeCell ref="G412:G413"/>
    <mergeCell ref="H412:H413"/>
    <mergeCell ref="I412:I413"/>
    <mergeCell ref="J412:J413"/>
    <mergeCell ref="K412:K413"/>
    <mergeCell ref="L424:L425"/>
    <mergeCell ref="M424:M425"/>
    <mergeCell ref="N424:N425"/>
    <mergeCell ref="O424:O425"/>
    <mergeCell ref="P424:P425"/>
    <mergeCell ref="A428:A431"/>
    <mergeCell ref="B428:B429"/>
    <mergeCell ref="C428:C429"/>
    <mergeCell ref="D428:D429"/>
    <mergeCell ref="E428:E429"/>
    <mergeCell ref="F424:F425"/>
    <mergeCell ref="G424:G425"/>
    <mergeCell ref="H424:H425"/>
    <mergeCell ref="I424:I425"/>
    <mergeCell ref="J424:J425"/>
    <mergeCell ref="K424:K425"/>
    <mergeCell ref="L420:L421"/>
    <mergeCell ref="M420:M421"/>
    <mergeCell ref="N420:N421"/>
    <mergeCell ref="O420:O421"/>
    <mergeCell ref="P420:P421"/>
    <mergeCell ref="A424:A427"/>
    <mergeCell ref="B424:B425"/>
    <mergeCell ref="C424:C425"/>
    <mergeCell ref="D424:D425"/>
    <mergeCell ref="E424:E425"/>
    <mergeCell ref="F420:F421"/>
    <mergeCell ref="G420:G421"/>
    <mergeCell ref="H420:H421"/>
    <mergeCell ref="I420:I421"/>
    <mergeCell ref="J420:J421"/>
    <mergeCell ref="K420:K421"/>
    <mergeCell ref="L432:L433"/>
    <mergeCell ref="M432:M433"/>
    <mergeCell ref="N432:N433"/>
    <mergeCell ref="O432:O433"/>
    <mergeCell ref="P432:P433"/>
    <mergeCell ref="A436:A439"/>
    <mergeCell ref="B436:B437"/>
    <mergeCell ref="C436:C437"/>
    <mergeCell ref="D436:D437"/>
    <mergeCell ref="E436:E437"/>
    <mergeCell ref="F432:F433"/>
    <mergeCell ref="G432:G433"/>
    <mergeCell ref="H432:H433"/>
    <mergeCell ref="I432:I433"/>
    <mergeCell ref="J432:J433"/>
    <mergeCell ref="K432:K433"/>
    <mergeCell ref="L428:L429"/>
    <mergeCell ref="M428:M429"/>
    <mergeCell ref="N428:N429"/>
    <mergeCell ref="O428:O429"/>
    <mergeCell ref="P428:P429"/>
    <mergeCell ref="A432:A435"/>
    <mergeCell ref="B432:B433"/>
    <mergeCell ref="C432:C433"/>
    <mergeCell ref="D432:D433"/>
    <mergeCell ref="E432:E433"/>
    <mergeCell ref="F428:F429"/>
    <mergeCell ref="G428:G429"/>
    <mergeCell ref="H428:H429"/>
    <mergeCell ref="I428:I429"/>
    <mergeCell ref="J428:J429"/>
    <mergeCell ref="K428:K429"/>
    <mergeCell ref="L440:L441"/>
    <mergeCell ref="M440:M441"/>
    <mergeCell ref="N440:N441"/>
    <mergeCell ref="O440:O441"/>
    <mergeCell ref="P440:P441"/>
    <mergeCell ref="A444:A447"/>
    <mergeCell ref="B444:B445"/>
    <mergeCell ref="C444:C445"/>
    <mergeCell ref="D444:D445"/>
    <mergeCell ref="E444:E445"/>
    <mergeCell ref="F440:F441"/>
    <mergeCell ref="G440:G441"/>
    <mergeCell ref="H440:H441"/>
    <mergeCell ref="I440:I441"/>
    <mergeCell ref="J440:J441"/>
    <mergeCell ref="K440:K441"/>
    <mergeCell ref="L436:L437"/>
    <mergeCell ref="M436:M437"/>
    <mergeCell ref="N436:N437"/>
    <mergeCell ref="O436:O437"/>
    <mergeCell ref="P436:P437"/>
    <mergeCell ref="A440:A443"/>
    <mergeCell ref="B440:B441"/>
    <mergeCell ref="C440:C441"/>
    <mergeCell ref="D440:D441"/>
    <mergeCell ref="E440:E441"/>
    <mergeCell ref="F436:F437"/>
    <mergeCell ref="G436:G437"/>
    <mergeCell ref="H436:H437"/>
    <mergeCell ref="I436:I437"/>
    <mergeCell ref="J436:J437"/>
    <mergeCell ref="K436:K437"/>
    <mergeCell ref="L448:L449"/>
    <mergeCell ref="M448:M449"/>
    <mergeCell ref="N448:N449"/>
    <mergeCell ref="O448:O449"/>
    <mergeCell ref="P448:P449"/>
    <mergeCell ref="A452:A455"/>
    <mergeCell ref="B452:B453"/>
    <mergeCell ref="C452:C453"/>
    <mergeCell ref="D452:D453"/>
    <mergeCell ref="E452:E453"/>
    <mergeCell ref="F448:F449"/>
    <mergeCell ref="G448:G449"/>
    <mergeCell ref="H448:H449"/>
    <mergeCell ref="I448:I449"/>
    <mergeCell ref="J448:J449"/>
    <mergeCell ref="K448:K449"/>
    <mergeCell ref="L444:L445"/>
    <mergeCell ref="M444:M445"/>
    <mergeCell ref="N444:N445"/>
    <mergeCell ref="O444:O445"/>
    <mergeCell ref="P444:P445"/>
    <mergeCell ref="A448:A451"/>
    <mergeCell ref="B448:B449"/>
    <mergeCell ref="C448:C449"/>
    <mergeCell ref="D448:D449"/>
    <mergeCell ref="E448:E449"/>
    <mergeCell ref="F444:F445"/>
    <mergeCell ref="G444:G445"/>
    <mergeCell ref="H444:H445"/>
    <mergeCell ref="I444:I445"/>
    <mergeCell ref="J444:J445"/>
    <mergeCell ref="K444:K445"/>
    <mergeCell ref="L456:L457"/>
    <mergeCell ref="M456:M457"/>
    <mergeCell ref="N456:N457"/>
    <mergeCell ref="O456:O457"/>
    <mergeCell ref="P456:P457"/>
    <mergeCell ref="F456:F457"/>
    <mergeCell ref="G456:G457"/>
    <mergeCell ref="H456:H457"/>
    <mergeCell ref="I456:I457"/>
    <mergeCell ref="J456:J457"/>
    <mergeCell ref="K456:K457"/>
    <mergeCell ref="A456:A459"/>
    <mergeCell ref="B456:B457"/>
    <mergeCell ref="C456:C457"/>
    <mergeCell ref="D456:D457"/>
    <mergeCell ref="E456:E457"/>
    <mergeCell ref="L452:L453"/>
    <mergeCell ref="M452:M453"/>
    <mergeCell ref="N452:N453"/>
    <mergeCell ref="O452:O453"/>
    <mergeCell ref="P452:P453"/>
    <mergeCell ref="F452:F453"/>
    <mergeCell ref="G452:G453"/>
    <mergeCell ref="H452:H453"/>
    <mergeCell ref="I452:I453"/>
    <mergeCell ref="J452:J453"/>
    <mergeCell ref="K452:K453"/>
    <mergeCell ref="L460:L461"/>
    <mergeCell ref="M460:M461"/>
    <mergeCell ref="N460:N461"/>
    <mergeCell ref="O460:O461"/>
    <mergeCell ref="P460:P461"/>
    <mergeCell ref="A464:A467"/>
    <mergeCell ref="B464:B465"/>
    <mergeCell ref="C464:C465"/>
    <mergeCell ref="D464:D465"/>
    <mergeCell ref="E464:E465"/>
    <mergeCell ref="F460:F461"/>
    <mergeCell ref="G460:G461"/>
    <mergeCell ref="H460:H461"/>
    <mergeCell ref="I460:I461"/>
    <mergeCell ref="J460:J461"/>
    <mergeCell ref="K460:K461"/>
    <mergeCell ref="A460:A463"/>
    <mergeCell ref="B460:B461"/>
    <mergeCell ref="C460:C461"/>
    <mergeCell ref="D460:D461"/>
    <mergeCell ref="E460:E461"/>
    <mergeCell ref="L468:L469"/>
    <mergeCell ref="M468:M469"/>
    <mergeCell ref="N468:N469"/>
    <mergeCell ref="O468:O469"/>
    <mergeCell ref="P468:P469"/>
    <mergeCell ref="A472:A475"/>
    <mergeCell ref="B472:B473"/>
    <mergeCell ref="C472:C473"/>
    <mergeCell ref="D472:D473"/>
    <mergeCell ref="E472:E473"/>
    <mergeCell ref="F468:F469"/>
    <mergeCell ref="G468:G469"/>
    <mergeCell ref="H468:H469"/>
    <mergeCell ref="I468:I469"/>
    <mergeCell ref="J468:J469"/>
    <mergeCell ref="K468:K469"/>
    <mergeCell ref="L464:L465"/>
    <mergeCell ref="M464:M465"/>
    <mergeCell ref="N464:N465"/>
    <mergeCell ref="O464:O465"/>
    <mergeCell ref="P464:P465"/>
    <mergeCell ref="A468:A471"/>
    <mergeCell ref="B468:B469"/>
    <mergeCell ref="C468:C469"/>
    <mergeCell ref="D468:D469"/>
    <mergeCell ref="E468:E469"/>
    <mergeCell ref="F464:F465"/>
    <mergeCell ref="G464:G465"/>
    <mergeCell ref="H464:H465"/>
    <mergeCell ref="I464:I465"/>
    <mergeCell ref="J464:J465"/>
    <mergeCell ref="K464:K465"/>
    <mergeCell ref="L476:L477"/>
    <mergeCell ref="M476:M477"/>
    <mergeCell ref="N476:N477"/>
    <mergeCell ref="O476:O477"/>
    <mergeCell ref="P476:P477"/>
    <mergeCell ref="F476:F477"/>
    <mergeCell ref="G476:G477"/>
    <mergeCell ref="H476:H477"/>
    <mergeCell ref="I476:I477"/>
    <mergeCell ref="J476:J477"/>
    <mergeCell ref="K476:K477"/>
    <mergeCell ref="L472:L473"/>
    <mergeCell ref="M472:M473"/>
    <mergeCell ref="N472:N473"/>
    <mergeCell ref="O472:O473"/>
    <mergeCell ref="P472:P473"/>
    <mergeCell ref="A476:A479"/>
    <mergeCell ref="B476:B477"/>
    <mergeCell ref="C476:C477"/>
    <mergeCell ref="D476:D477"/>
    <mergeCell ref="E476:E477"/>
    <mergeCell ref="F472:F473"/>
    <mergeCell ref="G472:G473"/>
    <mergeCell ref="H472:H473"/>
    <mergeCell ref="I472:I473"/>
    <mergeCell ref="J472:J473"/>
    <mergeCell ref="K472:K473"/>
    <mergeCell ref="L480:L481"/>
    <mergeCell ref="M480:M481"/>
    <mergeCell ref="N480:N481"/>
    <mergeCell ref="O480:O481"/>
    <mergeCell ref="P480:P481"/>
    <mergeCell ref="A484:A487"/>
    <mergeCell ref="B484:B485"/>
    <mergeCell ref="C484:C485"/>
    <mergeCell ref="D484:D485"/>
    <mergeCell ref="E484:E485"/>
    <mergeCell ref="F480:F481"/>
    <mergeCell ref="G480:G481"/>
    <mergeCell ref="H480:H481"/>
    <mergeCell ref="I480:I481"/>
    <mergeCell ref="J480:J481"/>
    <mergeCell ref="K480:K481"/>
    <mergeCell ref="A480:A483"/>
    <mergeCell ref="B480:B481"/>
    <mergeCell ref="C480:C481"/>
    <mergeCell ref="D480:D481"/>
    <mergeCell ref="E480:E481"/>
    <mergeCell ref="L488:L489"/>
    <mergeCell ref="M488:M489"/>
    <mergeCell ref="N488:N489"/>
    <mergeCell ref="O488:O489"/>
    <mergeCell ref="P488:P489"/>
    <mergeCell ref="F488:F489"/>
    <mergeCell ref="G488:G489"/>
    <mergeCell ref="H488:H489"/>
    <mergeCell ref="I488:I489"/>
    <mergeCell ref="J488:J489"/>
    <mergeCell ref="K488:K489"/>
    <mergeCell ref="L484:L485"/>
    <mergeCell ref="M484:M485"/>
    <mergeCell ref="N484:N485"/>
    <mergeCell ref="O484:O485"/>
    <mergeCell ref="P484:P485"/>
    <mergeCell ref="A488:A491"/>
    <mergeCell ref="B488:B489"/>
    <mergeCell ref="C488:C489"/>
    <mergeCell ref="D488:D489"/>
    <mergeCell ref="E488:E489"/>
    <mergeCell ref="F484:F485"/>
    <mergeCell ref="G484:G485"/>
    <mergeCell ref="H484:H485"/>
    <mergeCell ref="I484:I485"/>
    <mergeCell ref="J484:J485"/>
    <mergeCell ref="K484:K485"/>
    <mergeCell ref="L492:L493"/>
    <mergeCell ref="M492:M493"/>
    <mergeCell ref="N492:N493"/>
    <mergeCell ref="O492:O493"/>
    <mergeCell ref="P492:P493"/>
    <mergeCell ref="A496:A499"/>
    <mergeCell ref="B496:B497"/>
    <mergeCell ref="C496:C497"/>
    <mergeCell ref="D496:D497"/>
    <mergeCell ref="E496:E497"/>
    <mergeCell ref="F492:F493"/>
    <mergeCell ref="G492:G493"/>
    <mergeCell ref="H492:H493"/>
    <mergeCell ref="I492:I493"/>
    <mergeCell ref="J492:J493"/>
    <mergeCell ref="K492:K493"/>
    <mergeCell ref="A492:A495"/>
    <mergeCell ref="B492:B493"/>
    <mergeCell ref="C492:C493"/>
    <mergeCell ref="D492:D493"/>
    <mergeCell ref="E492:E493"/>
    <mergeCell ref="L500:L501"/>
    <mergeCell ref="M500:M501"/>
    <mergeCell ref="N500:N501"/>
    <mergeCell ref="O500:O501"/>
    <mergeCell ref="P500:P501"/>
    <mergeCell ref="A504:A507"/>
    <mergeCell ref="B504:B505"/>
    <mergeCell ref="C504:C505"/>
    <mergeCell ref="D504:D505"/>
    <mergeCell ref="E504:E505"/>
    <mergeCell ref="F500:F501"/>
    <mergeCell ref="G500:G501"/>
    <mergeCell ref="H500:H501"/>
    <mergeCell ref="I500:I501"/>
    <mergeCell ref="J500:J501"/>
    <mergeCell ref="K500:K501"/>
    <mergeCell ref="L496:L497"/>
    <mergeCell ref="M496:M497"/>
    <mergeCell ref="N496:N497"/>
    <mergeCell ref="O496:O497"/>
    <mergeCell ref="P496:P497"/>
    <mergeCell ref="A500:A503"/>
    <mergeCell ref="B500:B501"/>
    <mergeCell ref="C500:C501"/>
    <mergeCell ref="D500:D501"/>
    <mergeCell ref="E500:E501"/>
    <mergeCell ref="F496:F497"/>
    <mergeCell ref="G496:G497"/>
    <mergeCell ref="H496:H497"/>
    <mergeCell ref="I496:I497"/>
    <mergeCell ref="J496:J497"/>
    <mergeCell ref="K496:K497"/>
    <mergeCell ref="L508:L509"/>
    <mergeCell ref="M508:M509"/>
    <mergeCell ref="N508:N509"/>
    <mergeCell ref="O508:O509"/>
    <mergeCell ref="P508:P509"/>
    <mergeCell ref="A512:A515"/>
    <mergeCell ref="B512:B513"/>
    <mergeCell ref="C512:C513"/>
    <mergeCell ref="D512:D513"/>
    <mergeCell ref="E512:E513"/>
    <mergeCell ref="F508:F509"/>
    <mergeCell ref="G508:G509"/>
    <mergeCell ref="H508:H509"/>
    <mergeCell ref="I508:I509"/>
    <mergeCell ref="J508:J509"/>
    <mergeCell ref="K508:K509"/>
    <mergeCell ref="L504:L505"/>
    <mergeCell ref="M504:M505"/>
    <mergeCell ref="N504:N505"/>
    <mergeCell ref="O504:O505"/>
    <mergeCell ref="P504:P505"/>
    <mergeCell ref="A508:A511"/>
    <mergeCell ref="B508:B509"/>
    <mergeCell ref="C508:C509"/>
    <mergeCell ref="D508:D509"/>
    <mergeCell ref="E508:E509"/>
    <mergeCell ref="F504:F505"/>
    <mergeCell ref="G504:G505"/>
    <mergeCell ref="H504:H505"/>
    <mergeCell ref="I504:I505"/>
    <mergeCell ref="J504:J505"/>
    <mergeCell ref="K504:K505"/>
    <mergeCell ref="L516:L517"/>
    <mergeCell ref="M516:M517"/>
    <mergeCell ref="N516:N517"/>
    <mergeCell ref="O516:O517"/>
    <mergeCell ref="P516:P517"/>
    <mergeCell ref="A520:A523"/>
    <mergeCell ref="B520:B521"/>
    <mergeCell ref="C520:C521"/>
    <mergeCell ref="D520:D521"/>
    <mergeCell ref="E520:E521"/>
    <mergeCell ref="F516:F517"/>
    <mergeCell ref="G516:G517"/>
    <mergeCell ref="H516:H517"/>
    <mergeCell ref="I516:I517"/>
    <mergeCell ref="J516:J517"/>
    <mergeCell ref="K516:K517"/>
    <mergeCell ref="L512:L513"/>
    <mergeCell ref="M512:M513"/>
    <mergeCell ref="N512:N513"/>
    <mergeCell ref="O512:O513"/>
    <mergeCell ref="P512:P513"/>
    <mergeCell ref="A516:A519"/>
    <mergeCell ref="B516:B517"/>
    <mergeCell ref="C516:C517"/>
    <mergeCell ref="D516:D517"/>
    <mergeCell ref="E516:E517"/>
    <mergeCell ref="F512:F513"/>
    <mergeCell ref="G512:G513"/>
    <mergeCell ref="H512:H513"/>
    <mergeCell ref="I512:I513"/>
    <mergeCell ref="J512:J513"/>
    <mergeCell ref="K512:K513"/>
    <mergeCell ref="L524:L525"/>
    <mergeCell ref="M524:M525"/>
    <mergeCell ref="N524:N525"/>
    <mergeCell ref="O524:O525"/>
    <mergeCell ref="P524:P525"/>
    <mergeCell ref="A528:A531"/>
    <mergeCell ref="B528:B529"/>
    <mergeCell ref="C528:C529"/>
    <mergeCell ref="D528:D529"/>
    <mergeCell ref="E528:E529"/>
    <mergeCell ref="F524:F525"/>
    <mergeCell ref="G524:G525"/>
    <mergeCell ref="H524:H525"/>
    <mergeCell ref="I524:I525"/>
    <mergeCell ref="J524:J525"/>
    <mergeCell ref="K524:K525"/>
    <mergeCell ref="L520:L521"/>
    <mergeCell ref="M520:M521"/>
    <mergeCell ref="N520:N521"/>
    <mergeCell ref="O520:O521"/>
    <mergeCell ref="P520:P521"/>
    <mergeCell ref="A524:A527"/>
    <mergeCell ref="B524:B525"/>
    <mergeCell ref="C524:C525"/>
    <mergeCell ref="D524:D525"/>
    <mergeCell ref="E524:E525"/>
    <mergeCell ref="F520:F521"/>
    <mergeCell ref="G520:G521"/>
    <mergeCell ref="H520:H521"/>
    <mergeCell ref="I520:I521"/>
    <mergeCell ref="J520:J521"/>
    <mergeCell ref="K520:K521"/>
    <mergeCell ref="L532:L533"/>
    <mergeCell ref="M532:M533"/>
    <mergeCell ref="N532:N533"/>
    <mergeCell ref="O532:O533"/>
    <mergeCell ref="P532:P533"/>
    <mergeCell ref="A536:A539"/>
    <mergeCell ref="B536:B537"/>
    <mergeCell ref="C536:C537"/>
    <mergeCell ref="D536:D537"/>
    <mergeCell ref="E536:E537"/>
    <mergeCell ref="F532:F533"/>
    <mergeCell ref="G532:G533"/>
    <mergeCell ref="H532:H533"/>
    <mergeCell ref="I532:I533"/>
    <mergeCell ref="J532:J533"/>
    <mergeCell ref="K532:K533"/>
    <mergeCell ref="L528:L529"/>
    <mergeCell ref="M528:M529"/>
    <mergeCell ref="N528:N529"/>
    <mergeCell ref="O528:O529"/>
    <mergeCell ref="P528:P529"/>
    <mergeCell ref="A532:A535"/>
    <mergeCell ref="B532:B533"/>
    <mergeCell ref="C532:C533"/>
    <mergeCell ref="D532:D533"/>
    <mergeCell ref="E532:E533"/>
    <mergeCell ref="F528:F529"/>
    <mergeCell ref="G528:G529"/>
    <mergeCell ref="H528:H529"/>
    <mergeCell ref="I528:I529"/>
    <mergeCell ref="J528:J529"/>
    <mergeCell ref="K528:K529"/>
    <mergeCell ref="L540:L541"/>
    <mergeCell ref="M540:M541"/>
    <mergeCell ref="N540:N541"/>
    <mergeCell ref="O540:O541"/>
    <mergeCell ref="P540:P541"/>
    <mergeCell ref="A544:A547"/>
    <mergeCell ref="B544:B545"/>
    <mergeCell ref="C544:C545"/>
    <mergeCell ref="D544:D545"/>
    <mergeCell ref="E544:E545"/>
    <mergeCell ref="F540:F541"/>
    <mergeCell ref="G540:G541"/>
    <mergeCell ref="H540:H541"/>
    <mergeCell ref="I540:I541"/>
    <mergeCell ref="J540:J541"/>
    <mergeCell ref="K540:K541"/>
    <mergeCell ref="L536:L537"/>
    <mergeCell ref="M536:M537"/>
    <mergeCell ref="N536:N537"/>
    <mergeCell ref="O536:O537"/>
    <mergeCell ref="P536:P537"/>
    <mergeCell ref="A540:A543"/>
    <mergeCell ref="B540:B541"/>
    <mergeCell ref="C540:C541"/>
    <mergeCell ref="D540:D541"/>
    <mergeCell ref="E540:E541"/>
    <mergeCell ref="F536:F537"/>
    <mergeCell ref="G536:G537"/>
    <mergeCell ref="H536:H537"/>
    <mergeCell ref="I536:I537"/>
    <mergeCell ref="J536:J537"/>
    <mergeCell ref="K536:K537"/>
    <mergeCell ref="L548:L549"/>
    <mergeCell ref="M548:M549"/>
    <mergeCell ref="N548:N549"/>
    <mergeCell ref="O548:O549"/>
    <mergeCell ref="P548:P549"/>
    <mergeCell ref="A552:A555"/>
    <mergeCell ref="B552:B553"/>
    <mergeCell ref="C552:C553"/>
    <mergeCell ref="D552:D553"/>
    <mergeCell ref="E552:E553"/>
    <mergeCell ref="F548:F549"/>
    <mergeCell ref="G548:G549"/>
    <mergeCell ref="H548:H549"/>
    <mergeCell ref="I548:I549"/>
    <mergeCell ref="J548:J549"/>
    <mergeCell ref="K548:K549"/>
    <mergeCell ref="L544:L545"/>
    <mergeCell ref="M544:M545"/>
    <mergeCell ref="N544:N545"/>
    <mergeCell ref="O544:O545"/>
    <mergeCell ref="P544:P545"/>
    <mergeCell ref="A548:A551"/>
    <mergeCell ref="B548:B549"/>
    <mergeCell ref="C548:C549"/>
    <mergeCell ref="D548:D549"/>
    <mergeCell ref="E548:E549"/>
    <mergeCell ref="F544:F545"/>
    <mergeCell ref="G544:G545"/>
    <mergeCell ref="H544:H545"/>
    <mergeCell ref="I544:I545"/>
    <mergeCell ref="J544:J545"/>
    <mergeCell ref="K544:K545"/>
    <mergeCell ref="L556:L557"/>
    <mergeCell ref="M556:M557"/>
    <mergeCell ref="N556:N557"/>
    <mergeCell ref="O556:O557"/>
    <mergeCell ref="P556:P557"/>
    <mergeCell ref="A560:A563"/>
    <mergeCell ref="B560:B561"/>
    <mergeCell ref="C560:C561"/>
    <mergeCell ref="D560:D561"/>
    <mergeCell ref="E560:E561"/>
    <mergeCell ref="F556:F557"/>
    <mergeCell ref="G556:G557"/>
    <mergeCell ref="H556:H557"/>
    <mergeCell ref="I556:I557"/>
    <mergeCell ref="J556:J557"/>
    <mergeCell ref="K556:K557"/>
    <mergeCell ref="L552:L553"/>
    <mergeCell ref="M552:M553"/>
    <mergeCell ref="N552:N553"/>
    <mergeCell ref="O552:O553"/>
    <mergeCell ref="P552:P553"/>
    <mergeCell ref="A556:A559"/>
    <mergeCell ref="B556:B557"/>
    <mergeCell ref="C556:C557"/>
    <mergeCell ref="D556:D557"/>
    <mergeCell ref="E556:E557"/>
    <mergeCell ref="F552:F553"/>
    <mergeCell ref="G552:G553"/>
    <mergeCell ref="H552:H553"/>
    <mergeCell ref="I552:I553"/>
    <mergeCell ref="J552:J553"/>
    <mergeCell ref="K552:K553"/>
    <mergeCell ref="L564:L565"/>
    <mergeCell ref="M564:M565"/>
    <mergeCell ref="N564:N565"/>
    <mergeCell ref="O564:O565"/>
    <mergeCell ref="P564:P565"/>
    <mergeCell ref="A568:A571"/>
    <mergeCell ref="B568:B569"/>
    <mergeCell ref="C568:C569"/>
    <mergeCell ref="D568:D569"/>
    <mergeCell ref="E568:E569"/>
    <mergeCell ref="F564:F565"/>
    <mergeCell ref="G564:G565"/>
    <mergeCell ref="H564:H565"/>
    <mergeCell ref="I564:I565"/>
    <mergeCell ref="J564:J565"/>
    <mergeCell ref="K564:K565"/>
    <mergeCell ref="L560:L561"/>
    <mergeCell ref="M560:M561"/>
    <mergeCell ref="N560:N561"/>
    <mergeCell ref="O560:O561"/>
    <mergeCell ref="P560:P561"/>
    <mergeCell ref="A564:A567"/>
    <mergeCell ref="B564:B565"/>
    <mergeCell ref="C564:C565"/>
    <mergeCell ref="D564:D565"/>
    <mergeCell ref="E564:E565"/>
    <mergeCell ref="F560:F561"/>
    <mergeCell ref="G560:G561"/>
    <mergeCell ref="H560:H561"/>
    <mergeCell ref="I560:I561"/>
    <mergeCell ref="J560:J561"/>
    <mergeCell ref="K560:K561"/>
    <mergeCell ref="L572:L573"/>
    <mergeCell ref="M572:M573"/>
    <mergeCell ref="N572:N573"/>
    <mergeCell ref="O572:O573"/>
    <mergeCell ref="P572:P573"/>
    <mergeCell ref="A576:A578"/>
    <mergeCell ref="F572:F573"/>
    <mergeCell ref="G572:G573"/>
    <mergeCell ref="H572:H573"/>
    <mergeCell ref="I572:I573"/>
    <mergeCell ref="J572:J573"/>
    <mergeCell ref="K572:K573"/>
    <mergeCell ref="L568:L569"/>
    <mergeCell ref="M568:M569"/>
    <mergeCell ref="N568:N569"/>
    <mergeCell ref="O568:O569"/>
    <mergeCell ref="P568:P569"/>
    <mergeCell ref="A572:A575"/>
    <mergeCell ref="B572:B573"/>
    <mergeCell ref="C572:C573"/>
    <mergeCell ref="D572:D573"/>
    <mergeCell ref="E572:E573"/>
    <mergeCell ref="F568:F569"/>
    <mergeCell ref="G568:G569"/>
    <mergeCell ref="H568:H569"/>
    <mergeCell ref="I568:I569"/>
    <mergeCell ref="J568:J569"/>
    <mergeCell ref="K568:K569"/>
    <mergeCell ref="M579:M580"/>
    <mergeCell ref="N579:N580"/>
    <mergeCell ref="O579:O580"/>
    <mergeCell ref="P579:P580"/>
    <mergeCell ref="A583:A586"/>
    <mergeCell ref="B583:B584"/>
    <mergeCell ref="C583:C584"/>
    <mergeCell ref="D583:D584"/>
    <mergeCell ref="E583:E584"/>
    <mergeCell ref="F583:F584"/>
    <mergeCell ref="G579:G580"/>
    <mergeCell ref="H579:H580"/>
    <mergeCell ref="I579:I580"/>
    <mergeCell ref="J579:J580"/>
    <mergeCell ref="K579:K580"/>
    <mergeCell ref="L579:L580"/>
    <mergeCell ref="A579:A582"/>
    <mergeCell ref="B579:B580"/>
    <mergeCell ref="C579:C580"/>
    <mergeCell ref="D579:D580"/>
    <mergeCell ref="E579:E580"/>
    <mergeCell ref="F579:F580"/>
    <mergeCell ref="P587:P588"/>
    <mergeCell ref="A591:A594"/>
    <mergeCell ref="B591:B592"/>
    <mergeCell ref="C591:C592"/>
    <mergeCell ref="D591:D592"/>
    <mergeCell ref="E591:E592"/>
    <mergeCell ref="F591:F592"/>
    <mergeCell ref="G591:G592"/>
    <mergeCell ref="H591:H592"/>
    <mergeCell ref="I591:I592"/>
    <mergeCell ref="J587:J588"/>
    <mergeCell ref="K587:K588"/>
    <mergeCell ref="L587:L588"/>
    <mergeCell ref="M587:M588"/>
    <mergeCell ref="N587:N588"/>
    <mergeCell ref="O587:O588"/>
    <mergeCell ref="M583:M584"/>
    <mergeCell ref="N583:N584"/>
    <mergeCell ref="O583:O584"/>
    <mergeCell ref="P583:P584"/>
    <mergeCell ref="A587:A590"/>
    <mergeCell ref="B587:B588"/>
    <mergeCell ref="C587:F590"/>
    <mergeCell ref="G587:G588"/>
    <mergeCell ref="H587:H588"/>
    <mergeCell ref="I587:I588"/>
    <mergeCell ref="G583:G584"/>
    <mergeCell ref="H583:H584"/>
    <mergeCell ref="I583:I584"/>
    <mergeCell ref="J583:J584"/>
    <mergeCell ref="K583:K584"/>
    <mergeCell ref="L583:L584"/>
    <mergeCell ref="P595:P596"/>
    <mergeCell ref="A599:A602"/>
    <mergeCell ref="B599:B600"/>
    <mergeCell ref="C599:C600"/>
    <mergeCell ref="D599:D600"/>
    <mergeCell ref="E599:E600"/>
    <mergeCell ref="F599:F600"/>
    <mergeCell ref="G599:G600"/>
    <mergeCell ref="H599:H600"/>
    <mergeCell ref="I599:I600"/>
    <mergeCell ref="J595:J596"/>
    <mergeCell ref="K595:K596"/>
    <mergeCell ref="L595:L596"/>
    <mergeCell ref="M595:M596"/>
    <mergeCell ref="N595:N596"/>
    <mergeCell ref="O595:O596"/>
    <mergeCell ref="P591:P592"/>
    <mergeCell ref="A595:A598"/>
    <mergeCell ref="B595:B596"/>
    <mergeCell ref="C595:C596"/>
    <mergeCell ref="D595:D596"/>
    <mergeCell ref="E595:E596"/>
    <mergeCell ref="F595:F596"/>
    <mergeCell ref="G595:G596"/>
    <mergeCell ref="H595:H596"/>
    <mergeCell ref="I595:I596"/>
    <mergeCell ref="J591:J592"/>
    <mergeCell ref="K591:K592"/>
    <mergeCell ref="L591:L592"/>
    <mergeCell ref="M591:M592"/>
    <mergeCell ref="N591:N592"/>
    <mergeCell ref="O591:O592"/>
    <mergeCell ref="P603:P604"/>
    <mergeCell ref="A607:A610"/>
    <mergeCell ref="B607:B608"/>
    <mergeCell ref="C607:C608"/>
    <mergeCell ref="D607:D608"/>
    <mergeCell ref="E607:E608"/>
    <mergeCell ref="F607:F608"/>
    <mergeCell ref="G607:G608"/>
    <mergeCell ref="H607:H608"/>
    <mergeCell ref="I607:I608"/>
    <mergeCell ref="J603:J604"/>
    <mergeCell ref="K603:K604"/>
    <mergeCell ref="L603:L604"/>
    <mergeCell ref="M603:M604"/>
    <mergeCell ref="N603:N604"/>
    <mergeCell ref="O603:O604"/>
    <mergeCell ref="P599:P600"/>
    <mergeCell ref="A603:A606"/>
    <mergeCell ref="B603:B604"/>
    <mergeCell ref="C603:C604"/>
    <mergeCell ref="D603:D604"/>
    <mergeCell ref="E603:E604"/>
    <mergeCell ref="F603:F604"/>
    <mergeCell ref="G603:G604"/>
    <mergeCell ref="H603:H604"/>
    <mergeCell ref="I603:I604"/>
    <mergeCell ref="J599:J600"/>
    <mergeCell ref="K599:K600"/>
    <mergeCell ref="L599:L600"/>
    <mergeCell ref="M599:M600"/>
    <mergeCell ref="N599:N600"/>
    <mergeCell ref="O599:O600"/>
    <mergeCell ref="P607:P608"/>
    <mergeCell ref="A615:A618"/>
    <mergeCell ref="B615:B616"/>
    <mergeCell ref="C615:C616"/>
    <mergeCell ref="D615:D616"/>
    <mergeCell ref="E615:E616"/>
    <mergeCell ref="F615:F616"/>
    <mergeCell ref="G615:G616"/>
    <mergeCell ref="H615:H616"/>
    <mergeCell ref="I615:I616"/>
    <mergeCell ref="J607:J608"/>
    <mergeCell ref="K607:K608"/>
    <mergeCell ref="L607:L608"/>
    <mergeCell ref="M607:M608"/>
    <mergeCell ref="N607:N608"/>
    <mergeCell ref="O607:O608"/>
    <mergeCell ref="A611:A614"/>
    <mergeCell ref="B611:B612"/>
    <mergeCell ref="C611:C612"/>
    <mergeCell ref="D611:D612"/>
    <mergeCell ref="E611:E612"/>
    <mergeCell ref="F611:F612"/>
    <mergeCell ref="G611:G612"/>
    <mergeCell ref="H611:H612"/>
    <mergeCell ref="I611:I612"/>
    <mergeCell ref="J611:J612"/>
    <mergeCell ref="K611:K612"/>
    <mergeCell ref="L611:L612"/>
    <mergeCell ref="M611:M612"/>
    <mergeCell ref="N611:N612"/>
    <mergeCell ref="O611:O612"/>
    <mergeCell ref="P611:P612"/>
    <mergeCell ref="A623:A626"/>
    <mergeCell ref="I623:I624"/>
    <mergeCell ref="A627:A630"/>
    <mergeCell ref="B627:B628"/>
    <mergeCell ref="C627:C628"/>
    <mergeCell ref="D627:D628"/>
    <mergeCell ref="E627:E628"/>
    <mergeCell ref="F627:F628"/>
    <mergeCell ref="G627:G628"/>
    <mergeCell ref="H627:H628"/>
    <mergeCell ref="I627:I628"/>
    <mergeCell ref="J627:J628"/>
    <mergeCell ref="K627:K628"/>
    <mergeCell ref="L627:L628"/>
    <mergeCell ref="M627:M628"/>
    <mergeCell ref="N627:N628"/>
    <mergeCell ref="J619:J620"/>
    <mergeCell ref="K619:K620"/>
    <mergeCell ref="L619:L620"/>
    <mergeCell ref="M619:M620"/>
    <mergeCell ref="N619:N620"/>
    <mergeCell ref="A619:A622"/>
    <mergeCell ref="B619:B620"/>
    <mergeCell ref="C619:C620"/>
    <mergeCell ref="D619:D620"/>
    <mergeCell ref="E619:E620"/>
    <mergeCell ref="P623:P624"/>
    <mergeCell ref="O623:O624"/>
    <mergeCell ref="P619:P620"/>
    <mergeCell ref="B623:B624"/>
    <mergeCell ref="C623:C624"/>
    <mergeCell ref="D623:D624"/>
    <mergeCell ref="E623:E624"/>
    <mergeCell ref="F623:F624"/>
    <mergeCell ref="G623:G624"/>
    <mergeCell ref="H623:H624"/>
    <mergeCell ref="O619:O620"/>
    <mergeCell ref="P615:P616"/>
    <mergeCell ref="F619:F620"/>
    <mergeCell ref="G619:G620"/>
    <mergeCell ref="H619:H620"/>
    <mergeCell ref="I619:I620"/>
    <mergeCell ref="J615:J616"/>
    <mergeCell ref="K615:K616"/>
    <mergeCell ref="L615:L616"/>
    <mergeCell ref="M615:M616"/>
    <mergeCell ref="N615:N616"/>
    <mergeCell ref="O615:O616"/>
    <mergeCell ref="J623:J624"/>
    <mergeCell ref="K623:K624"/>
    <mergeCell ref="L623:L624"/>
    <mergeCell ref="M623:M624"/>
    <mergeCell ref="N623:N624"/>
    <mergeCell ref="O627:O628"/>
    <mergeCell ref="P627:P628"/>
    <mergeCell ref="A311:A314"/>
    <mergeCell ref="B311:B312"/>
    <mergeCell ref="C311:C312"/>
    <mergeCell ref="D311:D312"/>
    <mergeCell ref="E311:E312"/>
    <mergeCell ref="F311:F312"/>
    <mergeCell ref="G311:G312"/>
    <mergeCell ref="H311:H312"/>
    <mergeCell ref="I311:I312"/>
    <mergeCell ref="J311:J312"/>
    <mergeCell ref="K311:K312"/>
    <mergeCell ref="L311:L312"/>
    <mergeCell ref="M311:M312"/>
    <mergeCell ref="N311:N312"/>
    <mergeCell ref="O311:O312"/>
    <mergeCell ref="P311:P312"/>
    <mergeCell ref="A343:A346"/>
    <mergeCell ref="B343:B344"/>
    <mergeCell ref="C343:C344"/>
    <mergeCell ref="D343:D344"/>
    <mergeCell ref="E343:E344"/>
    <mergeCell ref="F343:F344"/>
    <mergeCell ref="G343:G344"/>
    <mergeCell ref="H343:H344"/>
    <mergeCell ref="I343:I344"/>
    <mergeCell ref="J343:J344"/>
    <mergeCell ref="K343:K344"/>
    <mergeCell ref="L343:L344"/>
    <mergeCell ref="M343:M344"/>
    <mergeCell ref="N343:N344"/>
    <mergeCell ref="A359:A362"/>
    <mergeCell ref="B359:B360"/>
    <mergeCell ref="C359:C360"/>
    <mergeCell ref="D359:D360"/>
    <mergeCell ref="E359:E360"/>
    <mergeCell ref="F359:F360"/>
    <mergeCell ref="G359:G360"/>
    <mergeCell ref="H359:H360"/>
    <mergeCell ref="I359:I360"/>
    <mergeCell ref="J359:J360"/>
    <mergeCell ref="K359:K360"/>
    <mergeCell ref="L359:L360"/>
    <mergeCell ref="M359:M360"/>
    <mergeCell ref="N359:N360"/>
    <mergeCell ref="O359:O360"/>
    <mergeCell ref="P359:P360"/>
    <mergeCell ref="O3:O4"/>
    <mergeCell ref="O343:O344"/>
    <mergeCell ref="P343:P344"/>
    <mergeCell ref="L351:L352"/>
    <mergeCell ref="M351:M352"/>
    <mergeCell ref="N351:N352"/>
    <mergeCell ref="O351:O352"/>
    <mergeCell ref="P351:P352"/>
    <mergeCell ref="A355:A358"/>
    <mergeCell ref="B355:B356"/>
    <mergeCell ref="C355:C356"/>
    <mergeCell ref="D355:D356"/>
    <mergeCell ref="E355:E356"/>
    <mergeCell ref="F351:F352"/>
    <mergeCell ref="G351:G352"/>
    <mergeCell ref="H351:H352"/>
  </mergeCells>
  <conditionalFormatting sqref="C576 E536 C607:M610 O538:O575 O607:O610 O577:O586 C412:M423 O412:O423 O383:O407 O89:O158 C87:I87 K87:O87 O11:O14 G536:M536 C383:M390 C13:M14 O19:O38 O331:O338 C19:M22 C2:M6 N454:N459 N466:N495 N241:N246 C574:M575 D572:D573 E11:M12 D456:M457 E23:M24 C33:M38 D31:M32 D391:M392 C458:M459 C377:M378 E375:M376 C460:C461 E460:M461 F572:M573 C331:M338 C577:M586 C25:M30 C538:M571 C89:M158 C393:M407 C634:O1048576 O615:O632 C615:M632 O163:O246 C163:M246 E464:O465 F466:O467 O2 N3:N6 O359:O378 C359:M374 O347:O354 C347:M354 N353:N354 O6 C47:M86 O47:O86 C428:M455 O428:O536 C251:M326 O251:O326 C462:M535">
    <cfRule type="containsText" dxfId="1589" priority="689" operator="containsText" text="Cheque">
      <formula>NOT(ISERROR(SEARCH("Cheque",C2)))</formula>
    </cfRule>
    <cfRule type="containsText" dxfId="1588" priority="693" operator="containsText" text="Dinheiro">
      <formula>NOT(ISERROR(SEARCH("Dinheiro",C2)))</formula>
    </cfRule>
    <cfRule type="cellIs" dxfId="1587" priority="694" operator="greaterThan">
      <formula>0</formula>
    </cfRule>
  </conditionalFormatting>
  <conditionalFormatting sqref="F390">
    <cfRule type="containsText" dxfId="1586" priority="692" operator="containsText" text="Cheque">
      <formula>NOT(ISERROR(SEARCH("Cheque",F390)))</formula>
    </cfRule>
  </conditionalFormatting>
  <conditionalFormatting sqref="C378">
    <cfRule type="containsText" dxfId="1585" priority="691" operator="containsText" text="Cheque">
      <formula>NOT(ISERROR(SEARCH("Cheque",C378)))</formula>
    </cfRule>
  </conditionalFormatting>
  <conditionalFormatting sqref="E383:E384">
    <cfRule type="containsText" dxfId="1584" priority="690" operator="containsText" text="Cheque">
      <formula>NOT(ISERROR(SEARCH("Cheque",E383)))</formula>
    </cfRule>
  </conditionalFormatting>
  <conditionalFormatting sqref="B538:M539 A536:B536 B89:M90 A607:M610 O607:O610 O538:O586 B577:M578 A412:M423 O412:O423 O383:O407 O89:O158 A87:I87 K87:O87 O11:O14 G536:M536 A383:M390 A13:M14 O19:O38 O331:O338 A19:M22 C2:M2 N454:N459 N466:N495 N241:N246 A574:M576 A572:B573 D572:D573 A11:B12 E11:M12 A456:B457 D456:M457 E536 A23:B24 E23:M24 A33:M38 A31:B32 D31:M32 A391:B392 D391:M392 A458:M459 A377:M378 A375:B376 E375:M376 A460:C461 E460:M461 F572:M573 A331:M338 A579:M586 A25:M30 A540:M571 A91:M158 A393:M407 A634:O1048576 O615:O632 A615:M632 O163:O246 A163:M246 E464:O465 F466:O467 O2 A3:N6 O359:O378 A359:M374 O347:O354 A347:M354 N353:N354 O6 A47:M86 O47:O86 A428:M455 O428:O536 A251:M326 O251:O326 A462:M535">
    <cfRule type="containsText" dxfId="1583" priority="688" operator="containsText" text="Pix">
      <formula>NOT(ISERROR(SEARCH("Pix",A2)))</formula>
    </cfRule>
  </conditionalFormatting>
  <conditionalFormatting sqref="O576 C576:M576">
    <cfRule type="cellIs" dxfId="1582" priority="687" operator="greaterThan">
      <formula>0</formula>
    </cfRule>
  </conditionalFormatting>
  <conditionalFormatting sqref="G587:M590 O587:O590">
    <cfRule type="containsText" dxfId="1581" priority="684" operator="containsText" text="Cheque">
      <formula>NOT(ISERROR(SEARCH("Cheque",G587)))</formula>
    </cfRule>
    <cfRule type="containsText" dxfId="1580" priority="685" operator="containsText" text="Dinheiro">
      <formula>NOT(ISERROR(SEARCH("Dinheiro",G587)))</formula>
    </cfRule>
    <cfRule type="cellIs" dxfId="1579" priority="686" operator="greaterThan">
      <formula>0</formula>
    </cfRule>
  </conditionalFormatting>
  <conditionalFormatting sqref="A587:B590 G587:M590 O587:O590">
    <cfRule type="containsText" dxfId="1578" priority="683" operator="containsText" text="Pix">
      <formula>NOT(ISERROR(SEARCH("Pix",A587)))</formula>
    </cfRule>
  </conditionalFormatting>
  <conditionalFormatting sqref="C591:M594 O591:O594">
    <cfRule type="containsText" dxfId="1577" priority="680" operator="containsText" text="Cheque">
      <formula>NOT(ISERROR(SEARCH("Cheque",C591)))</formula>
    </cfRule>
    <cfRule type="containsText" dxfId="1576" priority="681" operator="containsText" text="Dinheiro">
      <formula>NOT(ISERROR(SEARCH("Dinheiro",C591)))</formula>
    </cfRule>
    <cfRule type="cellIs" dxfId="1575" priority="682" operator="greaterThan">
      <formula>0</formula>
    </cfRule>
  </conditionalFormatting>
  <conditionalFormatting sqref="A591:M594 O591:O594">
    <cfRule type="containsText" dxfId="1574" priority="679" operator="containsText" text="Pix">
      <formula>NOT(ISERROR(SEARCH("Pix",A591)))</formula>
    </cfRule>
  </conditionalFormatting>
  <conditionalFormatting sqref="O159:O162 C159:M162">
    <cfRule type="containsText" dxfId="1573" priority="676" operator="containsText" text="Cheque">
      <formula>NOT(ISERROR(SEARCH("Cheque",C159)))</formula>
    </cfRule>
    <cfRule type="containsText" dxfId="1572" priority="677" operator="containsText" text="Dinheiro">
      <formula>NOT(ISERROR(SEARCH("Dinheiro",C159)))</formula>
    </cfRule>
    <cfRule type="cellIs" dxfId="1571" priority="678" operator="greaterThan">
      <formula>0</formula>
    </cfRule>
  </conditionalFormatting>
  <conditionalFormatting sqref="O159:O162 A159:M162">
    <cfRule type="containsText" dxfId="1570" priority="675" operator="containsText" text="Pix">
      <formula>NOT(ISERROR(SEARCH("Pix",A159)))</formula>
    </cfRule>
  </conditionalFormatting>
  <conditionalFormatting sqref="C424:M427 O424:O427">
    <cfRule type="containsText" dxfId="1569" priority="672" operator="containsText" text="Cheque">
      <formula>NOT(ISERROR(SEARCH("Cheque",C424)))</formula>
    </cfRule>
    <cfRule type="containsText" dxfId="1568" priority="673" operator="containsText" text="Dinheiro">
      <formula>NOT(ISERROR(SEARCH("Dinheiro",C424)))</formula>
    </cfRule>
    <cfRule type="cellIs" dxfId="1567" priority="674" operator="greaterThan">
      <formula>0</formula>
    </cfRule>
  </conditionalFormatting>
  <conditionalFormatting sqref="A424:M427 O424:O427">
    <cfRule type="containsText" dxfId="1566" priority="671" operator="containsText" text="Pix">
      <formula>NOT(ISERROR(SEARCH("Pix",A424)))</formula>
    </cfRule>
  </conditionalFormatting>
  <conditionalFormatting sqref="C595:M598 O595:O598">
    <cfRule type="containsText" dxfId="1565" priority="668" operator="containsText" text="Cheque">
      <formula>NOT(ISERROR(SEARCH("Cheque",C595)))</formula>
    </cfRule>
    <cfRule type="containsText" dxfId="1564" priority="669" operator="containsText" text="Dinheiro">
      <formula>NOT(ISERROR(SEARCH("Dinheiro",C595)))</formula>
    </cfRule>
    <cfRule type="cellIs" dxfId="1563" priority="670" operator="greaterThan">
      <formula>0</formula>
    </cfRule>
  </conditionalFormatting>
  <conditionalFormatting sqref="A595:M598 O595:O598">
    <cfRule type="containsText" dxfId="1562" priority="667" operator="containsText" text="Pix">
      <formula>NOT(ISERROR(SEARCH("Pix",A595)))</formula>
    </cfRule>
  </conditionalFormatting>
  <conditionalFormatting sqref="C599:M602 O599:O602">
    <cfRule type="containsText" dxfId="1561" priority="664" operator="containsText" text="Cheque">
      <formula>NOT(ISERROR(SEARCH("Cheque",C599)))</formula>
    </cfRule>
    <cfRule type="containsText" dxfId="1560" priority="665" operator="containsText" text="Dinheiro">
      <formula>NOT(ISERROR(SEARCH("Dinheiro",C599)))</formula>
    </cfRule>
    <cfRule type="cellIs" dxfId="1559" priority="666" operator="greaterThan">
      <formula>0</formula>
    </cfRule>
  </conditionalFormatting>
  <conditionalFormatting sqref="A599:M602 O599:O602">
    <cfRule type="containsText" dxfId="1558" priority="663" operator="containsText" text="Pix">
      <formula>NOT(ISERROR(SEARCH("Pix",A599)))</formula>
    </cfRule>
  </conditionalFormatting>
  <conditionalFormatting sqref="O327:O330 C327:M330">
    <cfRule type="containsText" dxfId="1557" priority="660" operator="containsText" text="Cheque">
      <formula>NOT(ISERROR(SEARCH("Cheque",C327)))</formula>
    </cfRule>
    <cfRule type="containsText" dxfId="1556" priority="661" operator="containsText" text="Dinheiro">
      <formula>NOT(ISERROR(SEARCH("Dinheiro",C327)))</formula>
    </cfRule>
    <cfRule type="cellIs" dxfId="1555" priority="662" operator="greaterThan">
      <formula>0</formula>
    </cfRule>
  </conditionalFormatting>
  <conditionalFormatting sqref="O327:O330 A327:M330">
    <cfRule type="containsText" dxfId="1554" priority="659" operator="containsText" text="Pix">
      <formula>NOT(ISERROR(SEARCH("Pix",A327)))</formula>
    </cfRule>
  </conditionalFormatting>
  <conditionalFormatting sqref="C603:M606 O603:O606">
    <cfRule type="containsText" dxfId="1553" priority="656" operator="containsText" text="Cheque">
      <formula>NOT(ISERROR(SEARCH("Cheque",C603)))</formula>
    </cfRule>
    <cfRule type="containsText" dxfId="1552" priority="657" operator="containsText" text="Dinheiro">
      <formula>NOT(ISERROR(SEARCH("Dinheiro",C603)))</formula>
    </cfRule>
    <cfRule type="cellIs" dxfId="1551" priority="658" operator="greaterThan">
      <formula>0</formula>
    </cfRule>
  </conditionalFormatting>
  <conditionalFormatting sqref="A603:M606 O603:O606">
    <cfRule type="containsText" dxfId="1550" priority="655" operator="containsText" text="Pix">
      <formula>NOT(ISERROR(SEARCH("Pix",A603)))</formula>
    </cfRule>
  </conditionalFormatting>
  <conditionalFormatting sqref="B577:M578 O383:XFD407 O367:XFD378 P87:XFD88 A87:I88 K87:O87 O11:XFD14 A383:M390 A13:M14 O19:XFD38 A19:M22 A367:M374 N454:N459 N466:N495 N241:N246 A574:M576 A572:B573 D572:D573 A11:B12 E11:M12 A456:B457 D456:M457 A536:B537 A23:B24 E23:M24 A33:M38 A31:B32 D31:M32 A391:B392 D391:M392 A458:M459 A377:M378 A375:B376 E375:M376 A460:C461 E460:M461 F572:M573 A579:M610 E536:M537 A25:M30 A538:M571 A393:M407 A634:XFD1048576 O615:XFD632 A615:M632 O89:XFD246 A89:M246 E464:O465 F466:O467 C1:XFD1 A2:XFD2 P3:XFD6 A3:N6 O347:XFD354 A347:M354 N353:N354 O6 A47:M86 O47:XFD86 A412:M455 O412:XFD610 A251:M338 O251:XFD338 A462:M535">
    <cfRule type="containsText" dxfId="1549" priority="653" operator="containsText" text="transferencia">
      <formula>NOT(ISERROR(SEARCH("transferencia",A1)))</formula>
    </cfRule>
    <cfRule type="containsText" dxfId="1548" priority="654" operator="containsText" text="trasnferência">
      <formula>NOT(ISERROR(SEARCH("trasnferência",A1)))</formula>
    </cfRule>
  </conditionalFormatting>
  <conditionalFormatting sqref="C607:M610 O607:O610">
    <cfRule type="containsText" dxfId="1547" priority="650" operator="containsText" text="Cheque">
      <formula>NOT(ISERROR(SEARCH("Cheque",C607)))</formula>
    </cfRule>
    <cfRule type="containsText" dxfId="1546" priority="651" operator="containsText" text="Dinheiro">
      <formula>NOT(ISERROR(SEARCH("Dinheiro",C607)))</formula>
    </cfRule>
    <cfRule type="cellIs" dxfId="1545" priority="652" operator="greaterThan">
      <formula>0</formula>
    </cfRule>
  </conditionalFormatting>
  <conditionalFormatting sqref="A607:M610 O607:O610">
    <cfRule type="containsText" dxfId="1544" priority="649" operator="containsText" text="Pix">
      <formula>NOT(ISERROR(SEARCH("Pix",A607)))</formula>
    </cfRule>
  </conditionalFormatting>
  <conditionalFormatting sqref="C615:M618 O615:O618">
    <cfRule type="containsText" dxfId="1543" priority="646" operator="containsText" text="Cheque">
      <formula>NOT(ISERROR(SEARCH("Cheque",C615)))</formula>
    </cfRule>
    <cfRule type="containsText" dxfId="1542" priority="647" operator="containsText" text="Dinheiro">
      <formula>NOT(ISERROR(SEARCH("Dinheiro",C615)))</formula>
    </cfRule>
    <cfRule type="cellIs" dxfId="1541" priority="648" operator="greaterThan">
      <formula>0</formula>
    </cfRule>
  </conditionalFormatting>
  <conditionalFormatting sqref="A615:M618 O615:O618">
    <cfRule type="containsText" dxfId="1540" priority="645" operator="containsText" text="Pix">
      <formula>NOT(ISERROR(SEARCH("Pix",A615)))</formula>
    </cfRule>
  </conditionalFormatting>
  <conditionalFormatting sqref="C619:M622 O619:O622">
    <cfRule type="containsText" dxfId="1539" priority="642" operator="containsText" text="Cheque">
      <formula>NOT(ISERROR(SEARCH("Cheque",C619)))</formula>
    </cfRule>
    <cfRule type="containsText" dxfId="1538" priority="643" operator="containsText" text="Dinheiro">
      <formula>NOT(ISERROR(SEARCH("Dinheiro",C619)))</formula>
    </cfRule>
    <cfRule type="cellIs" dxfId="1537" priority="644" operator="greaterThan">
      <formula>0</formula>
    </cfRule>
  </conditionalFormatting>
  <conditionalFormatting sqref="A619:M622 O619:O622">
    <cfRule type="containsText" dxfId="1536" priority="641" operator="containsText" text="Pix">
      <formula>NOT(ISERROR(SEARCH("Pix",A619)))</formula>
    </cfRule>
  </conditionalFormatting>
  <conditionalFormatting sqref="C623:M626 O623:O626">
    <cfRule type="containsText" dxfId="1535" priority="638" operator="containsText" text="Cheque">
      <formula>NOT(ISERROR(SEARCH("Cheque",C623)))</formula>
    </cfRule>
    <cfRule type="containsText" dxfId="1534" priority="639" operator="containsText" text="Dinheiro">
      <formula>NOT(ISERROR(SEARCH("Dinheiro",C623)))</formula>
    </cfRule>
    <cfRule type="cellIs" dxfId="1533" priority="640" operator="greaterThan">
      <formula>0</formula>
    </cfRule>
  </conditionalFormatting>
  <conditionalFormatting sqref="A623:M626 O623:O626">
    <cfRule type="containsText" dxfId="1532" priority="637" operator="containsText" text="Pix">
      <formula>NOT(ISERROR(SEARCH("Pix",A623)))</formula>
    </cfRule>
  </conditionalFormatting>
  <conditionalFormatting sqref="N2:N6 N331:N334 N577:N586 N607:N610 N430:N435 N538:N551 N185:N202 N47:N50 N412:N423 N347:N350 N251:N266 N383:N407 N89:N90 N13:N14 N562:N575 N462:N463 N54:N82 N21:N38 N438:N439 N93:N118 N321:N326 N337:N338 N285:N286 N442:N451 N554:N559 N518:N527 N498:N515 N530:N536 N289 N121:N158 N85:N86 N269:N282 N291:N318 N615:N632 N205:N238 N163:N182 N359:N378">
    <cfRule type="containsText" dxfId="1531" priority="634" operator="containsText" text="Cheque">
      <formula>NOT(ISERROR(SEARCH("Cheque",N2)))</formula>
    </cfRule>
    <cfRule type="containsText" dxfId="1530" priority="635" operator="containsText" text="Dinheiro">
      <formula>NOT(ISERROR(SEARCH("Dinheiro",N2)))</formula>
    </cfRule>
    <cfRule type="cellIs" dxfId="1529" priority="636" operator="greaterThan">
      <formula>0</formula>
    </cfRule>
  </conditionalFormatting>
  <conditionalFormatting sqref="N2:N6 N331:N334 N607:N610 N430:N435 N538:N551 N185:N202 N47:N50 N412:N423 N347:N350 N251:N266 N383:N407 N89:N90 N13:N14 N562:N586 N462:N463 N54:N82 N21:N38 N438:N439 N93:N118 N321:N326 N337:N338 N285:N286 N442:N451 N554:N559 N518:N527 N498:N515 N530:N536 N289 N121:N158 N85:N86 N269:N282 N291:N318 N615:N632 N205:N238 N163:N182 N359:N378">
    <cfRule type="containsText" dxfId="1528" priority="633" operator="containsText" text="Pix">
      <formula>NOT(ISERROR(SEARCH("Pix",N2)))</formula>
    </cfRule>
  </conditionalFormatting>
  <conditionalFormatting sqref="N576">
    <cfRule type="cellIs" dxfId="1527" priority="632" operator="greaterThan">
      <formula>0</formula>
    </cfRule>
  </conditionalFormatting>
  <conditionalFormatting sqref="N587:N590">
    <cfRule type="containsText" dxfId="1526" priority="629" operator="containsText" text="Cheque">
      <formula>NOT(ISERROR(SEARCH("Cheque",N587)))</formula>
    </cfRule>
    <cfRule type="containsText" dxfId="1525" priority="630" operator="containsText" text="Dinheiro">
      <formula>NOT(ISERROR(SEARCH("Dinheiro",N587)))</formula>
    </cfRule>
    <cfRule type="cellIs" dxfId="1524" priority="631" operator="greaterThan">
      <formula>0</formula>
    </cfRule>
  </conditionalFormatting>
  <conditionalFormatting sqref="N587:N590">
    <cfRule type="containsText" dxfId="1523" priority="628" operator="containsText" text="Pix">
      <formula>NOT(ISERROR(SEARCH("Pix",N587)))</formula>
    </cfRule>
  </conditionalFormatting>
  <conditionalFormatting sqref="N591:N594">
    <cfRule type="containsText" dxfId="1522" priority="625" operator="containsText" text="Cheque">
      <formula>NOT(ISERROR(SEARCH("Cheque",N591)))</formula>
    </cfRule>
    <cfRule type="containsText" dxfId="1521" priority="626" operator="containsText" text="Dinheiro">
      <formula>NOT(ISERROR(SEARCH("Dinheiro",N591)))</formula>
    </cfRule>
    <cfRule type="cellIs" dxfId="1520" priority="627" operator="greaterThan">
      <formula>0</formula>
    </cfRule>
  </conditionalFormatting>
  <conditionalFormatting sqref="N591:N594">
    <cfRule type="containsText" dxfId="1519" priority="624" operator="containsText" text="Pix">
      <formula>NOT(ISERROR(SEARCH("Pix",N591)))</formula>
    </cfRule>
  </conditionalFormatting>
  <conditionalFormatting sqref="N159:N162">
    <cfRule type="containsText" dxfId="1518" priority="621" operator="containsText" text="Cheque">
      <formula>NOT(ISERROR(SEARCH("Cheque",N159)))</formula>
    </cfRule>
    <cfRule type="containsText" dxfId="1517" priority="622" operator="containsText" text="Dinheiro">
      <formula>NOT(ISERROR(SEARCH("Dinheiro",N159)))</formula>
    </cfRule>
    <cfRule type="cellIs" dxfId="1516" priority="623" operator="greaterThan">
      <formula>0</formula>
    </cfRule>
  </conditionalFormatting>
  <conditionalFormatting sqref="N159:N162">
    <cfRule type="containsText" dxfId="1515" priority="620" operator="containsText" text="Pix">
      <formula>NOT(ISERROR(SEARCH("Pix",N159)))</formula>
    </cfRule>
  </conditionalFormatting>
  <conditionalFormatting sqref="N424:N427">
    <cfRule type="containsText" dxfId="1514" priority="617" operator="containsText" text="Cheque">
      <formula>NOT(ISERROR(SEARCH("Cheque",N424)))</formula>
    </cfRule>
    <cfRule type="containsText" dxfId="1513" priority="618" operator="containsText" text="Dinheiro">
      <formula>NOT(ISERROR(SEARCH("Dinheiro",N424)))</formula>
    </cfRule>
    <cfRule type="cellIs" dxfId="1512" priority="619" operator="greaterThan">
      <formula>0</formula>
    </cfRule>
  </conditionalFormatting>
  <conditionalFormatting sqref="N424:N427">
    <cfRule type="containsText" dxfId="1511" priority="616" operator="containsText" text="Pix">
      <formula>NOT(ISERROR(SEARCH("Pix",N424)))</formula>
    </cfRule>
  </conditionalFormatting>
  <conditionalFormatting sqref="N595:N598">
    <cfRule type="containsText" dxfId="1510" priority="613" operator="containsText" text="Cheque">
      <formula>NOT(ISERROR(SEARCH("Cheque",N595)))</formula>
    </cfRule>
    <cfRule type="containsText" dxfId="1509" priority="614" operator="containsText" text="Dinheiro">
      <formula>NOT(ISERROR(SEARCH("Dinheiro",N595)))</formula>
    </cfRule>
    <cfRule type="cellIs" dxfId="1508" priority="615" operator="greaterThan">
      <formula>0</formula>
    </cfRule>
  </conditionalFormatting>
  <conditionalFormatting sqref="N595:N598">
    <cfRule type="containsText" dxfId="1507" priority="612" operator="containsText" text="Pix">
      <formula>NOT(ISERROR(SEARCH("Pix",N595)))</formula>
    </cfRule>
  </conditionalFormatting>
  <conditionalFormatting sqref="N599:N602">
    <cfRule type="containsText" dxfId="1506" priority="609" operator="containsText" text="Cheque">
      <formula>NOT(ISERROR(SEARCH("Cheque",N599)))</formula>
    </cfRule>
    <cfRule type="containsText" dxfId="1505" priority="610" operator="containsText" text="Dinheiro">
      <formula>NOT(ISERROR(SEARCH("Dinheiro",N599)))</formula>
    </cfRule>
    <cfRule type="cellIs" dxfId="1504" priority="611" operator="greaterThan">
      <formula>0</formula>
    </cfRule>
  </conditionalFormatting>
  <conditionalFormatting sqref="N599:N602">
    <cfRule type="containsText" dxfId="1503" priority="608" operator="containsText" text="Pix">
      <formula>NOT(ISERROR(SEARCH("Pix",N599)))</formula>
    </cfRule>
  </conditionalFormatting>
  <conditionalFormatting sqref="N329:N330">
    <cfRule type="containsText" dxfId="1502" priority="605" operator="containsText" text="Cheque">
      <formula>NOT(ISERROR(SEARCH("Cheque",N329)))</formula>
    </cfRule>
    <cfRule type="containsText" dxfId="1501" priority="606" operator="containsText" text="Dinheiro">
      <formula>NOT(ISERROR(SEARCH("Dinheiro",N329)))</formula>
    </cfRule>
    <cfRule type="cellIs" dxfId="1500" priority="607" operator="greaterThan">
      <formula>0</formula>
    </cfRule>
  </conditionalFormatting>
  <conditionalFormatting sqref="N329:N330">
    <cfRule type="containsText" dxfId="1499" priority="604" operator="containsText" text="Pix">
      <formula>NOT(ISERROR(SEARCH("Pix",N329)))</formula>
    </cfRule>
  </conditionalFormatting>
  <conditionalFormatting sqref="N603:N606">
    <cfRule type="containsText" dxfId="1498" priority="601" operator="containsText" text="Cheque">
      <formula>NOT(ISERROR(SEARCH("Cheque",N603)))</formula>
    </cfRule>
    <cfRule type="containsText" dxfId="1497" priority="602" operator="containsText" text="Dinheiro">
      <formula>NOT(ISERROR(SEARCH("Dinheiro",N603)))</formula>
    </cfRule>
    <cfRule type="cellIs" dxfId="1496" priority="603" operator="greaterThan">
      <formula>0</formula>
    </cfRule>
  </conditionalFormatting>
  <conditionalFormatting sqref="N603:N606">
    <cfRule type="containsText" dxfId="1495" priority="600" operator="containsText" text="Pix">
      <formula>NOT(ISERROR(SEARCH("Pix",N603)))</formula>
    </cfRule>
  </conditionalFormatting>
  <conditionalFormatting sqref="N185:N202 N47:N50 N412:N427 N347:N350 N251:N266 N383:N407 N89:N90 N13:N14 N562:N610 N462:N463 N54:N82 N21:N38 N438:N439 N93:N118 N321:N326 N337:N338 N285:N286 N442:N451 N554:N559 N518:N527 N498:N515 N530:N551 N289 N85:N86 N430:N435 N329:N334 N269:N282 N291:N318 N615:N632 N205:N238 N121:N182 N359:N378">
    <cfRule type="containsText" dxfId="1494" priority="598" operator="containsText" text="transferencia">
      <formula>NOT(ISERROR(SEARCH("transferencia",N13)))</formula>
    </cfRule>
    <cfRule type="containsText" dxfId="1493" priority="599" operator="containsText" text="trasnferência">
      <formula>NOT(ISERROR(SEARCH("trasnferência",N13)))</formula>
    </cfRule>
  </conditionalFormatting>
  <conditionalFormatting sqref="N607:N610">
    <cfRule type="containsText" dxfId="1492" priority="595" operator="containsText" text="Cheque">
      <formula>NOT(ISERROR(SEARCH("Cheque",N607)))</formula>
    </cfRule>
    <cfRule type="containsText" dxfId="1491" priority="596" operator="containsText" text="Dinheiro">
      <formula>NOT(ISERROR(SEARCH("Dinheiro",N607)))</formula>
    </cfRule>
    <cfRule type="cellIs" dxfId="1490" priority="597" operator="greaterThan">
      <formula>0</formula>
    </cfRule>
  </conditionalFormatting>
  <conditionalFormatting sqref="N607:N610">
    <cfRule type="containsText" dxfId="1489" priority="594" operator="containsText" text="Pix">
      <formula>NOT(ISERROR(SEARCH("Pix",N607)))</formula>
    </cfRule>
  </conditionalFormatting>
  <conditionalFormatting sqref="N615:N618">
    <cfRule type="containsText" dxfId="1488" priority="591" operator="containsText" text="Cheque">
      <formula>NOT(ISERROR(SEARCH("Cheque",N615)))</formula>
    </cfRule>
    <cfRule type="containsText" dxfId="1487" priority="592" operator="containsText" text="Dinheiro">
      <formula>NOT(ISERROR(SEARCH("Dinheiro",N615)))</formula>
    </cfRule>
    <cfRule type="cellIs" dxfId="1486" priority="593" operator="greaterThan">
      <formula>0</formula>
    </cfRule>
  </conditionalFormatting>
  <conditionalFormatting sqref="N615:N618">
    <cfRule type="containsText" dxfId="1485" priority="590" operator="containsText" text="Pix">
      <formula>NOT(ISERROR(SEARCH("Pix",N615)))</formula>
    </cfRule>
  </conditionalFormatting>
  <conditionalFormatting sqref="N619:N622">
    <cfRule type="containsText" dxfId="1484" priority="587" operator="containsText" text="Cheque">
      <formula>NOT(ISERROR(SEARCH("Cheque",N619)))</formula>
    </cfRule>
    <cfRule type="containsText" dxfId="1483" priority="588" operator="containsText" text="Dinheiro">
      <formula>NOT(ISERROR(SEARCH("Dinheiro",N619)))</formula>
    </cfRule>
    <cfRule type="cellIs" dxfId="1482" priority="589" operator="greaterThan">
      <formula>0</formula>
    </cfRule>
  </conditionalFormatting>
  <conditionalFormatting sqref="N619:N622">
    <cfRule type="containsText" dxfId="1481" priority="586" operator="containsText" text="Pix">
      <formula>NOT(ISERROR(SEARCH("Pix",N619)))</formula>
    </cfRule>
  </conditionalFormatting>
  <conditionalFormatting sqref="N623:N626">
    <cfRule type="containsText" dxfId="1480" priority="583" operator="containsText" text="Cheque">
      <formula>NOT(ISERROR(SEARCH("Cheque",N623)))</formula>
    </cfRule>
    <cfRule type="containsText" dxfId="1479" priority="584" operator="containsText" text="Dinheiro">
      <formula>NOT(ISERROR(SEARCH("Dinheiro",N623)))</formula>
    </cfRule>
    <cfRule type="cellIs" dxfId="1478" priority="585" operator="greaterThan">
      <formula>0</formula>
    </cfRule>
  </conditionalFormatting>
  <conditionalFormatting sqref="N623:N626">
    <cfRule type="containsText" dxfId="1477" priority="582" operator="containsText" text="Pix">
      <formula>NOT(ISERROR(SEARCH("Pix",N623)))</formula>
    </cfRule>
  </conditionalFormatting>
  <conditionalFormatting sqref="O408:O411 C408:M411 C408:N410">
    <cfRule type="containsText" dxfId="1476" priority="573" operator="containsText" text="Cheque">
      <formula>NOT(ISERROR(SEARCH("Cheque",C408)))</formula>
    </cfRule>
    <cfRule type="containsText" dxfId="1475" priority="574" operator="containsText" text="Dinheiro">
      <formula>NOT(ISERROR(SEARCH("Dinheiro",C408)))</formula>
    </cfRule>
    <cfRule type="cellIs" dxfId="1474" priority="575" operator="greaterThan">
      <formula>0</formula>
    </cfRule>
  </conditionalFormatting>
  <conditionalFormatting sqref="O408:O411 A408:M411 C408:N410">
    <cfRule type="containsText" dxfId="1473" priority="572" operator="containsText" text="Pix">
      <formula>NOT(ISERROR(SEARCH("Pix",A408)))</formula>
    </cfRule>
  </conditionalFormatting>
  <conditionalFormatting sqref="O408:XFD411 A408:M411 C408:N410">
    <cfRule type="containsText" dxfId="1472" priority="570" operator="containsText" text="transferencia">
      <formula>NOT(ISERROR(SEARCH("transferencia",A408)))</formula>
    </cfRule>
    <cfRule type="containsText" dxfId="1471" priority="571" operator="containsText" text="trasnferência">
      <formula>NOT(ISERROR(SEARCH("trasnferência",A408)))</formula>
    </cfRule>
  </conditionalFormatting>
  <conditionalFormatting sqref="N408:N411">
    <cfRule type="containsText" dxfId="1470" priority="567" operator="containsText" text="Cheque">
      <formula>NOT(ISERROR(SEARCH("Cheque",N408)))</formula>
    </cfRule>
    <cfRule type="containsText" dxfId="1469" priority="568" operator="containsText" text="Dinheiro">
      <formula>NOT(ISERROR(SEARCH("Dinheiro",N408)))</formula>
    </cfRule>
    <cfRule type="cellIs" dxfId="1468" priority="569" operator="greaterThan">
      <formula>0</formula>
    </cfRule>
  </conditionalFormatting>
  <conditionalFormatting sqref="N408:N411">
    <cfRule type="containsText" dxfId="1467" priority="566" operator="containsText" text="Pix">
      <formula>NOT(ISERROR(SEARCH("Pix",N408)))</formula>
    </cfRule>
  </conditionalFormatting>
  <conditionalFormatting sqref="N408:N411">
    <cfRule type="containsText" dxfId="1466" priority="564" operator="containsText" text="transferencia">
      <formula>NOT(ISERROR(SEARCH("transferencia",N408)))</formula>
    </cfRule>
    <cfRule type="containsText" dxfId="1465" priority="565" operator="containsText" text="trasnferência">
      <formula>NOT(ISERROR(SEARCH("trasnferência",N408)))</formula>
    </cfRule>
  </conditionalFormatting>
  <conditionalFormatting sqref="O339:O342 C339:M342">
    <cfRule type="containsText" dxfId="1464" priority="561" operator="containsText" text="Cheque">
      <formula>NOT(ISERROR(SEARCH("Cheque",C339)))</formula>
    </cfRule>
    <cfRule type="containsText" dxfId="1463" priority="562" operator="containsText" text="Dinheiro">
      <formula>NOT(ISERROR(SEARCH("Dinheiro",C339)))</formula>
    </cfRule>
    <cfRule type="cellIs" dxfId="1462" priority="563" operator="greaterThan">
      <formula>0</formula>
    </cfRule>
  </conditionalFormatting>
  <conditionalFormatting sqref="O339:O342 A339:M342">
    <cfRule type="containsText" dxfId="1461" priority="560" operator="containsText" text="Pix">
      <formula>NOT(ISERROR(SEARCH("Pix",A339)))</formula>
    </cfRule>
  </conditionalFormatting>
  <conditionalFormatting sqref="O339:XFD342 A339:M342">
    <cfRule type="containsText" dxfId="1460" priority="558" operator="containsText" text="transferencia">
      <formula>NOT(ISERROR(SEARCH("transferencia",A339)))</formula>
    </cfRule>
    <cfRule type="containsText" dxfId="1459" priority="559" operator="containsText" text="trasnferência">
      <formula>NOT(ISERROR(SEARCH("trasnferência",A339)))</formula>
    </cfRule>
  </conditionalFormatting>
  <conditionalFormatting sqref="N339:N342">
    <cfRule type="containsText" dxfId="1458" priority="555" operator="containsText" text="Cheque">
      <formula>NOT(ISERROR(SEARCH("Cheque",N339)))</formula>
    </cfRule>
    <cfRule type="containsText" dxfId="1457" priority="556" operator="containsText" text="Dinheiro">
      <formula>NOT(ISERROR(SEARCH("Dinheiro",N339)))</formula>
    </cfRule>
    <cfRule type="cellIs" dxfId="1456" priority="557" operator="greaterThan">
      <formula>0</formula>
    </cfRule>
  </conditionalFormatting>
  <conditionalFormatting sqref="N339:N342">
    <cfRule type="containsText" dxfId="1455" priority="554" operator="containsText" text="Pix">
      <formula>NOT(ISERROR(SEARCH("Pix",N339)))</formula>
    </cfRule>
  </conditionalFormatting>
  <conditionalFormatting sqref="N339:N342">
    <cfRule type="containsText" dxfId="1454" priority="552" operator="containsText" text="transferencia">
      <formula>NOT(ISERROR(SEARCH("transferencia",N339)))</formula>
    </cfRule>
    <cfRule type="containsText" dxfId="1453" priority="553" operator="containsText" text="trasnferência">
      <formula>NOT(ISERROR(SEARCH("trasnferência",N339)))</formula>
    </cfRule>
  </conditionalFormatting>
  <conditionalFormatting sqref="C247:M250 O247:O250">
    <cfRule type="containsText" dxfId="1452" priority="549" operator="containsText" text="Cheque">
      <formula>NOT(ISERROR(SEARCH("Cheque",C247)))</formula>
    </cfRule>
    <cfRule type="containsText" dxfId="1451" priority="550" operator="containsText" text="Dinheiro">
      <formula>NOT(ISERROR(SEARCH("Dinheiro",C247)))</formula>
    </cfRule>
    <cfRule type="cellIs" dxfId="1450" priority="551" operator="greaterThan">
      <formula>0</formula>
    </cfRule>
  </conditionalFormatting>
  <conditionalFormatting sqref="A247:M250 O247:O250">
    <cfRule type="containsText" dxfId="1449" priority="548" operator="containsText" text="Pix">
      <formula>NOT(ISERROR(SEARCH("Pix",A247)))</formula>
    </cfRule>
  </conditionalFormatting>
  <conditionalFormatting sqref="A247:M250 O247:XFD250">
    <cfRule type="containsText" dxfId="1448" priority="546" operator="containsText" text="transferencia">
      <formula>NOT(ISERROR(SEARCH("transferencia",A247)))</formula>
    </cfRule>
    <cfRule type="containsText" dxfId="1447" priority="547" operator="containsText" text="trasnferência">
      <formula>NOT(ISERROR(SEARCH("trasnferência",A247)))</formula>
    </cfRule>
  </conditionalFormatting>
  <conditionalFormatting sqref="N247:N250">
    <cfRule type="containsText" dxfId="1446" priority="543" operator="containsText" text="Cheque">
      <formula>NOT(ISERROR(SEARCH("Cheque",N247)))</formula>
    </cfRule>
    <cfRule type="containsText" dxfId="1445" priority="544" operator="containsText" text="Dinheiro">
      <formula>NOT(ISERROR(SEARCH("Dinheiro",N247)))</formula>
    </cfRule>
    <cfRule type="cellIs" dxfId="1444" priority="545" operator="greaterThan">
      <formula>0</formula>
    </cfRule>
  </conditionalFormatting>
  <conditionalFormatting sqref="N247:N250">
    <cfRule type="containsText" dxfId="1443" priority="542" operator="containsText" text="Pix">
      <formula>NOT(ISERROR(SEARCH("Pix",N247)))</formula>
    </cfRule>
  </conditionalFormatting>
  <conditionalFormatting sqref="N247:N250">
    <cfRule type="containsText" dxfId="1442" priority="540" operator="containsText" text="transferencia">
      <formula>NOT(ISERROR(SEARCH("transferencia",N247)))</formula>
    </cfRule>
    <cfRule type="containsText" dxfId="1441" priority="541" operator="containsText" text="trasnferência">
      <formula>NOT(ISERROR(SEARCH("trasnferência",N247)))</formula>
    </cfRule>
  </conditionalFormatting>
  <conditionalFormatting sqref="O379:O382 C379:M382">
    <cfRule type="containsText" dxfId="1440" priority="536" operator="containsText" text="Cheque">
      <formula>NOT(ISERROR(SEARCH("Cheque",C379)))</formula>
    </cfRule>
    <cfRule type="containsText" dxfId="1439" priority="538" operator="containsText" text="Dinheiro">
      <formula>NOT(ISERROR(SEARCH("Dinheiro",C379)))</formula>
    </cfRule>
    <cfRule type="cellIs" dxfId="1438" priority="539" operator="greaterThan">
      <formula>0</formula>
    </cfRule>
  </conditionalFormatting>
  <conditionalFormatting sqref="C382">
    <cfRule type="containsText" dxfId="1437" priority="537" operator="containsText" text="Cheque">
      <formula>NOT(ISERROR(SEARCH("Cheque",C382)))</formula>
    </cfRule>
  </conditionalFormatting>
  <conditionalFormatting sqref="O379:O382 A379:M382">
    <cfRule type="containsText" dxfId="1436" priority="535" operator="containsText" text="Pix">
      <formula>NOT(ISERROR(SEARCH("Pix",A379)))</formula>
    </cfRule>
  </conditionalFormatting>
  <conditionalFormatting sqref="O379:XFD382 A379:M382">
    <cfRule type="containsText" dxfId="1435" priority="533" operator="containsText" text="transferencia">
      <formula>NOT(ISERROR(SEARCH("transferencia",A379)))</formula>
    </cfRule>
    <cfRule type="containsText" dxfId="1434" priority="534" operator="containsText" text="trasnferência">
      <formula>NOT(ISERROR(SEARCH("trasnferência",A379)))</formula>
    </cfRule>
  </conditionalFormatting>
  <conditionalFormatting sqref="N379:N382">
    <cfRule type="containsText" dxfId="1433" priority="530" operator="containsText" text="Cheque">
      <formula>NOT(ISERROR(SEARCH("Cheque",N379)))</formula>
    </cfRule>
    <cfRule type="containsText" dxfId="1432" priority="531" operator="containsText" text="Dinheiro">
      <formula>NOT(ISERROR(SEARCH("Dinheiro",N379)))</formula>
    </cfRule>
    <cfRule type="cellIs" dxfId="1431" priority="532" operator="greaterThan">
      <formula>0</formula>
    </cfRule>
  </conditionalFormatting>
  <conditionalFormatting sqref="N379:N382">
    <cfRule type="containsText" dxfId="1430" priority="529" operator="containsText" text="Pix">
      <formula>NOT(ISERROR(SEARCH("Pix",N379)))</formula>
    </cfRule>
  </conditionalFormatting>
  <conditionalFormatting sqref="N379:N382">
    <cfRule type="containsText" dxfId="1429" priority="527" operator="containsText" text="transferencia">
      <formula>NOT(ISERROR(SEARCH("transferencia",N379)))</formula>
    </cfRule>
    <cfRule type="containsText" dxfId="1428" priority="528" operator="containsText" text="trasnferência">
      <formula>NOT(ISERROR(SEARCH("trasnferência",N379)))</formula>
    </cfRule>
  </conditionalFormatting>
  <conditionalFormatting sqref="O355:O366 C355:M366">
    <cfRule type="containsText" dxfId="1427" priority="524" operator="containsText" text="Cheque">
      <formula>NOT(ISERROR(SEARCH("Cheque",C355)))</formula>
    </cfRule>
    <cfRule type="containsText" dxfId="1426" priority="525" operator="containsText" text="Dinheiro">
      <formula>NOT(ISERROR(SEARCH("Dinheiro",C355)))</formula>
    </cfRule>
    <cfRule type="cellIs" dxfId="1425" priority="526" operator="greaterThan">
      <formula>0</formula>
    </cfRule>
  </conditionalFormatting>
  <conditionalFormatting sqref="O355:O366 A355:M366">
    <cfRule type="containsText" dxfId="1424" priority="523" operator="containsText" text="Pix">
      <formula>NOT(ISERROR(SEARCH("Pix",A355)))</formula>
    </cfRule>
  </conditionalFormatting>
  <conditionalFormatting sqref="O355:XFD366 A355:M366">
    <cfRule type="containsText" dxfId="1423" priority="521" operator="containsText" text="transferencia">
      <formula>NOT(ISERROR(SEARCH("transferencia",A355)))</formula>
    </cfRule>
    <cfRule type="containsText" dxfId="1422" priority="522" operator="containsText" text="trasnferência">
      <formula>NOT(ISERROR(SEARCH("trasnferência",A355)))</formula>
    </cfRule>
  </conditionalFormatting>
  <conditionalFormatting sqref="N355:N356">
    <cfRule type="containsText" dxfId="1421" priority="518" operator="containsText" text="Cheque">
      <formula>NOT(ISERROR(SEARCH("Cheque",N355)))</formula>
    </cfRule>
    <cfRule type="containsText" dxfId="1420" priority="519" operator="containsText" text="Dinheiro">
      <formula>NOT(ISERROR(SEARCH("Dinheiro",N355)))</formula>
    </cfRule>
    <cfRule type="cellIs" dxfId="1419" priority="520" operator="greaterThan">
      <formula>0</formula>
    </cfRule>
  </conditionalFormatting>
  <conditionalFormatting sqref="N355:N356">
    <cfRule type="containsText" dxfId="1418" priority="517" operator="containsText" text="Pix">
      <formula>NOT(ISERROR(SEARCH("Pix",N355)))</formula>
    </cfRule>
  </conditionalFormatting>
  <conditionalFormatting sqref="N355:N356">
    <cfRule type="containsText" dxfId="1417" priority="515" operator="containsText" text="transferencia">
      <formula>NOT(ISERROR(SEARCH("transferencia",N355)))</formula>
    </cfRule>
    <cfRule type="containsText" dxfId="1416" priority="516" operator="containsText" text="trasnferência">
      <formula>NOT(ISERROR(SEARCH("trasnferência",N355)))</formula>
    </cfRule>
  </conditionalFormatting>
  <conditionalFormatting sqref="J87">
    <cfRule type="containsText" dxfId="1415" priority="512" operator="containsText" text="Cheque">
      <formula>NOT(ISERROR(SEARCH("Cheque",J87)))</formula>
    </cfRule>
    <cfRule type="containsText" dxfId="1414" priority="513" operator="containsText" text="Dinheiro">
      <formula>NOT(ISERROR(SEARCH("Dinheiro",J87)))</formula>
    </cfRule>
    <cfRule type="cellIs" dxfId="1413" priority="514" operator="greaterThan">
      <formula>0</formula>
    </cfRule>
  </conditionalFormatting>
  <conditionalFormatting sqref="J87">
    <cfRule type="containsText" dxfId="1412" priority="511" operator="containsText" text="Pix">
      <formula>NOT(ISERROR(SEARCH("Pix",J87)))</formula>
    </cfRule>
  </conditionalFormatting>
  <conditionalFormatting sqref="J87:J88">
    <cfRule type="containsText" dxfId="1411" priority="509" operator="containsText" text="transferencia">
      <formula>NOT(ISERROR(SEARCH("transferencia",J87)))</formula>
    </cfRule>
    <cfRule type="containsText" dxfId="1410" priority="510" operator="containsText" text="trasnferência">
      <formula>NOT(ISERROR(SEARCH("trasnferência",J87)))</formula>
    </cfRule>
  </conditionalFormatting>
  <conditionalFormatting sqref="O7:O10 C7:M10">
    <cfRule type="containsText" dxfId="1409" priority="506" operator="containsText" text="Cheque">
      <formula>NOT(ISERROR(SEARCH("Cheque",C7)))</formula>
    </cfRule>
    <cfRule type="containsText" dxfId="1408" priority="507" operator="containsText" text="Dinheiro">
      <formula>NOT(ISERROR(SEARCH("Dinheiro",C7)))</formula>
    </cfRule>
    <cfRule type="cellIs" dxfId="1407" priority="508" operator="greaterThan">
      <formula>0</formula>
    </cfRule>
  </conditionalFormatting>
  <conditionalFormatting sqref="O7:O10 A7:M10">
    <cfRule type="containsText" dxfId="1406" priority="505" operator="containsText" text="Pix">
      <formula>NOT(ISERROR(SEARCH("Pix",A7)))</formula>
    </cfRule>
  </conditionalFormatting>
  <conditionalFormatting sqref="O7:XFD10 A7:M10">
    <cfRule type="containsText" dxfId="1405" priority="503" operator="containsText" text="transferencia">
      <formula>NOT(ISERROR(SEARCH("transferencia",A7)))</formula>
    </cfRule>
    <cfRule type="containsText" dxfId="1404" priority="504" operator="containsText" text="trasnferência">
      <formula>NOT(ISERROR(SEARCH("trasnferência",A7)))</formula>
    </cfRule>
  </conditionalFormatting>
  <conditionalFormatting sqref="N9:N10">
    <cfRule type="containsText" dxfId="1403" priority="500" operator="containsText" text="Cheque">
      <formula>NOT(ISERROR(SEARCH("Cheque",N9)))</formula>
    </cfRule>
    <cfRule type="containsText" dxfId="1402" priority="501" operator="containsText" text="Dinheiro">
      <formula>NOT(ISERROR(SEARCH("Dinheiro",N9)))</formula>
    </cfRule>
    <cfRule type="cellIs" dxfId="1401" priority="502" operator="greaterThan">
      <formula>0</formula>
    </cfRule>
  </conditionalFormatting>
  <conditionalFormatting sqref="N9:N10">
    <cfRule type="containsText" dxfId="1400" priority="499" operator="containsText" text="Pix">
      <formula>NOT(ISERROR(SEARCH("Pix",N9)))</formula>
    </cfRule>
  </conditionalFormatting>
  <conditionalFormatting sqref="N9:N10">
    <cfRule type="containsText" dxfId="1399" priority="497" operator="containsText" text="transferencia">
      <formula>NOT(ISERROR(SEARCH("transferencia",N9)))</formula>
    </cfRule>
    <cfRule type="containsText" dxfId="1398" priority="498" operator="containsText" text="trasnferência">
      <formula>NOT(ISERROR(SEARCH("trasnferência",N9)))</formula>
    </cfRule>
  </conditionalFormatting>
  <conditionalFormatting sqref="C39:M42 O39:O42">
    <cfRule type="containsText" dxfId="1397" priority="494" operator="containsText" text="Cheque">
      <formula>NOT(ISERROR(SEARCH("Cheque",C39)))</formula>
    </cfRule>
    <cfRule type="containsText" dxfId="1396" priority="495" operator="containsText" text="Dinheiro">
      <formula>NOT(ISERROR(SEARCH("Dinheiro",C39)))</formula>
    </cfRule>
    <cfRule type="cellIs" dxfId="1395" priority="496" operator="greaterThan">
      <formula>0</formula>
    </cfRule>
  </conditionalFormatting>
  <conditionalFormatting sqref="A39:M42 O39:O42">
    <cfRule type="containsText" dxfId="1394" priority="493" operator="containsText" text="Pix">
      <formula>NOT(ISERROR(SEARCH("Pix",A39)))</formula>
    </cfRule>
  </conditionalFormatting>
  <conditionalFormatting sqref="A39:M42 O39:XFD42">
    <cfRule type="containsText" dxfId="1393" priority="491" operator="containsText" text="transferencia">
      <formula>NOT(ISERROR(SEARCH("transferencia",A39)))</formula>
    </cfRule>
    <cfRule type="containsText" dxfId="1392" priority="492" operator="containsText" text="trasnferência">
      <formula>NOT(ISERROR(SEARCH("trasnferência",A39)))</formula>
    </cfRule>
  </conditionalFormatting>
  <conditionalFormatting sqref="N39:N42">
    <cfRule type="containsText" dxfId="1391" priority="488" operator="containsText" text="Cheque">
      <formula>NOT(ISERROR(SEARCH("Cheque",N39)))</formula>
    </cfRule>
    <cfRule type="containsText" dxfId="1390" priority="489" operator="containsText" text="Dinheiro">
      <formula>NOT(ISERROR(SEARCH("Dinheiro",N39)))</formula>
    </cfRule>
    <cfRule type="cellIs" dxfId="1389" priority="490" operator="greaterThan">
      <formula>0</formula>
    </cfRule>
  </conditionalFormatting>
  <conditionalFormatting sqref="N39:N42">
    <cfRule type="containsText" dxfId="1388" priority="487" operator="containsText" text="Pix">
      <formula>NOT(ISERROR(SEARCH("Pix",N39)))</formula>
    </cfRule>
  </conditionalFormatting>
  <conditionalFormatting sqref="N39:N42">
    <cfRule type="containsText" dxfId="1387" priority="485" operator="containsText" text="transferencia">
      <formula>NOT(ISERROR(SEARCH("transferencia",N39)))</formula>
    </cfRule>
    <cfRule type="containsText" dxfId="1386" priority="486" operator="containsText" text="trasnferência">
      <formula>NOT(ISERROR(SEARCH("trasnferência",N39)))</formula>
    </cfRule>
  </conditionalFormatting>
  <conditionalFormatting sqref="N560:N561">
    <cfRule type="containsText" dxfId="1385" priority="482" operator="containsText" text="Cheque">
      <formula>NOT(ISERROR(SEARCH("Cheque",N560)))</formula>
    </cfRule>
    <cfRule type="containsText" dxfId="1384" priority="483" operator="containsText" text="Dinheiro">
      <formula>NOT(ISERROR(SEARCH("Dinheiro",N560)))</formula>
    </cfRule>
    <cfRule type="cellIs" dxfId="1383" priority="484" operator="greaterThan">
      <formula>0</formula>
    </cfRule>
  </conditionalFormatting>
  <conditionalFormatting sqref="N560:N561">
    <cfRule type="containsText" dxfId="1382" priority="481" operator="containsText" text="Pix">
      <formula>NOT(ISERROR(SEARCH("Pix",N560)))</formula>
    </cfRule>
  </conditionalFormatting>
  <conditionalFormatting sqref="N560:N561">
    <cfRule type="containsText" dxfId="1381" priority="479" operator="containsText" text="transferencia">
      <formula>NOT(ISERROR(SEARCH("transferencia",N560)))</formula>
    </cfRule>
    <cfRule type="containsText" dxfId="1380" priority="480" operator="containsText" text="trasnferência">
      <formula>NOT(ISERROR(SEARCH("trasnferência",N560)))</formula>
    </cfRule>
  </conditionalFormatting>
  <conditionalFormatting sqref="N357">
    <cfRule type="containsText" dxfId="1379" priority="476" operator="containsText" text="Cheque">
      <formula>NOT(ISERROR(SEARCH("Cheque",N357)))</formula>
    </cfRule>
    <cfRule type="containsText" dxfId="1378" priority="477" operator="containsText" text="Dinheiro">
      <formula>NOT(ISERROR(SEARCH("Dinheiro",N357)))</formula>
    </cfRule>
    <cfRule type="cellIs" dxfId="1377" priority="478" operator="greaterThan">
      <formula>0</formula>
    </cfRule>
  </conditionalFormatting>
  <conditionalFormatting sqref="N357">
    <cfRule type="containsText" dxfId="1376" priority="475" operator="containsText" text="Pix">
      <formula>NOT(ISERROR(SEARCH("Pix",N357)))</formula>
    </cfRule>
  </conditionalFormatting>
  <conditionalFormatting sqref="N357">
    <cfRule type="containsText" dxfId="1375" priority="473" operator="containsText" text="transferencia">
      <formula>NOT(ISERROR(SEARCH("transferencia",N357)))</formula>
    </cfRule>
    <cfRule type="containsText" dxfId="1374" priority="474" operator="containsText" text="trasnferência">
      <formula>NOT(ISERROR(SEARCH("trasnferência",N357)))</formula>
    </cfRule>
  </conditionalFormatting>
  <conditionalFormatting sqref="N358:N366">
    <cfRule type="containsText" dxfId="1373" priority="470" operator="containsText" text="Cheque">
      <formula>NOT(ISERROR(SEARCH("Cheque",N358)))</formula>
    </cfRule>
    <cfRule type="containsText" dxfId="1372" priority="471" operator="containsText" text="Dinheiro">
      <formula>NOT(ISERROR(SEARCH("Dinheiro",N358)))</formula>
    </cfRule>
    <cfRule type="cellIs" dxfId="1371" priority="472" operator="greaterThan">
      <formula>0</formula>
    </cfRule>
  </conditionalFormatting>
  <conditionalFormatting sqref="N358:N366">
    <cfRule type="containsText" dxfId="1370" priority="469" operator="containsText" text="Pix">
      <formula>NOT(ISERROR(SEARCH("Pix",N358)))</formula>
    </cfRule>
  </conditionalFormatting>
  <conditionalFormatting sqref="N358:N366">
    <cfRule type="containsText" dxfId="1369" priority="467" operator="containsText" text="transferencia">
      <formula>NOT(ISERROR(SEARCH("transferencia",N358)))</formula>
    </cfRule>
    <cfRule type="containsText" dxfId="1368" priority="468" operator="containsText" text="trasnferência">
      <formula>NOT(ISERROR(SEARCH("trasnferência",N358)))</formula>
    </cfRule>
  </conditionalFormatting>
  <conditionalFormatting sqref="N11:N12">
    <cfRule type="containsText" dxfId="1367" priority="464" operator="containsText" text="Cheque">
      <formula>NOT(ISERROR(SEARCH("Cheque",N11)))</formula>
    </cfRule>
    <cfRule type="containsText" dxfId="1366" priority="465" operator="containsText" text="Dinheiro">
      <formula>NOT(ISERROR(SEARCH("Dinheiro",N11)))</formula>
    </cfRule>
    <cfRule type="cellIs" dxfId="1365" priority="466" operator="greaterThan">
      <formula>0</formula>
    </cfRule>
  </conditionalFormatting>
  <conditionalFormatting sqref="N11:N12">
    <cfRule type="containsText" dxfId="1364" priority="463" operator="containsText" text="Pix">
      <formula>NOT(ISERROR(SEARCH("Pix",N11)))</formula>
    </cfRule>
  </conditionalFormatting>
  <conditionalFormatting sqref="N11:N12">
    <cfRule type="containsText" dxfId="1363" priority="461" operator="containsText" text="transferencia">
      <formula>NOT(ISERROR(SEARCH("transferencia",N11)))</formula>
    </cfRule>
    <cfRule type="containsText" dxfId="1362" priority="462" operator="containsText" text="trasnferência">
      <formula>NOT(ISERROR(SEARCH("trasnferência",N11)))</formula>
    </cfRule>
  </conditionalFormatting>
  <conditionalFormatting sqref="N460:N461">
    <cfRule type="containsText" dxfId="1361" priority="458" operator="containsText" text="Cheque">
      <formula>NOT(ISERROR(SEARCH("Cheque",N460)))</formula>
    </cfRule>
    <cfRule type="containsText" dxfId="1360" priority="459" operator="containsText" text="Dinheiro">
      <formula>NOT(ISERROR(SEARCH("Dinheiro",N460)))</formula>
    </cfRule>
    <cfRule type="cellIs" dxfId="1359" priority="460" operator="greaterThan">
      <formula>0</formula>
    </cfRule>
  </conditionalFormatting>
  <conditionalFormatting sqref="N460:N461">
    <cfRule type="containsText" dxfId="1358" priority="457" operator="containsText" text="Pix">
      <formula>NOT(ISERROR(SEARCH("Pix",N460)))</formula>
    </cfRule>
  </conditionalFormatting>
  <conditionalFormatting sqref="N460:N461">
    <cfRule type="containsText" dxfId="1357" priority="455" operator="containsText" text="transferencia">
      <formula>NOT(ISERROR(SEARCH("transferencia",N460)))</formula>
    </cfRule>
    <cfRule type="containsText" dxfId="1356" priority="456" operator="containsText" text="trasnferência">
      <formula>NOT(ISERROR(SEARCH("trasnferência",N460)))</formula>
    </cfRule>
  </conditionalFormatting>
  <conditionalFormatting sqref="N51:N52">
    <cfRule type="containsText" dxfId="1355" priority="452" operator="containsText" text="Cheque">
      <formula>NOT(ISERROR(SEARCH("Cheque",N51)))</formula>
    </cfRule>
    <cfRule type="containsText" dxfId="1354" priority="453" operator="containsText" text="Dinheiro">
      <formula>NOT(ISERROR(SEARCH("Dinheiro",N51)))</formula>
    </cfRule>
    <cfRule type="cellIs" dxfId="1353" priority="454" operator="greaterThan">
      <formula>0</formula>
    </cfRule>
  </conditionalFormatting>
  <conditionalFormatting sqref="N51:N52">
    <cfRule type="containsText" dxfId="1352" priority="451" operator="containsText" text="Pix">
      <formula>NOT(ISERROR(SEARCH("Pix",N51)))</formula>
    </cfRule>
  </conditionalFormatting>
  <conditionalFormatting sqref="N51:N52">
    <cfRule type="containsText" dxfId="1351" priority="449" operator="containsText" text="transferencia">
      <formula>NOT(ISERROR(SEARCH("transferencia",N51)))</formula>
    </cfRule>
    <cfRule type="containsText" dxfId="1350" priority="450" operator="containsText" text="trasnferência">
      <formula>NOT(ISERROR(SEARCH("trasnferência",N51)))</formula>
    </cfRule>
  </conditionalFormatting>
  <conditionalFormatting sqref="N53">
    <cfRule type="containsText" dxfId="1349" priority="446" operator="containsText" text="Cheque">
      <formula>NOT(ISERROR(SEARCH("Cheque",N53)))</formula>
    </cfRule>
    <cfRule type="containsText" dxfId="1348" priority="447" operator="containsText" text="Dinheiro">
      <formula>NOT(ISERROR(SEARCH("Dinheiro",N53)))</formula>
    </cfRule>
    <cfRule type="cellIs" dxfId="1347" priority="448" operator="greaterThan">
      <formula>0</formula>
    </cfRule>
  </conditionalFormatting>
  <conditionalFormatting sqref="N53">
    <cfRule type="containsText" dxfId="1346" priority="445" operator="containsText" text="Pix">
      <formula>NOT(ISERROR(SEARCH("Pix",N53)))</formula>
    </cfRule>
  </conditionalFormatting>
  <conditionalFormatting sqref="N53">
    <cfRule type="containsText" dxfId="1345" priority="443" operator="containsText" text="transferencia">
      <formula>NOT(ISERROR(SEARCH("transferencia",N53)))</formula>
    </cfRule>
    <cfRule type="containsText" dxfId="1344" priority="444" operator="containsText" text="trasnferência">
      <formula>NOT(ISERROR(SEARCH("trasnferência",N53)))</formula>
    </cfRule>
  </conditionalFormatting>
  <conditionalFormatting sqref="C15:M18 O15:O18">
    <cfRule type="containsText" dxfId="1343" priority="440" operator="containsText" text="Cheque">
      <formula>NOT(ISERROR(SEARCH("Cheque",C15)))</formula>
    </cfRule>
    <cfRule type="containsText" dxfId="1342" priority="441" operator="containsText" text="Dinheiro">
      <formula>NOT(ISERROR(SEARCH("Dinheiro",C15)))</formula>
    </cfRule>
    <cfRule type="cellIs" dxfId="1341" priority="442" operator="greaterThan">
      <formula>0</formula>
    </cfRule>
  </conditionalFormatting>
  <conditionalFormatting sqref="A15:M18 O15:O18">
    <cfRule type="containsText" dxfId="1340" priority="439" operator="containsText" text="Pix">
      <formula>NOT(ISERROR(SEARCH("Pix",A15)))</formula>
    </cfRule>
  </conditionalFormatting>
  <conditionalFormatting sqref="A15:M18 O15:XFD18">
    <cfRule type="containsText" dxfId="1339" priority="437" operator="containsText" text="transferencia">
      <formula>NOT(ISERROR(SEARCH("transferencia",A15)))</formula>
    </cfRule>
    <cfRule type="containsText" dxfId="1338" priority="438" operator="containsText" text="trasnferência">
      <formula>NOT(ISERROR(SEARCH("trasnferência",A15)))</formula>
    </cfRule>
  </conditionalFormatting>
  <conditionalFormatting sqref="N17:N18">
    <cfRule type="containsText" dxfId="1337" priority="434" operator="containsText" text="Cheque">
      <formula>NOT(ISERROR(SEARCH("Cheque",N17)))</formula>
    </cfRule>
    <cfRule type="containsText" dxfId="1336" priority="435" operator="containsText" text="Dinheiro">
      <formula>NOT(ISERROR(SEARCH("Dinheiro",N17)))</formula>
    </cfRule>
    <cfRule type="cellIs" dxfId="1335" priority="436" operator="greaterThan">
      <formula>0</formula>
    </cfRule>
  </conditionalFormatting>
  <conditionalFormatting sqref="N17:N18">
    <cfRule type="containsText" dxfId="1334" priority="433" operator="containsText" text="Pix">
      <formula>NOT(ISERROR(SEARCH("Pix",N17)))</formula>
    </cfRule>
  </conditionalFormatting>
  <conditionalFormatting sqref="N17:N18">
    <cfRule type="containsText" dxfId="1333" priority="431" operator="containsText" text="transferencia">
      <formula>NOT(ISERROR(SEARCH("transferencia",N17)))</formula>
    </cfRule>
    <cfRule type="containsText" dxfId="1332" priority="432" operator="containsText" text="trasnferência">
      <formula>NOT(ISERROR(SEARCH("trasnferência",N17)))</formula>
    </cfRule>
  </conditionalFormatting>
  <conditionalFormatting sqref="N15:N16">
    <cfRule type="containsText" dxfId="1331" priority="428" operator="containsText" text="Cheque">
      <formula>NOT(ISERROR(SEARCH("Cheque",N15)))</formula>
    </cfRule>
    <cfRule type="containsText" dxfId="1330" priority="429" operator="containsText" text="Dinheiro">
      <formula>NOT(ISERROR(SEARCH("Dinheiro",N15)))</formula>
    </cfRule>
    <cfRule type="cellIs" dxfId="1329" priority="430" operator="greaterThan">
      <formula>0</formula>
    </cfRule>
  </conditionalFormatting>
  <conditionalFormatting sqref="N15:N16">
    <cfRule type="containsText" dxfId="1328" priority="427" operator="containsText" text="Pix">
      <formula>NOT(ISERROR(SEARCH("Pix",N15)))</formula>
    </cfRule>
  </conditionalFormatting>
  <conditionalFormatting sqref="N15:N16">
    <cfRule type="containsText" dxfId="1327" priority="425" operator="containsText" text="transferencia">
      <formula>NOT(ISERROR(SEARCH("transferencia",N15)))</formula>
    </cfRule>
    <cfRule type="containsText" dxfId="1326" priority="426" operator="containsText" text="trasnferência">
      <formula>NOT(ISERROR(SEARCH("trasnferência",N15)))</formula>
    </cfRule>
  </conditionalFormatting>
  <conditionalFormatting sqref="N436:N437">
    <cfRule type="containsText" dxfId="1325" priority="422" operator="containsText" text="Cheque">
      <formula>NOT(ISERROR(SEARCH("Cheque",N436)))</formula>
    </cfRule>
    <cfRule type="containsText" dxfId="1324" priority="423" operator="containsText" text="Dinheiro">
      <formula>NOT(ISERROR(SEARCH("Dinheiro",N436)))</formula>
    </cfRule>
    <cfRule type="cellIs" dxfId="1323" priority="424" operator="greaterThan">
      <formula>0</formula>
    </cfRule>
  </conditionalFormatting>
  <conditionalFormatting sqref="N436:N437">
    <cfRule type="containsText" dxfId="1322" priority="421" operator="containsText" text="Pix">
      <formula>NOT(ISERROR(SEARCH("Pix",N436)))</formula>
    </cfRule>
  </conditionalFormatting>
  <conditionalFormatting sqref="N436:N437">
    <cfRule type="containsText" dxfId="1321" priority="419" operator="containsText" text="transferencia">
      <formula>NOT(ISERROR(SEARCH("transferencia",N436)))</formula>
    </cfRule>
    <cfRule type="containsText" dxfId="1320" priority="420" operator="containsText" text="trasnferência">
      <formula>NOT(ISERROR(SEARCH("trasnferência",N436)))</formula>
    </cfRule>
  </conditionalFormatting>
  <conditionalFormatting sqref="N203:N204">
    <cfRule type="containsText" dxfId="1319" priority="416" operator="containsText" text="Cheque">
      <formula>NOT(ISERROR(SEARCH("Cheque",N203)))</formula>
    </cfRule>
    <cfRule type="containsText" dxfId="1318" priority="417" operator="containsText" text="Dinheiro">
      <formula>NOT(ISERROR(SEARCH("Dinheiro",N203)))</formula>
    </cfRule>
    <cfRule type="cellIs" dxfId="1317" priority="418" operator="greaterThan">
      <formula>0</formula>
    </cfRule>
  </conditionalFormatting>
  <conditionalFormatting sqref="N203:N204">
    <cfRule type="containsText" dxfId="1316" priority="415" operator="containsText" text="Pix">
      <formula>NOT(ISERROR(SEARCH("Pix",N203)))</formula>
    </cfRule>
  </conditionalFormatting>
  <conditionalFormatting sqref="N203:N204">
    <cfRule type="containsText" dxfId="1315" priority="413" operator="containsText" text="transferencia">
      <formula>NOT(ISERROR(SEARCH("transferencia",N203)))</formula>
    </cfRule>
    <cfRule type="containsText" dxfId="1314" priority="414" operator="containsText" text="trasnferência">
      <formula>NOT(ISERROR(SEARCH("trasnferência",N203)))</formula>
    </cfRule>
  </conditionalFormatting>
  <conditionalFormatting sqref="N183:N184">
    <cfRule type="containsText" dxfId="1313" priority="410" operator="containsText" text="Cheque">
      <formula>NOT(ISERROR(SEARCH("Cheque",N183)))</formula>
    </cfRule>
    <cfRule type="containsText" dxfId="1312" priority="411" operator="containsText" text="Dinheiro">
      <formula>NOT(ISERROR(SEARCH("Dinheiro",N183)))</formula>
    </cfRule>
    <cfRule type="cellIs" dxfId="1311" priority="412" operator="greaterThan">
      <formula>0</formula>
    </cfRule>
  </conditionalFormatting>
  <conditionalFormatting sqref="N183:N184">
    <cfRule type="containsText" dxfId="1310" priority="409" operator="containsText" text="Pix">
      <formula>NOT(ISERROR(SEARCH("Pix",N183)))</formula>
    </cfRule>
  </conditionalFormatting>
  <conditionalFormatting sqref="N183:N184">
    <cfRule type="containsText" dxfId="1309" priority="407" operator="containsText" text="transferencia">
      <formula>NOT(ISERROR(SEARCH("transferencia",N183)))</formula>
    </cfRule>
    <cfRule type="containsText" dxfId="1308" priority="408" operator="containsText" text="trasnferência">
      <formula>NOT(ISERROR(SEARCH("trasnferência",N183)))</formula>
    </cfRule>
  </conditionalFormatting>
  <conditionalFormatting sqref="N91:N92">
    <cfRule type="containsText" dxfId="1307" priority="404" operator="containsText" text="Cheque">
      <formula>NOT(ISERROR(SEARCH("Cheque",N91)))</formula>
    </cfRule>
    <cfRule type="containsText" dxfId="1306" priority="405" operator="containsText" text="Dinheiro">
      <formula>NOT(ISERROR(SEARCH("Dinheiro",N91)))</formula>
    </cfRule>
    <cfRule type="cellIs" dxfId="1305" priority="406" operator="greaterThan">
      <formula>0</formula>
    </cfRule>
  </conditionalFormatting>
  <conditionalFormatting sqref="N91:N92">
    <cfRule type="containsText" dxfId="1304" priority="403" operator="containsText" text="Pix">
      <formula>NOT(ISERROR(SEARCH("Pix",N91)))</formula>
    </cfRule>
  </conditionalFormatting>
  <conditionalFormatting sqref="N91:N92">
    <cfRule type="containsText" dxfId="1303" priority="401" operator="containsText" text="transferencia">
      <formula>NOT(ISERROR(SEARCH("transferencia",N91)))</formula>
    </cfRule>
    <cfRule type="containsText" dxfId="1302" priority="402" operator="containsText" text="trasnferência">
      <formula>NOT(ISERROR(SEARCH("trasnferência",N91)))</formula>
    </cfRule>
  </conditionalFormatting>
  <conditionalFormatting sqref="N319:N320">
    <cfRule type="containsText" dxfId="1301" priority="398" operator="containsText" text="Cheque">
      <formula>NOT(ISERROR(SEARCH("Cheque",N319)))</formula>
    </cfRule>
    <cfRule type="containsText" dxfId="1300" priority="399" operator="containsText" text="Dinheiro">
      <formula>NOT(ISERROR(SEARCH("Dinheiro",N319)))</formula>
    </cfRule>
    <cfRule type="cellIs" dxfId="1299" priority="400" operator="greaterThan">
      <formula>0</formula>
    </cfRule>
  </conditionalFormatting>
  <conditionalFormatting sqref="N319:N320">
    <cfRule type="containsText" dxfId="1298" priority="397" operator="containsText" text="Pix">
      <formula>NOT(ISERROR(SEARCH("Pix",N319)))</formula>
    </cfRule>
  </conditionalFormatting>
  <conditionalFormatting sqref="N319:N320">
    <cfRule type="containsText" dxfId="1297" priority="395" operator="containsText" text="transferencia">
      <formula>NOT(ISERROR(SEARCH("transferencia",N319)))</formula>
    </cfRule>
    <cfRule type="containsText" dxfId="1296" priority="396" operator="containsText" text="trasnferência">
      <formula>NOT(ISERROR(SEARCH("trasnferência",N319)))</formula>
    </cfRule>
  </conditionalFormatting>
  <conditionalFormatting sqref="N335:N336">
    <cfRule type="containsText" dxfId="1295" priority="392" operator="containsText" text="Cheque">
      <formula>NOT(ISERROR(SEARCH("Cheque",N335)))</formula>
    </cfRule>
    <cfRule type="containsText" dxfId="1294" priority="393" operator="containsText" text="Dinheiro">
      <formula>NOT(ISERROR(SEARCH("Dinheiro",N335)))</formula>
    </cfRule>
    <cfRule type="cellIs" dxfId="1293" priority="394" operator="greaterThan">
      <formula>0</formula>
    </cfRule>
  </conditionalFormatting>
  <conditionalFormatting sqref="N335:N336">
    <cfRule type="containsText" dxfId="1292" priority="391" operator="containsText" text="Pix">
      <formula>NOT(ISERROR(SEARCH("Pix",N335)))</formula>
    </cfRule>
  </conditionalFormatting>
  <conditionalFormatting sqref="N335:N336">
    <cfRule type="containsText" dxfId="1291" priority="389" operator="containsText" text="transferencia">
      <formula>NOT(ISERROR(SEARCH("transferencia",N335)))</formula>
    </cfRule>
    <cfRule type="containsText" dxfId="1290" priority="390" operator="containsText" text="trasnferência">
      <formula>NOT(ISERROR(SEARCH("trasnferência",N335)))</formula>
    </cfRule>
  </conditionalFormatting>
  <conditionalFormatting sqref="N464:N465">
    <cfRule type="containsText" dxfId="1289" priority="386" operator="containsText" text="Cheque">
      <formula>NOT(ISERROR(SEARCH("Cheque",N464)))</formula>
    </cfRule>
    <cfRule type="containsText" dxfId="1288" priority="387" operator="containsText" text="Dinheiro">
      <formula>NOT(ISERROR(SEARCH("Dinheiro",N464)))</formula>
    </cfRule>
    <cfRule type="cellIs" dxfId="1287" priority="388" operator="greaterThan">
      <formula>0</formula>
    </cfRule>
  </conditionalFormatting>
  <conditionalFormatting sqref="N464:N465">
    <cfRule type="containsText" dxfId="1286" priority="385" operator="containsText" text="Pix">
      <formula>NOT(ISERROR(SEARCH("Pix",N464)))</formula>
    </cfRule>
  </conditionalFormatting>
  <conditionalFormatting sqref="N464:N465">
    <cfRule type="containsText" dxfId="1285" priority="383" operator="containsText" text="transferencia">
      <formula>NOT(ISERROR(SEARCH("transferencia",N464)))</formula>
    </cfRule>
    <cfRule type="containsText" dxfId="1284" priority="384" operator="containsText" text="trasnferência">
      <formula>NOT(ISERROR(SEARCH("trasnferência",N464)))</formula>
    </cfRule>
  </conditionalFormatting>
  <conditionalFormatting sqref="N239:N240">
    <cfRule type="containsText" dxfId="1283" priority="380" operator="containsText" text="Cheque">
      <formula>NOT(ISERROR(SEARCH("Cheque",N239)))</formula>
    </cfRule>
    <cfRule type="containsText" dxfId="1282" priority="381" operator="containsText" text="Dinheiro">
      <formula>NOT(ISERROR(SEARCH("Dinheiro",N239)))</formula>
    </cfRule>
    <cfRule type="cellIs" dxfId="1281" priority="382" operator="greaterThan">
      <formula>0</formula>
    </cfRule>
  </conditionalFormatting>
  <conditionalFormatting sqref="N239:N240">
    <cfRule type="containsText" dxfId="1280" priority="379" operator="containsText" text="Pix">
      <formula>NOT(ISERROR(SEARCH("Pix",N239)))</formula>
    </cfRule>
  </conditionalFormatting>
  <conditionalFormatting sqref="N239:N240">
    <cfRule type="containsText" dxfId="1279" priority="377" operator="containsText" text="transferencia">
      <formula>NOT(ISERROR(SEARCH("transferencia",N239)))</formula>
    </cfRule>
    <cfRule type="containsText" dxfId="1278" priority="378" operator="containsText" text="trasnferência">
      <formula>NOT(ISERROR(SEARCH("trasnferência",N239)))</formula>
    </cfRule>
  </conditionalFormatting>
  <conditionalFormatting sqref="N283:N284">
    <cfRule type="containsText" dxfId="1277" priority="374" operator="containsText" text="Cheque">
      <formula>NOT(ISERROR(SEARCH("Cheque",N283)))</formula>
    </cfRule>
    <cfRule type="containsText" dxfId="1276" priority="375" operator="containsText" text="Dinheiro">
      <formula>NOT(ISERROR(SEARCH("Dinheiro",N283)))</formula>
    </cfRule>
    <cfRule type="cellIs" dxfId="1275" priority="376" operator="greaterThan">
      <formula>0</formula>
    </cfRule>
  </conditionalFormatting>
  <conditionalFormatting sqref="N283:N284">
    <cfRule type="containsText" dxfId="1274" priority="373" operator="containsText" text="Pix">
      <formula>NOT(ISERROR(SEARCH("Pix",N283)))</formula>
    </cfRule>
  </conditionalFormatting>
  <conditionalFormatting sqref="N283:N284">
    <cfRule type="containsText" dxfId="1273" priority="371" operator="containsText" text="transferencia">
      <formula>NOT(ISERROR(SEARCH("transferencia",N283)))</formula>
    </cfRule>
    <cfRule type="containsText" dxfId="1272" priority="372" operator="containsText" text="trasnferência">
      <formula>NOT(ISERROR(SEARCH("trasnferência",N283)))</formula>
    </cfRule>
  </conditionalFormatting>
  <conditionalFormatting sqref="N440:N441">
    <cfRule type="containsText" dxfId="1271" priority="368" operator="containsText" text="Cheque">
      <formula>NOT(ISERROR(SEARCH("Cheque",N440)))</formula>
    </cfRule>
    <cfRule type="containsText" dxfId="1270" priority="369" operator="containsText" text="Dinheiro">
      <formula>NOT(ISERROR(SEARCH("Dinheiro",N440)))</formula>
    </cfRule>
    <cfRule type="cellIs" dxfId="1269" priority="370" operator="greaterThan">
      <formula>0</formula>
    </cfRule>
  </conditionalFormatting>
  <conditionalFormatting sqref="N440:N441">
    <cfRule type="containsText" dxfId="1268" priority="367" operator="containsText" text="Pix">
      <formula>NOT(ISERROR(SEARCH("Pix",N440)))</formula>
    </cfRule>
  </conditionalFormatting>
  <conditionalFormatting sqref="N440:N441">
    <cfRule type="containsText" dxfId="1267" priority="365" operator="containsText" text="transferencia">
      <formula>NOT(ISERROR(SEARCH("transferencia",N440)))</formula>
    </cfRule>
    <cfRule type="containsText" dxfId="1266" priority="366" operator="containsText" text="trasnferência">
      <formula>NOT(ISERROR(SEARCH("trasnferência",N440)))</formula>
    </cfRule>
  </conditionalFormatting>
  <conditionalFormatting sqref="N552:N553">
    <cfRule type="containsText" dxfId="1265" priority="362" operator="containsText" text="Cheque">
      <formula>NOT(ISERROR(SEARCH("Cheque",N552)))</formula>
    </cfRule>
    <cfRule type="containsText" dxfId="1264" priority="363" operator="containsText" text="Dinheiro">
      <formula>NOT(ISERROR(SEARCH("Dinheiro",N552)))</formula>
    </cfRule>
    <cfRule type="cellIs" dxfId="1263" priority="364" operator="greaterThan">
      <formula>0</formula>
    </cfRule>
  </conditionalFormatting>
  <conditionalFormatting sqref="N552:N553">
    <cfRule type="containsText" dxfId="1262" priority="361" operator="containsText" text="Pix">
      <formula>NOT(ISERROR(SEARCH("Pix",N552)))</formula>
    </cfRule>
  </conditionalFormatting>
  <conditionalFormatting sqref="N552:N553">
    <cfRule type="containsText" dxfId="1261" priority="359" operator="containsText" text="transferencia">
      <formula>NOT(ISERROR(SEARCH("transferencia",N552)))</formula>
    </cfRule>
    <cfRule type="containsText" dxfId="1260" priority="360" operator="containsText" text="trasnferência">
      <formula>NOT(ISERROR(SEARCH("trasnferência",N552)))</formula>
    </cfRule>
  </conditionalFormatting>
  <conditionalFormatting sqref="N516:N517">
    <cfRule type="containsText" dxfId="1259" priority="356" operator="containsText" text="Cheque">
      <formula>NOT(ISERROR(SEARCH("Cheque",N516)))</formula>
    </cfRule>
    <cfRule type="containsText" dxfId="1258" priority="357" operator="containsText" text="Dinheiro">
      <formula>NOT(ISERROR(SEARCH("Dinheiro",N516)))</formula>
    </cfRule>
    <cfRule type="cellIs" dxfId="1257" priority="358" operator="greaterThan">
      <formula>0</formula>
    </cfRule>
  </conditionalFormatting>
  <conditionalFormatting sqref="N516:N517">
    <cfRule type="containsText" dxfId="1256" priority="355" operator="containsText" text="Pix">
      <formula>NOT(ISERROR(SEARCH("Pix",N516)))</formula>
    </cfRule>
  </conditionalFormatting>
  <conditionalFormatting sqref="N516:N517">
    <cfRule type="containsText" dxfId="1255" priority="353" operator="containsText" text="transferencia">
      <formula>NOT(ISERROR(SEARCH("transferencia",N516)))</formula>
    </cfRule>
    <cfRule type="containsText" dxfId="1254" priority="354" operator="containsText" text="trasnferência">
      <formula>NOT(ISERROR(SEARCH("trasnferência",N516)))</formula>
    </cfRule>
  </conditionalFormatting>
  <conditionalFormatting sqref="N496:N497">
    <cfRule type="containsText" dxfId="1253" priority="350" operator="containsText" text="Cheque">
      <formula>NOT(ISERROR(SEARCH("Cheque",N496)))</formula>
    </cfRule>
    <cfRule type="containsText" dxfId="1252" priority="351" operator="containsText" text="Dinheiro">
      <formula>NOT(ISERROR(SEARCH("Dinheiro",N496)))</formula>
    </cfRule>
    <cfRule type="cellIs" dxfId="1251" priority="352" operator="greaterThan">
      <formula>0</formula>
    </cfRule>
  </conditionalFormatting>
  <conditionalFormatting sqref="N496:N497">
    <cfRule type="containsText" dxfId="1250" priority="349" operator="containsText" text="Pix">
      <formula>NOT(ISERROR(SEARCH("Pix",N496)))</formula>
    </cfRule>
  </conditionalFormatting>
  <conditionalFormatting sqref="N496:N497">
    <cfRule type="containsText" dxfId="1249" priority="347" operator="containsText" text="transferencia">
      <formula>NOT(ISERROR(SEARCH("transferencia",N496)))</formula>
    </cfRule>
    <cfRule type="containsText" dxfId="1248" priority="348" operator="containsText" text="trasnferência">
      <formula>NOT(ISERROR(SEARCH("trasnferência",N496)))</formula>
    </cfRule>
  </conditionalFormatting>
  <conditionalFormatting sqref="N452:N453">
    <cfRule type="containsText" dxfId="1247" priority="344" operator="containsText" text="Cheque">
      <formula>NOT(ISERROR(SEARCH("Cheque",N452)))</formula>
    </cfRule>
    <cfRule type="containsText" dxfId="1246" priority="345" operator="containsText" text="Dinheiro">
      <formula>NOT(ISERROR(SEARCH("Dinheiro",N452)))</formula>
    </cfRule>
    <cfRule type="cellIs" dxfId="1245" priority="346" operator="greaterThan">
      <formula>0</formula>
    </cfRule>
  </conditionalFormatting>
  <conditionalFormatting sqref="N452:N453">
    <cfRule type="containsText" dxfId="1244" priority="343" operator="containsText" text="Pix">
      <formula>NOT(ISERROR(SEARCH("Pix",N452)))</formula>
    </cfRule>
  </conditionalFormatting>
  <conditionalFormatting sqref="N452:N453">
    <cfRule type="containsText" dxfId="1243" priority="341" operator="containsText" text="transferencia">
      <formula>NOT(ISERROR(SEARCH("transferencia",N452)))</formula>
    </cfRule>
    <cfRule type="containsText" dxfId="1242" priority="342" operator="containsText" text="trasnferência">
      <formula>NOT(ISERROR(SEARCH("trasnferência",N452)))</formula>
    </cfRule>
  </conditionalFormatting>
  <conditionalFormatting sqref="N528:N529">
    <cfRule type="containsText" dxfId="1241" priority="338" operator="containsText" text="Cheque">
      <formula>NOT(ISERROR(SEARCH("Cheque",N528)))</formula>
    </cfRule>
    <cfRule type="containsText" dxfId="1240" priority="339" operator="containsText" text="Dinheiro">
      <formula>NOT(ISERROR(SEARCH("Dinheiro",N528)))</formula>
    </cfRule>
    <cfRule type="cellIs" dxfId="1239" priority="340" operator="greaterThan">
      <formula>0</formula>
    </cfRule>
  </conditionalFormatting>
  <conditionalFormatting sqref="N528:N529">
    <cfRule type="containsText" dxfId="1238" priority="337" operator="containsText" text="Pix">
      <formula>NOT(ISERROR(SEARCH("Pix",N528)))</formula>
    </cfRule>
  </conditionalFormatting>
  <conditionalFormatting sqref="N528:N529">
    <cfRule type="containsText" dxfId="1237" priority="335" operator="containsText" text="transferencia">
      <formula>NOT(ISERROR(SEARCH("transferencia",N528)))</formula>
    </cfRule>
    <cfRule type="containsText" dxfId="1236" priority="336" operator="containsText" text="trasnferência">
      <formula>NOT(ISERROR(SEARCH("trasnferência",N528)))</formula>
    </cfRule>
  </conditionalFormatting>
  <conditionalFormatting sqref="N287:N288">
    <cfRule type="containsText" dxfId="1235" priority="332" operator="containsText" text="Cheque">
      <formula>NOT(ISERROR(SEARCH("Cheque",N287)))</formula>
    </cfRule>
    <cfRule type="containsText" dxfId="1234" priority="333" operator="containsText" text="Dinheiro">
      <formula>NOT(ISERROR(SEARCH("Dinheiro",N287)))</formula>
    </cfRule>
    <cfRule type="cellIs" dxfId="1233" priority="334" operator="greaterThan">
      <formula>0</formula>
    </cfRule>
  </conditionalFormatting>
  <conditionalFormatting sqref="N287:N288">
    <cfRule type="containsText" dxfId="1232" priority="331" operator="containsText" text="Pix">
      <formula>NOT(ISERROR(SEARCH("Pix",N287)))</formula>
    </cfRule>
  </conditionalFormatting>
  <conditionalFormatting sqref="N287:N288">
    <cfRule type="containsText" dxfId="1231" priority="329" operator="containsText" text="transferencia">
      <formula>NOT(ISERROR(SEARCH("transferencia",N287)))</formula>
    </cfRule>
    <cfRule type="containsText" dxfId="1230" priority="330" operator="containsText" text="trasnferência">
      <formula>NOT(ISERROR(SEARCH("trasnferência",N287)))</formula>
    </cfRule>
  </conditionalFormatting>
  <conditionalFormatting sqref="N290">
    <cfRule type="containsText" dxfId="1229" priority="326" operator="containsText" text="Cheque">
      <formula>NOT(ISERROR(SEARCH("Cheque",N290)))</formula>
    </cfRule>
    <cfRule type="containsText" dxfId="1228" priority="327" operator="containsText" text="Dinheiro">
      <formula>NOT(ISERROR(SEARCH("Dinheiro",N290)))</formula>
    </cfRule>
    <cfRule type="cellIs" dxfId="1227" priority="328" operator="greaterThan">
      <formula>0</formula>
    </cfRule>
  </conditionalFormatting>
  <conditionalFormatting sqref="N290">
    <cfRule type="containsText" dxfId="1226" priority="325" operator="containsText" text="Pix">
      <formula>NOT(ISERROR(SEARCH("Pix",N290)))</formula>
    </cfRule>
  </conditionalFormatting>
  <conditionalFormatting sqref="N290">
    <cfRule type="containsText" dxfId="1225" priority="323" operator="containsText" text="transferencia">
      <formula>NOT(ISERROR(SEARCH("transferencia",N290)))</formula>
    </cfRule>
    <cfRule type="containsText" dxfId="1224" priority="324" operator="containsText" text="trasnferência">
      <formula>NOT(ISERROR(SEARCH("trasnferência",N290)))</formula>
    </cfRule>
  </conditionalFormatting>
  <conditionalFormatting sqref="N267:N268">
    <cfRule type="containsText" dxfId="1223" priority="320" operator="containsText" text="Cheque">
      <formula>NOT(ISERROR(SEARCH("Cheque",N267)))</formula>
    </cfRule>
    <cfRule type="containsText" dxfId="1222" priority="321" operator="containsText" text="Dinheiro">
      <formula>NOT(ISERROR(SEARCH("Dinheiro",N267)))</formula>
    </cfRule>
    <cfRule type="cellIs" dxfId="1221" priority="322" operator="greaterThan">
      <formula>0</formula>
    </cfRule>
  </conditionalFormatting>
  <conditionalFormatting sqref="N267:N268">
    <cfRule type="containsText" dxfId="1220" priority="319" operator="containsText" text="Pix">
      <formula>NOT(ISERROR(SEARCH("Pix",N267)))</formula>
    </cfRule>
  </conditionalFormatting>
  <conditionalFormatting sqref="N267:N268">
    <cfRule type="containsText" dxfId="1219" priority="317" operator="containsText" text="transferencia">
      <formula>NOT(ISERROR(SEARCH("transferencia",N267)))</formula>
    </cfRule>
    <cfRule type="containsText" dxfId="1218" priority="318" operator="containsText" text="trasnferência">
      <formula>NOT(ISERROR(SEARCH("trasnferência",N267)))</formula>
    </cfRule>
  </conditionalFormatting>
  <conditionalFormatting sqref="N119:N120">
    <cfRule type="containsText" dxfId="1217" priority="314" operator="containsText" text="Cheque">
      <formula>NOT(ISERROR(SEARCH("Cheque",N119)))</formula>
    </cfRule>
    <cfRule type="containsText" dxfId="1216" priority="315" operator="containsText" text="Dinheiro">
      <formula>NOT(ISERROR(SEARCH("Dinheiro",N119)))</formula>
    </cfRule>
    <cfRule type="cellIs" dxfId="1215" priority="316" operator="greaterThan">
      <formula>0</formula>
    </cfRule>
  </conditionalFormatting>
  <conditionalFormatting sqref="N119:N120">
    <cfRule type="containsText" dxfId="1214" priority="313" operator="containsText" text="Pix">
      <formula>NOT(ISERROR(SEARCH("Pix",N119)))</formula>
    </cfRule>
  </conditionalFormatting>
  <conditionalFormatting sqref="N119:N120">
    <cfRule type="containsText" dxfId="1213" priority="311" operator="containsText" text="transferencia">
      <formula>NOT(ISERROR(SEARCH("transferencia",N119)))</formula>
    </cfRule>
    <cfRule type="containsText" dxfId="1212" priority="312" operator="containsText" text="trasnferência">
      <formula>NOT(ISERROR(SEARCH("trasnferência",N119)))</formula>
    </cfRule>
  </conditionalFormatting>
  <conditionalFormatting sqref="N351:N352">
    <cfRule type="containsText" dxfId="1211" priority="308" operator="containsText" text="Cheque">
      <formula>NOT(ISERROR(SEARCH("Cheque",N351)))</formula>
    </cfRule>
    <cfRule type="containsText" dxfId="1210" priority="309" operator="containsText" text="Dinheiro">
      <formula>NOT(ISERROR(SEARCH("Dinheiro",N351)))</formula>
    </cfRule>
    <cfRule type="cellIs" dxfId="1209" priority="310" operator="greaterThan">
      <formula>0</formula>
    </cfRule>
  </conditionalFormatting>
  <conditionalFormatting sqref="N351:N352">
    <cfRule type="containsText" dxfId="1208" priority="307" operator="containsText" text="Pix">
      <formula>NOT(ISERROR(SEARCH("Pix",N351)))</formula>
    </cfRule>
  </conditionalFormatting>
  <conditionalFormatting sqref="N351:N352">
    <cfRule type="containsText" dxfId="1207" priority="305" operator="containsText" text="transferencia">
      <formula>NOT(ISERROR(SEARCH("transferencia",N351)))</formula>
    </cfRule>
    <cfRule type="containsText" dxfId="1206" priority="306" operator="containsText" text="trasnferência">
      <formula>NOT(ISERROR(SEARCH("trasnferência",N351)))</formula>
    </cfRule>
  </conditionalFormatting>
  <conditionalFormatting sqref="N83:N84">
    <cfRule type="containsText" dxfId="1205" priority="302" operator="containsText" text="Cheque">
      <formula>NOT(ISERROR(SEARCH("Cheque",N83)))</formula>
    </cfRule>
    <cfRule type="containsText" dxfId="1204" priority="303" operator="containsText" text="Dinheiro">
      <formula>NOT(ISERROR(SEARCH("Dinheiro",N83)))</formula>
    </cfRule>
    <cfRule type="cellIs" dxfId="1203" priority="304" operator="greaterThan">
      <formula>0</formula>
    </cfRule>
  </conditionalFormatting>
  <conditionalFormatting sqref="N83:N84">
    <cfRule type="containsText" dxfId="1202" priority="301" operator="containsText" text="Pix">
      <formula>NOT(ISERROR(SEARCH("Pix",N83)))</formula>
    </cfRule>
  </conditionalFormatting>
  <conditionalFormatting sqref="N83:N84">
    <cfRule type="containsText" dxfId="1201" priority="299" operator="containsText" text="transferencia">
      <formula>NOT(ISERROR(SEARCH("transferencia",N83)))</formula>
    </cfRule>
    <cfRule type="containsText" dxfId="1200" priority="300" operator="containsText" text="trasnferência">
      <formula>NOT(ISERROR(SEARCH("trasnferência",N83)))</formula>
    </cfRule>
  </conditionalFormatting>
  <conditionalFormatting sqref="N428:N429">
    <cfRule type="containsText" dxfId="1199" priority="296" operator="containsText" text="Cheque">
      <formula>NOT(ISERROR(SEARCH("Cheque",N428)))</formula>
    </cfRule>
    <cfRule type="containsText" dxfId="1198" priority="297" operator="containsText" text="Dinheiro">
      <formula>NOT(ISERROR(SEARCH("Dinheiro",N428)))</formula>
    </cfRule>
    <cfRule type="cellIs" dxfId="1197" priority="298" operator="greaterThan">
      <formula>0</formula>
    </cfRule>
  </conditionalFormatting>
  <conditionalFormatting sqref="N428:N429">
    <cfRule type="containsText" dxfId="1196" priority="295" operator="containsText" text="Pix">
      <formula>NOT(ISERROR(SEARCH("Pix",N428)))</formula>
    </cfRule>
  </conditionalFormatting>
  <conditionalFormatting sqref="N428:N429">
    <cfRule type="containsText" dxfId="1195" priority="293" operator="containsText" text="transferencia">
      <formula>NOT(ISERROR(SEARCH("transferencia",N428)))</formula>
    </cfRule>
    <cfRule type="containsText" dxfId="1194" priority="294" operator="containsText" text="trasnferência">
      <formula>NOT(ISERROR(SEARCH("trasnferência",N428)))</formula>
    </cfRule>
  </conditionalFormatting>
  <conditionalFormatting sqref="N19:N20">
    <cfRule type="containsText" dxfId="1193" priority="290" operator="containsText" text="Cheque">
      <formula>NOT(ISERROR(SEARCH("Cheque",N19)))</formula>
    </cfRule>
    <cfRule type="containsText" dxfId="1192" priority="291" operator="containsText" text="Dinheiro">
      <formula>NOT(ISERROR(SEARCH("Dinheiro",N19)))</formula>
    </cfRule>
    <cfRule type="cellIs" dxfId="1191" priority="292" operator="greaterThan">
      <formula>0</formula>
    </cfRule>
  </conditionalFormatting>
  <conditionalFormatting sqref="N19:N20">
    <cfRule type="containsText" dxfId="1190" priority="289" operator="containsText" text="Pix">
      <formula>NOT(ISERROR(SEARCH("Pix",N19)))</formula>
    </cfRule>
  </conditionalFormatting>
  <conditionalFormatting sqref="N19:N20">
    <cfRule type="containsText" dxfId="1189" priority="287" operator="containsText" text="transferencia">
      <formula>NOT(ISERROR(SEARCH("transferencia",N19)))</formula>
    </cfRule>
    <cfRule type="containsText" dxfId="1188" priority="288" operator="containsText" text="trasnferência">
      <formula>NOT(ISERROR(SEARCH("trasnferência",N19)))</formula>
    </cfRule>
  </conditionalFormatting>
  <conditionalFormatting sqref="N327:N328">
    <cfRule type="containsText" dxfId="1187" priority="284" operator="containsText" text="Cheque">
      <formula>NOT(ISERROR(SEARCH("Cheque",N327)))</formula>
    </cfRule>
    <cfRule type="containsText" dxfId="1186" priority="285" operator="containsText" text="Dinheiro">
      <formula>NOT(ISERROR(SEARCH("Dinheiro",N327)))</formula>
    </cfRule>
    <cfRule type="cellIs" dxfId="1185" priority="286" operator="greaterThan">
      <formula>0</formula>
    </cfRule>
  </conditionalFormatting>
  <conditionalFormatting sqref="N327:N328">
    <cfRule type="containsText" dxfId="1184" priority="283" operator="containsText" text="Pix">
      <formula>NOT(ISERROR(SEARCH("Pix",N327)))</formula>
    </cfRule>
  </conditionalFormatting>
  <conditionalFormatting sqref="N327:N328">
    <cfRule type="containsText" dxfId="1183" priority="281" operator="containsText" text="transferencia">
      <formula>NOT(ISERROR(SEARCH("transferencia",N327)))</formula>
    </cfRule>
    <cfRule type="containsText" dxfId="1182" priority="282" operator="containsText" text="trasnferência">
      <formula>NOT(ISERROR(SEARCH("trasnferência",N327)))</formula>
    </cfRule>
  </conditionalFormatting>
  <conditionalFormatting sqref="N7:N8">
    <cfRule type="containsText" dxfId="1181" priority="278" operator="containsText" text="Cheque">
      <formula>NOT(ISERROR(SEARCH("Cheque",N7)))</formula>
    </cfRule>
    <cfRule type="containsText" dxfId="1180" priority="279" operator="containsText" text="Dinheiro">
      <formula>NOT(ISERROR(SEARCH("Dinheiro",N7)))</formula>
    </cfRule>
    <cfRule type="cellIs" dxfId="1179" priority="280" operator="greaterThan">
      <formula>0</formula>
    </cfRule>
  </conditionalFormatting>
  <conditionalFormatting sqref="N7:N8">
    <cfRule type="containsText" dxfId="1178" priority="277" operator="containsText" text="Pix">
      <formula>NOT(ISERROR(SEARCH("Pix",N7)))</formula>
    </cfRule>
  </conditionalFormatting>
  <conditionalFormatting sqref="N7:N8">
    <cfRule type="containsText" dxfId="1177" priority="275" operator="containsText" text="transferencia">
      <formula>NOT(ISERROR(SEARCH("transferencia",N7)))</formula>
    </cfRule>
    <cfRule type="containsText" dxfId="1176" priority="276" operator="containsText" text="trasnferência">
      <formula>NOT(ISERROR(SEARCH("trasnferência",N7)))</formula>
    </cfRule>
  </conditionalFormatting>
  <conditionalFormatting sqref="C611:M614 O611:O614 E611:O613 D614:O614">
    <cfRule type="containsText" dxfId="1175" priority="272" operator="containsText" text="Cheque">
      <formula>NOT(ISERROR(SEARCH("Cheque",C611)))</formula>
    </cfRule>
    <cfRule type="containsText" dxfId="1174" priority="273" operator="containsText" text="Dinheiro">
      <formula>NOT(ISERROR(SEARCH("Dinheiro",C611)))</formula>
    </cfRule>
    <cfRule type="cellIs" dxfId="1173" priority="274" operator="greaterThan">
      <formula>0</formula>
    </cfRule>
  </conditionalFormatting>
  <conditionalFormatting sqref="A611:M614 O611:O614 E611:O613 D614:O614">
    <cfRule type="containsText" dxfId="1172" priority="271" operator="containsText" text="Pix">
      <formula>NOT(ISERROR(SEARCH("Pix",A611)))</formula>
    </cfRule>
  </conditionalFormatting>
  <conditionalFormatting sqref="A611:M614 O611:XFD614 E611:O613 D614:O614">
    <cfRule type="containsText" dxfId="1171" priority="269" operator="containsText" text="transferencia">
      <formula>NOT(ISERROR(SEARCH("transferencia",A611)))</formula>
    </cfRule>
    <cfRule type="containsText" dxfId="1170" priority="270" operator="containsText" text="trasnferência">
      <formula>NOT(ISERROR(SEARCH("trasnferência",A611)))</formula>
    </cfRule>
  </conditionalFormatting>
  <conditionalFormatting sqref="N611:N614">
    <cfRule type="containsText" dxfId="1169" priority="266" operator="containsText" text="Cheque">
      <formula>NOT(ISERROR(SEARCH("Cheque",N611)))</formula>
    </cfRule>
    <cfRule type="containsText" dxfId="1168" priority="267" operator="containsText" text="Dinheiro">
      <formula>NOT(ISERROR(SEARCH("Dinheiro",N611)))</formula>
    </cfRule>
    <cfRule type="cellIs" dxfId="1167" priority="268" operator="greaterThan">
      <formula>0</formula>
    </cfRule>
  </conditionalFormatting>
  <conditionalFormatting sqref="N611:N614">
    <cfRule type="containsText" dxfId="1166" priority="265" operator="containsText" text="Pix">
      <formula>NOT(ISERROR(SEARCH("Pix",N611)))</formula>
    </cfRule>
  </conditionalFormatting>
  <conditionalFormatting sqref="N611:N614">
    <cfRule type="containsText" dxfId="1165" priority="263" operator="containsText" text="transferencia">
      <formula>NOT(ISERROR(SEARCH("transferencia",N611)))</formula>
    </cfRule>
    <cfRule type="containsText" dxfId="1164" priority="264" operator="containsText" text="trasnferência">
      <formula>NOT(ISERROR(SEARCH("trasnferência",N611)))</formula>
    </cfRule>
  </conditionalFormatting>
  <conditionalFormatting sqref="C572:C573">
    <cfRule type="containsText" dxfId="1163" priority="260" operator="containsText" text="Cheque">
      <formula>NOT(ISERROR(SEARCH("Cheque",C572)))</formula>
    </cfRule>
    <cfRule type="containsText" dxfId="1162" priority="261" operator="containsText" text="Dinheiro">
      <formula>NOT(ISERROR(SEARCH("Dinheiro",C572)))</formula>
    </cfRule>
    <cfRule type="cellIs" dxfId="1161" priority="262" operator="greaterThan">
      <formula>0</formula>
    </cfRule>
  </conditionalFormatting>
  <conditionalFormatting sqref="C572:C573">
    <cfRule type="containsText" dxfId="1160" priority="259" operator="containsText" text="Pix">
      <formula>NOT(ISERROR(SEARCH("Pix",C572)))</formula>
    </cfRule>
  </conditionalFormatting>
  <conditionalFormatting sqref="C572:C573">
    <cfRule type="containsText" dxfId="1159" priority="257" operator="containsText" text="transferencia">
      <formula>NOT(ISERROR(SEARCH("transferencia",C572)))</formula>
    </cfRule>
    <cfRule type="containsText" dxfId="1158" priority="258" operator="containsText" text="trasnferência">
      <formula>NOT(ISERROR(SEARCH("trasnferência",C572)))</formula>
    </cfRule>
  </conditionalFormatting>
  <conditionalFormatting sqref="O343:O346 C345:M346 E343:M344">
    <cfRule type="containsText" dxfId="1157" priority="254" operator="containsText" text="Cheque">
      <formula>NOT(ISERROR(SEARCH("Cheque",C343)))</formula>
    </cfRule>
    <cfRule type="containsText" dxfId="1156" priority="255" operator="containsText" text="Dinheiro">
      <formula>NOT(ISERROR(SEARCH("Dinheiro",C343)))</formula>
    </cfRule>
    <cfRule type="cellIs" dxfId="1155" priority="256" operator="greaterThan">
      <formula>0</formula>
    </cfRule>
  </conditionalFormatting>
  <conditionalFormatting sqref="O343:O346 A345:M346 A343:B344 E343:M344">
    <cfRule type="containsText" dxfId="1154" priority="253" operator="containsText" text="Pix">
      <formula>NOT(ISERROR(SEARCH("Pix",A343)))</formula>
    </cfRule>
  </conditionalFormatting>
  <conditionalFormatting sqref="O343:XFD346 A345:M346 A343:B344 E343:M344">
    <cfRule type="containsText" dxfId="1153" priority="251" operator="containsText" text="transferencia">
      <formula>NOT(ISERROR(SEARCH("transferencia",A343)))</formula>
    </cfRule>
    <cfRule type="containsText" dxfId="1152" priority="252" operator="containsText" text="trasnferência">
      <formula>NOT(ISERROR(SEARCH("trasnferência",A343)))</formula>
    </cfRule>
  </conditionalFormatting>
  <conditionalFormatting sqref="N343:N346">
    <cfRule type="containsText" dxfId="1151" priority="248" operator="containsText" text="Cheque">
      <formula>NOT(ISERROR(SEARCH("Cheque",N343)))</formula>
    </cfRule>
    <cfRule type="containsText" dxfId="1150" priority="249" operator="containsText" text="Dinheiro">
      <formula>NOT(ISERROR(SEARCH("Dinheiro",N343)))</formula>
    </cfRule>
    <cfRule type="cellIs" dxfId="1149" priority="250" operator="greaterThan">
      <formula>0</formula>
    </cfRule>
  </conditionalFormatting>
  <conditionalFormatting sqref="N343:N346">
    <cfRule type="containsText" dxfId="1148" priority="247" operator="containsText" text="Pix">
      <formula>NOT(ISERROR(SEARCH("Pix",N343)))</formula>
    </cfRule>
  </conditionalFormatting>
  <conditionalFormatting sqref="N343:N346">
    <cfRule type="containsText" dxfId="1147" priority="245" operator="containsText" text="transferencia">
      <formula>NOT(ISERROR(SEARCH("transferencia",N343)))</formula>
    </cfRule>
    <cfRule type="containsText" dxfId="1146" priority="246" operator="containsText" text="trasnferência">
      <formula>NOT(ISERROR(SEARCH("trasnferência",N343)))</formula>
    </cfRule>
  </conditionalFormatting>
  <conditionalFormatting sqref="C11:C12">
    <cfRule type="containsText" dxfId="1145" priority="242" operator="containsText" text="Cheque">
      <formula>NOT(ISERROR(SEARCH("Cheque",C11)))</formula>
    </cfRule>
    <cfRule type="containsText" dxfId="1144" priority="243" operator="containsText" text="Dinheiro">
      <formula>NOT(ISERROR(SEARCH("Dinheiro",C11)))</formula>
    </cfRule>
    <cfRule type="cellIs" dxfId="1143" priority="244" operator="greaterThan">
      <formula>0</formula>
    </cfRule>
  </conditionalFormatting>
  <conditionalFormatting sqref="C11:C12">
    <cfRule type="containsText" dxfId="1142" priority="241" operator="containsText" text="Pix">
      <formula>NOT(ISERROR(SEARCH("Pix",C11)))</formula>
    </cfRule>
  </conditionalFormatting>
  <conditionalFormatting sqref="C11:C12">
    <cfRule type="containsText" dxfId="1141" priority="239" operator="containsText" text="transferencia">
      <formula>NOT(ISERROR(SEARCH("transferencia",C11)))</formula>
    </cfRule>
    <cfRule type="containsText" dxfId="1140" priority="240" operator="containsText" text="trasnferência">
      <formula>NOT(ISERROR(SEARCH("trasnferência",C11)))</formula>
    </cfRule>
  </conditionalFormatting>
  <conditionalFormatting sqref="C456:C457">
    <cfRule type="containsText" dxfId="1139" priority="236" operator="containsText" text="Cheque">
      <formula>NOT(ISERROR(SEARCH("Cheque",C456)))</formula>
    </cfRule>
    <cfRule type="containsText" dxfId="1138" priority="237" operator="containsText" text="Dinheiro">
      <formula>NOT(ISERROR(SEARCH("Dinheiro",C456)))</formula>
    </cfRule>
    <cfRule type="cellIs" dxfId="1137" priority="238" operator="greaterThan">
      <formula>0</formula>
    </cfRule>
  </conditionalFormatting>
  <conditionalFormatting sqref="C456:C457">
    <cfRule type="containsText" dxfId="1136" priority="235" operator="containsText" text="Pix">
      <formula>NOT(ISERROR(SEARCH("Pix",C456)))</formula>
    </cfRule>
  </conditionalFormatting>
  <conditionalFormatting sqref="C456:C457">
    <cfRule type="containsText" dxfId="1135" priority="233" operator="containsText" text="transferencia">
      <formula>NOT(ISERROR(SEARCH("transferencia",C456)))</formula>
    </cfRule>
    <cfRule type="containsText" dxfId="1134" priority="234" operator="containsText" text="trasnferência">
      <formula>NOT(ISERROR(SEARCH("trasnferência",C456)))</formula>
    </cfRule>
  </conditionalFormatting>
  <conditionalFormatting sqref="C536">
    <cfRule type="containsText" dxfId="1133" priority="230" operator="containsText" text="Cheque">
      <formula>NOT(ISERROR(SEARCH("Cheque",C536)))</formula>
    </cfRule>
    <cfRule type="containsText" dxfId="1132" priority="231" operator="containsText" text="Dinheiro">
      <formula>NOT(ISERROR(SEARCH("Dinheiro",C536)))</formula>
    </cfRule>
    <cfRule type="cellIs" dxfId="1131" priority="232" operator="greaterThan">
      <formula>0</formula>
    </cfRule>
  </conditionalFormatting>
  <conditionalFormatting sqref="C536">
    <cfRule type="containsText" dxfId="1130" priority="229" operator="containsText" text="Pix">
      <formula>NOT(ISERROR(SEARCH("Pix",C536)))</formula>
    </cfRule>
  </conditionalFormatting>
  <conditionalFormatting sqref="C536:C537">
    <cfRule type="containsText" dxfId="1129" priority="227" operator="containsText" text="transferencia">
      <formula>NOT(ISERROR(SEARCH("transferencia",C536)))</formula>
    </cfRule>
    <cfRule type="containsText" dxfId="1128" priority="228" operator="containsText" text="trasnferência">
      <formula>NOT(ISERROR(SEARCH("trasnferência",C536)))</formula>
    </cfRule>
  </conditionalFormatting>
  <conditionalFormatting sqref="C43:M46 O43:O46">
    <cfRule type="containsText" dxfId="1127" priority="224" operator="containsText" text="Cheque">
      <formula>NOT(ISERROR(SEARCH("Cheque",C43)))</formula>
    </cfRule>
    <cfRule type="containsText" dxfId="1126" priority="225" operator="containsText" text="Dinheiro">
      <formula>NOT(ISERROR(SEARCH("Dinheiro",C43)))</formula>
    </cfRule>
    <cfRule type="cellIs" dxfId="1125" priority="226" operator="greaterThan">
      <formula>0</formula>
    </cfRule>
  </conditionalFormatting>
  <conditionalFormatting sqref="A43:M46 O43:O46">
    <cfRule type="containsText" dxfId="1124" priority="223" operator="containsText" text="Pix">
      <formula>NOT(ISERROR(SEARCH("Pix",A43)))</formula>
    </cfRule>
  </conditionalFormatting>
  <conditionalFormatting sqref="A43:M46 O43:XFD46">
    <cfRule type="containsText" dxfId="1123" priority="221" operator="containsText" text="transferencia">
      <formula>NOT(ISERROR(SEARCH("transferencia",A43)))</formula>
    </cfRule>
    <cfRule type="containsText" dxfId="1122" priority="222" operator="containsText" text="trasnferência">
      <formula>NOT(ISERROR(SEARCH("trasnferência",A43)))</formula>
    </cfRule>
  </conditionalFormatting>
  <conditionalFormatting sqref="N43:N46">
    <cfRule type="containsText" dxfId="1121" priority="218" operator="containsText" text="Cheque">
      <formula>NOT(ISERROR(SEARCH("Cheque",N43)))</formula>
    </cfRule>
    <cfRule type="containsText" dxfId="1120" priority="219" operator="containsText" text="Dinheiro">
      <formula>NOT(ISERROR(SEARCH("Dinheiro",N43)))</formula>
    </cfRule>
    <cfRule type="cellIs" dxfId="1119" priority="220" operator="greaterThan">
      <formula>0</formula>
    </cfRule>
  </conditionalFormatting>
  <conditionalFormatting sqref="N43:N46">
    <cfRule type="containsText" dxfId="1118" priority="217" operator="containsText" text="Pix">
      <formula>NOT(ISERROR(SEARCH("Pix",N43)))</formula>
    </cfRule>
  </conditionalFormatting>
  <conditionalFormatting sqref="N43:N46">
    <cfRule type="containsText" dxfId="1117" priority="215" operator="containsText" text="transferencia">
      <formula>NOT(ISERROR(SEARCH("transferencia",N43)))</formula>
    </cfRule>
    <cfRule type="containsText" dxfId="1116" priority="216" operator="containsText" text="trasnferência">
      <formula>NOT(ISERROR(SEARCH("trasnferência",N43)))</formula>
    </cfRule>
  </conditionalFormatting>
  <conditionalFormatting sqref="C23:C24">
    <cfRule type="containsText" dxfId="1115" priority="212" operator="containsText" text="Cheque">
      <formula>NOT(ISERROR(SEARCH("Cheque",C23)))</formula>
    </cfRule>
    <cfRule type="containsText" dxfId="1114" priority="213" operator="containsText" text="Dinheiro">
      <formula>NOT(ISERROR(SEARCH("Dinheiro",C23)))</formula>
    </cfRule>
    <cfRule type="cellIs" dxfId="1113" priority="214" operator="greaterThan">
      <formula>0</formula>
    </cfRule>
  </conditionalFormatting>
  <conditionalFormatting sqref="C23:C24">
    <cfRule type="containsText" dxfId="1112" priority="211" operator="containsText" text="Pix">
      <formula>NOT(ISERROR(SEARCH("Pix",C23)))</formula>
    </cfRule>
  </conditionalFormatting>
  <conditionalFormatting sqref="C23:C24">
    <cfRule type="containsText" dxfId="1111" priority="209" operator="containsText" text="transferencia">
      <formula>NOT(ISERROR(SEARCH("transferencia",C23)))</formula>
    </cfRule>
    <cfRule type="containsText" dxfId="1110" priority="210" operator="containsText" text="trasnferência">
      <formula>NOT(ISERROR(SEARCH("trasnferência",C23)))</formula>
    </cfRule>
  </conditionalFormatting>
  <conditionalFormatting sqref="C31:C32">
    <cfRule type="containsText" dxfId="1109" priority="206" operator="containsText" text="Cheque">
      <formula>NOT(ISERROR(SEARCH("Cheque",C31)))</formula>
    </cfRule>
    <cfRule type="containsText" dxfId="1108" priority="207" operator="containsText" text="Dinheiro">
      <formula>NOT(ISERROR(SEARCH("Dinheiro",C31)))</formula>
    </cfRule>
    <cfRule type="cellIs" dxfId="1107" priority="208" operator="greaterThan">
      <formula>0</formula>
    </cfRule>
  </conditionalFormatting>
  <conditionalFormatting sqref="C31:C32">
    <cfRule type="containsText" dxfId="1106" priority="205" operator="containsText" text="Pix">
      <formula>NOT(ISERROR(SEARCH("Pix",C31)))</formula>
    </cfRule>
  </conditionalFormatting>
  <conditionalFormatting sqref="C31:C32">
    <cfRule type="containsText" dxfId="1105" priority="203" operator="containsText" text="transferencia">
      <formula>NOT(ISERROR(SEARCH("transferencia",C31)))</formula>
    </cfRule>
    <cfRule type="containsText" dxfId="1104" priority="204" operator="containsText" text="trasnferência">
      <formula>NOT(ISERROR(SEARCH("trasnferência",C31)))</formula>
    </cfRule>
  </conditionalFormatting>
  <conditionalFormatting sqref="C391:C392">
    <cfRule type="containsText" dxfId="1103" priority="200" operator="containsText" text="Cheque">
      <formula>NOT(ISERROR(SEARCH("Cheque",C391)))</formula>
    </cfRule>
    <cfRule type="containsText" dxfId="1102" priority="201" operator="containsText" text="Dinheiro">
      <formula>NOT(ISERROR(SEARCH("Dinheiro",C391)))</formula>
    </cfRule>
    <cfRule type="cellIs" dxfId="1101" priority="202" operator="greaterThan">
      <formula>0</formula>
    </cfRule>
  </conditionalFormatting>
  <conditionalFormatting sqref="C391:C392">
    <cfRule type="containsText" dxfId="1100" priority="199" operator="containsText" text="Pix">
      <formula>NOT(ISERROR(SEARCH("Pix",C391)))</formula>
    </cfRule>
  </conditionalFormatting>
  <conditionalFormatting sqref="C391:C392">
    <cfRule type="containsText" dxfId="1099" priority="197" operator="containsText" text="transferencia">
      <formula>NOT(ISERROR(SEARCH("transferencia",C391)))</formula>
    </cfRule>
    <cfRule type="containsText" dxfId="1098" priority="198" operator="containsText" text="trasnferência">
      <formula>NOT(ISERROR(SEARCH("trasnferência",C391)))</formula>
    </cfRule>
  </conditionalFormatting>
  <conditionalFormatting sqref="C375:C376">
    <cfRule type="containsText" dxfId="1097" priority="194" operator="containsText" text="Cheque">
      <formula>NOT(ISERROR(SEARCH("Cheque",C375)))</formula>
    </cfRule>
    <cfRule type="containsText" dxfId="1096" priority="195" operator="containsText" text="Dinheiro">
      <formula>NOT(ISERROR(SEARCH("Dinheiro",C375)))</formula>
    </cfRule>
    <cfRule type="cellIs" dxfId="1095" priority="196" operator="greaterThan">
      <formula>0</formula>
    </cfRule>
  </conditionalFormatting>
  <conditionalFormatting sqref="C375:C376">
    <cfRule type="containsText" dxfId="1094" priority="193" operator="containsText" text="Pix">
      <formula>NOT(ISERROR(SEARCH("Pix",C375)))</formula>
    </cfRule>
  </conditionalFormatting>
  <conditionalFormatting sqref="C375:C376">
    <cfRule type="containsText" dxfId="1093" priority="191" operator="containsText" text="transferencia">
      <formula>NOT(ISERROR(SEARCH("transferencia",C375)))</formula>
    </cfRule>
    <cfRule type="containsText" dxfId="1092" priority="192" operator="containsText" text="trasnferência">
      <formula>NOT(ISERROR(SEARCH("trasnferência",C375)))</formula>
    </cfRule>
  </conditionalFormatting>
  <conditionalFormatting sqref="C343:C344">
    <cfRule type="containsText" dxfId="1091" priority="188" operator="containsText" text="Cheque">
      <formula>NOT(ISERROR(SEARCH("Cheque",C343)))</formula>
    </cfRule>
    <cfRule type="containsText" dxfId="1090" priority="189" operator="containsText" text="Dinheiro">
      <formula>NOT(ISERROR(SEARCH("Dinheiro",C343)))</formula>
    </cfRule>
    <cfRule type="cellIs" dxfId="1089" priority="190" operator="greaterThan">
      <formula>0</formula>
    </cfRule>
  </conditionalFormatting>
  <conditionalFormatting sqref="C343:C344">
    <cfRule type="containsText" dxfId="1088" priority="187" operator="containsText" text="Pix">
      <formula>NOT(ISERROR(SEARCH("Pix",C343)))</formula>
    </cfRule>
  </conditionalFormatting>
  <conditionalFormatting sqref="C343:C344">
    <cfRule type="containsText" dxfId="1087" priority="185" operator="containsText" text="transferencia">
      <formula>NOT(ISERROR(SEARCH("transferencia",C343)))</formula>
    </cfRule>
    <cfRule type="containsText" dxfId="1086" priority="186" operator="containsText" text="trasnferência">
      <formula>NOT(ISERROR(SEARCH("trasnferência",C343)))</formula>
    </cfRule>
  </conditionalFormatting>
  <conditionalFormatting sqref="D343:D344">
    <cfRule type="containsText" dxfId="1085" priority="182" operator="containsText" text="Cheque">
      <formula>NOT(ISERROR(SEARCH("Cheque",D343)))</formula>
    </cfRule>
    <cfRule type="containsText" dxfId="1084" priority="183" operator="containsText" text="Dinheiro">
      <formula>NOT(ISERROR(SEARCH("Dinheiro",D343)))</formula>
    </cfRule>
    <cfRule type="cellIs" dxfId="1083" priority="184" operator="greaterThan">
      <formula>0</formula>
    </cfRule>
  </conditionalFormatting>
  <conditionalFormatting sqref="D343:D344">
    <cfRule type="containsText" dxfId="1082" priority="181" operator="containsText" text="Pix">
      <formula>NOT(ISERROR(SEARCH("Pix",D343)))</formula>
    </cfRule>
  </conditionalFormatting>
  <conditionalFormatting sqref="D343:D344">
    <cfRule type="containsText" dxfId="1081" priority="179" operator="containsText" text="transferencia">
      <formula>NOT(ISERROR(SEARCH("transferencia",D343)))</formula>
    </cfRule>
    <cfRule type="containsText" dxfId="1080" priority="180" operator="containsText" text="trasnferência">
      <formula>NOT(ISERROR(SEARCH("trasnferência",D343)))</formula>
    </cfRule>
  </conditionalFormatting>
  <conditionalFormatting sqref="D11:D12">
    <cfRule type="containsText" dxfId="1079" priority="176" operator="containsText" text="Cheque">
      <formula>NOT(ISERROR(SEARCH("Cheque",D11)))</formula>
    </cfRule>
    <cfRule type="containsText" dxfId="1078" priority="177" operator="containsText" text="Dinheiro">
      <formula>NOT(ISERROR(SEARCH("Dinheiro",D11)))</formula>
    </cfRule>
    <cfRule type="cellIs" dxfId="1077" priority="178" operator="greaterThan">
      <formula>0</formula>
    </cfRule>
  </conditionalFormatting>
  <conditionalFormatting sqref="D11:D12">
    <cfRule type="containsText" dxfId="1076" priority="175" operator="containsText" text="Pix">
      <formula>NOT(ISERROR(SEARCH("Pix",D11)))</formula>
    </cfRule>
  </conditionalFormatting>
  <conditionalFormatting sqref="D11:D12">
    <cfRule type="containsText" dxfId="1075" priority="173" operator="containsText" text="transferencia">
      <formula>NOT(ISERROR(SEARCH("transferencia",D11)))</formula>
    </cfRule>
    <cfRule type="containsText" dxfId="1074" priority="174" operator="containsText" text="trasnferência">
      <formula>NOT(ISERROR(SEARCH("trasnferência",D11)))</formula>
    </cfRule>
  </conditionalFormatting>
  <conditionalFormatting sqref="D460:D461">
    <cfRule type="containsText" dxfId="1073" priority="170" operator="containsText" text="Cheque">
      <formula>NOT(ISERROR(SEARCH("Cheque",D460)))</formula>
    </cfRule>
    <cfRule type="containsText" dxfId="1072" priority="171" operator="containsText" text="Dinheiro">
      <formula>NOT(ISERROR(SEARCH("Dinheiro",D460)))</formula>
    </cfRule>
    <cfRule type="cellIs" dxfId="1071" priority="172" operator="greaterThan">
      <formula>0</formula>
    </cfRule>
  </conditionalFormatting>
  <conditionalFormatting sqref="D460:D461">
    <cfRule type="containsText" dxfId="1070" priority="169" operator="containsText" text="Pix">
      <formula>NOT(ISERROR(SEARCH("Pix",D460)))</formula>
    </cfRule>
  </conditionalFormatting>
  <conditionalFormatting sqref="D460:D461">
    <cfRule type="containsText" dxfId="1069" priority="167" operator="containsText" text="transferencia">
      <formula>NOT(ISERROR(SEARCH("transferencia",D460)))</formula>
    </cfRule>
    <cfRule type="containsText" dxfId="1068" priority="168" operator="containsText" text="trasnferência">
      <formula>NOT(ISERROR(SEARCH("trasnferência",D460)))</formula>
    </cfRule>
  </conditionalFormatting>
  <conditionalFormatting sqref="E572:E573">
    <cfRule type="containsText" dxfId="1067" priority="164" operator="containsText" text="Cheque">
      <formula>NOT(ISERROR(SEARCH("Cheque",E572)))</formula>
    </cfRule>
    <cfRule type="containsText" dxfId="1066" priority="165" operator="containsText" text="Dinheiro">
      <formula>NOT(ISERROR(SEARCH("Dinheiro",E572)))</formula>
    </cfRule>
    <cfRule type="cellIs" dxfId="1065" priority="166" operator="greaterThan">
      <formula>0</formula>
    </cfRule>
  </conditionalFormatting>
  <conditionalFormatting sqref="E572:E573">
    <cfRule type="containsText" dxfId="1064" priority="163" operator="containsText" text="Pix">
      <formula>NOT(ISERROR(SEARCH("Pix",E572)))</formula>
    </cfRule>
  </conditionalFormatting>
  <conditionalFormatting sqref="E572:E573">
    <cfRule type="containsText" dxfId="1063" priority="161" operator="containsText" text="transferencia">
      <formula>NOT(ISERROR(SEARCH("transferencia",E572)))</formula>
    </cfRule>
    <cfRule type="containsText" dxfId="1062" priority="162" operator="containsText" text="trasnferência">
      <formula>NOT(ISERROR(SEARCH("trasnferência",E572)))</formula>
    </cfRule>
  </conditionalFormatting>
  <conditionalFormatting sqref="D536">
    <cfRule type="containsText" dxfId="1061" priority="158" operator="containsText" text="Cheque">
      <formula>NOT(ISERROR(SEARCH("Cheque",D536)))</formula>
    </cfRule>
    <cfRule type="containsText" dxfId="1060" priority="159" operator="containsText" text="Dinheiro">
      <formula>NOT(ISERROR(SEARCH("Dinheiro",D536)))</formula>
    </cfRule>
    <cfRule type="cellIs" dxfId="1059" priority="160" operator="greaterThan">
      <formula>0</formula>
    </cfRule>
  </conditionalFormatting>
  <conditionalFormatting sqref="D536">
    <cfRule type="containsText" dxfId="1058" priority="157" operator="containsText" text="Pix">
      <formula>NOT(ISERROR(SEARCH("Pix",D536)))</formula>
    </cfRule>
  </conditionalFormatting>
  <conditionalFormatting sqref="D536:D537">
    <cfRule type="containsText" dxfId="1057" priority="155" operator="containsText" text="transferencia">
      <formula>NOT(ISERROR(SEARCH("transferencia",D536)))</formula>
    </cfRule>
    <cfRule type="containsText" dxfId="1056" priority="156" operator="containsText" text="trasnferência">
      <formula>NOT(ISERROR(SEARCH("trasnferência",D536)))</formula>
    </cfRule>
  </conditionalFormatting>
  <conditionalFormatting sqref="D23:D24">
    <cfRule type="containsText" dxfId="1055" priority="152" operator="containsText" text="Cheque">
      <formula>NOT(ISERROR(SEARCH("Cheque",D23)))</formula>
    </cfRule>
    <cfRule type="containsText" dxfId="1054" priority="153" operator="containsText" text="Dinheiro">
      <formula>NOT(ISERROR(SEARCH("Dinheiro",D23)))</formula>
    </cfRule>
    <cfRule type="cellIs" dxfId="1053" priority="154" operator="greaterThan">
      <formula>0</formula>
    </cfRule>
  </conditionalFormatting>
  <conditionalFormatting sqref="D23:D24">
    <cfRule type="containsText" dxfId="1052" priority="151" operator="containsText" text="Pix">
      <formula>NOT(ISERROR(SEARCH("Pix",D23)))</formula>
    </cfRule>
  </conditionalFormatting>
  <conditionalFormatting sqref="D23:D24">
    <cfRule type="containsText" dxfId="1051" priority="149" operator="containsText" text="transferencia">
      <formula>NOT(ISERROR(SEARCH("transferencia",D23)))</formula>
    </cfRule>
    <cfRule type="containsText" dxfId="1050" priority="150" operator="containsText" text="trasnferência">
      <formula>NOT(ISERROR(SEARCH("trasnferência",D23)))</formula>
    </cfRule>
  </conditionalFormatting>
  <conditionalFormatting sqref="D375:D376">
    <cfRule type="containsText" dxfId="1049" priority="146" operator="containsText" text="Cheque">
      <formula>NOT(ISERROR(SEARCH("Cheque",D375)))</formula>
    </cfRule>
    <cfRule type="containsText" dxfId="1048" priority="147" operator="containsText" text="Dinheiro">
      <formula>NOT(ISERROR(SEARCH("Dinheiro",D375)))</formula>
    </cfRule>
    <cfRule type="cellIs" dxfId="1047" priority="148" operator="greaterThan">
      <formula>0</formula>
    </cfRule>
  </conditionalFormatting>
  <conditionalFormatting sqref="D375:D376">
    <cfRule type="containsText" dxfId="1046" priority="145" operator="containsText" text="Pix">
      <formula>NOT(ISERROR(SEARCH("Pix",D375)))</formula>
    </cfRule>
  </conditionalFormatting>
  <conditionalFormatting sqref="D375:D376">
    <cfRule type="containsText" dxfId="1045" priority="143" operator="containsText" text="transferencia">
      <formula>NOT(ISERROR(SEARCH("transferencia",D375)))</formula>
    </cfRule>
    <cfRule type="containsText" dxfId="1044" priority="144" operator="containsText" text="trasnferência">
      <formula>NOT(ISERROR(SEARCH("trasnferência",D375)))</formula>
    </cfRule>
  </conditionalFormatting>
  <conditionalFormatting sqref="A2:XFD2 P3:XFD6 A3:N6 O6 A7:XFD1048576 C1:XFD1">
    <cfRule type="containsText" dxfId="1043" priority="142" operator="containsText" text="ASAAS">
      <formula>NOT(ISERROR(SEARCH("ASAAS",A1)))</formula>
    </cfRule>
  </conditionalFormatting>
  <conditionalFormatting sqref="E343:E344">
    <cfRule type="containsText" dxfId="1042" priority="139" operator="containsText" text="Cheque">
      <formula>NOT(ISERROR(SEARCH("Cheque",E343)))</formula>
    </cfRule>
    <cfRule type="containsText" dxfId="1041" priority="140" operator="containsText" text="Dinheiro">
      <formula>NOT(ISERROR(SEARCH("Dinheiro",E343)))</formula>
    </cfRule>
    <cfRule type="cellIs" dxfId="1040" priority="141" operator="greaterThan">
      <formula>0</formula>
    </cfRule>
  </conditionalFormatting>
  <conditionalFormatting sqref="E343:E344">
    <cfRule type="containsText" dxfId="1039" priority="138" operator="containsText" text="Pix">
      <formula>NOT(ISERROR(SEARCH("Pix",E343)))</formula>
    </cfRule>
  </conditionalFormatting>
  <conditionalFormatting sqref="E343:E344">
    <cfRule type="containsText" dxfId="1038" priority="136" operator="containsText" text="transferencia">
      <formula>NOT(ISERROR(SEARCH("transferencia",E343)))</formula>
    </cfRule>
    <cfRule type="containsText" dxfId="1037" priority="137" operator="containsText" text="trasnferência">
      <formula>NOT(ISERROR(SEARCH("trasnferência",E343)))</formula>
    </cfRule>
  </conditionalFormatting>
  <conditionalFormatting sqref="F343:F344">
    <cfRule type="containsText" dxfId="1036" priority="133" operator="containsText" text="Cheque">
      <formula>NOT(ISERROR(SEARCH("Cheque",F343)))</formula>
    </cfRule>
    <cfRule type="containsText" dxfId="1035" priority="134" operator="containsText" text="Dinheiro">
      <formula>NOT(ISERROR(SEARCH("Dinheiro",F343)))</formula>
    </cfRule>
    <cfRule type="cellIs" dxfId="1034" priority="135" operator="greaterThan">
      <formula>0</formula>
    </cfRule>
  </conditionalFormatting>
  <conditionalFormatting sqref="F343:F344">
    <cfRule type="containsText" dxfId="1033" priority="132" operator="containsText" text="Pix">
      <formula>NOT(ISERROR(SEARCH("Pix",F343)))</formula>
    </cfRule>
  </conditionalFormatting>
  <conditionalFormatting sqref="F343:F344">
    <cfRule type="containsText" dxfId="1032" priority="130" operator="containsText" text="transferencia">
      <formula>NOT(ISERROR(SEARCH("transferencia",F343)))</formula>
    </cfRule>
    <cfRule type="containsText" dxfId="1031" priority="131" operator="containsText" text="trasnferência">
      <formula>NOT(ISERROR(SEARCH("trasnferência",F343)))</formula>
    </cfRule>
  </conditionalFormatting>
  <conditionalFormatting sqref="E23:E24">
    <cfRule type="containsText" dxfId="1030" priority="127" operator="containsText" text="Cheque">
      <formula>NOT(ISERROR(SEARCH("Cheque",E23)))</formula>
    </cfRule>
    <cfRule type="containsText" dxfId="1029" priority="128" operator="containsText" text="Dinheiro">
      <formula>NOT(ISERROR(SEARCH("Dinheiro",E23)))</formula>
    </cfRule>
    <cfRule type="cellIs" dxfId="1028" priority="129" operator="greaterThan">
      <formula>0</formula>
    </cfRule>
  </conditionalFormatting>
  <conditionalFormatting sqref="E23:E24">
    <cfRule type="containsText" dxfId="1027" priority="126" operator="containsText" text="Pix">
      <formula>NOT(ISERROR(SEARCH("Pix",E23)))</formula>
    </cfRule>
  </conditionalFormatting>
  <conditionalFormatting sqref="E23:E24">
    <cfRule type="containsText" dxfId="1026" priority="124" operator="containsText" text="transferencia">
      <formula>NOT(ISERROR(SEARCH("transferencia",E23)))</formula>
    </cfRule>
    <cfRule type="containsText" dxfId="1025" priority="125" operator="containsText" text="trasnferência">
      <formula>NOT(ISERROR(SEARCH("trasnferência",E23)))</formula>
    </cfRule>
  </conditionalFormatting>
  <conditionalFormatting sqref="F23:F24">
    <cfRule type="containsText" dxfId="1024" priority="121" operator="containsText" text="Cheque">
      <formula>NOT(ISERROR(SEARCH("Cheque",F23)))</formula>
    </cfRule>
    <cfRule type="containsText" dxfId="1023" priority="122" operator="containsText" text="Dinheiro">
      <formula>NOT(ISERROR(SEARCH("Dinheiro",F23)))</formula>
    </cfRule>
    <cfRule type="cellIs" dxfId="1022" priority="123" operator="greaterThan">
      <formula>0</formula>
    </cfRule>
  </conditionalFormatting>
  <conditionalFormatting sqref="F23:F24">
    <cfRule type="containsText" dxfId="1021" priority="120" operator="containsText" text="Pix">
      <formula>NOT(ISERROR(SEARCH("Pix",F23)))</formula>
    </cfRule>
  </conditionalFormatting>
  <conditionalFormatting sqref="F23:F24">
    <cfRule type="containsText" dxfId="1020" priority="118" operator="containsText" text="transferencia">
      <formula>NOT(ISERROR(SEARCH("transferencia",F23)))</formula>
    </cfRule>
    <cfRule type="containsText" dxfId="1019" priority="119" operator="containsText" text="trasnferência">
      <formula>NOT(ISERROR(SEARCH("trasnferência",F23)))</formula>
    </cfRule>
  </conditionalFormatting>
  <conditionalFormatting sqref="F572:F573">
    <cfRule type="containsText" dxfId="1018" priority="115" operator="containsText" text="Cheque">
      <formula>NOT(ISERROR(SEARCH("Cheque",F572)))</formula>
    </cfRule>
    <cfRule type="containsText" dxfId="1017" priority="116" operator="containsText" text="Dinheiro">
      <formula>NOT(ISERROR(SEARCH("Dinheiro",F572)))</formula>
    </cfRule>
    <cfRule type="cellIs" dxfId="1016" priority="117" operator="greaterThan">
      <formula>0</formula>
    </cfRule>
  </conditionalFormatting>
  <conditionalFormatting sqref="F572:F573">
    <cfRule type="containsText" dxfId="1015" priority="114" operator="containsText" text="Pix">
      <formula>NOT(ISERROR(SEARCH("Pix",F572)))</formula>
    </cfRule>
  </conditionalFormatting>
  <conditionalFormatting sqref="F572:F573">
    <cfRule type="containsText" dxfId="1014" priority="112" operator="containsText" text="transferencia">
      <formula>NOT(ISERROR(SEARCH("transferencia",F572)))</formula>
    </cfRule>
    <cfRule type="containsText" dxfId="1013" priority="113" operator="containsText" text="trasnferência">
      <formula>NOT(ISERROR(SEARCH("trasnferência",F572)))</formula>
    </cfRule>
  </conditionalFormatting>
  <conditionalFormatting sqref="F536">
    <cfRule type="containsText" dxfId="1012" priority="103" operator="containsText" text="Cheque">
      <formula>NOT(ISERROR(SEARCH("Cheque",F536)))</formula>
    </cfRule>
    <cfRule type="containsText" dxfId="1011" priority="104" operator="containsText" text="Dinheiro">
      <formula>NOT(ISERROR(SEARCH("Dinheiro",F536)))</formula>
    </cfRule>
    <cfRule type="cellIs" dxfId="1010" priority="105" operator="greaterThan">
      <formula>0</formula>
    </cfRule>
  </conditionalFormatting>
  <conditionalFormatting sqref="F536">
    <cfRule type="containsText" dxfId="1009" priority="102" operator="containsText" text="Pix">
      <formula>NOT(ISERROR(SEARCH("Pix",F536)))</formula>
    </cfRule>
  </conditionalFormatting>
  <conditionalFormatting sqref="F375:F376">
    <cfRule type="containsText" dxfId="1008" priority="99" operator="containsText" text="Cheque">
      <formula>NOT(ISERROR(SEARCH("Cheque",F375)))</formula>
    </cfRule>
    <cfRule type="containsText" dxfId="1007" priority="100" operator="containsText" text="Dinheiro">
      <formula>NOT(ISERROR(SEARCH("Dinheiro",F375)))</formula>
    </cfRule>
    <cfRule type="cellIs" dxfId="1006" priority="101" operator="greaterThan">
      <formula>0</formula>
    </cfRule>
  </conditionalFormatting>
  <conditionalFormatting sqref="F375:F376">
    <cfRule type="containsText" dxfId="1005" priority="98" operator="containsText" text="Pix">
      <formula>NOT(ISERROR(SEARCH("Pix",F375)))</formula>
    </cfRule>
  </conditionalFormatting>
  <conditionalFormatting sqref="F375:F376">
    <cfRule type="containsText" dxfId="1004" priority="96" operator="containsText" text="transferencia">
      <formula>NOT(ISERROR(SEARCH("transferencia",F375)))</formula>
    </cfRule>
    <cfRule type="containsText" dxfId="1003" priority="97" operator="containsText" text="trasnferência">
      <formula>NOT(ISERROR(SEARCH("trasnferência",F375)))</formula>
    </cfRule>
  </conditionalFormatting>
  <conditionalFormatting sqref="G375:G376">
    <cfRule type="containsText" dxfId="1002" priority="93" operator="containsText" text="Cheque">
      <formula>NOT(ISERROR(SEARCH("Cheque",G375)))</formula>
    </cfRule>
    <cfRule type="containsText" dxfId="1001" priority="94" operator="containsText" text="Dinheiro">
      <formula>NOT(ISERROR(SEARCH("Dinheiro",G375)))</formula>
    </cfRule>
    <cfRule type="cellIs" dxfId="1000" priority="95" operator="greaterThan">
      <formula>0</formula>
    </cfRule>
  </conditionalFormatting>
  <conditionalFormatting sqref="G375:G376">
    <cfRule type="containsText" dxfId="999" priority="92" operator="containsText" text="Pix">
      <formula>NOT(ISERROR(SEARCH("Pix",G375)))</formula>
    </cfRule>
  </conditionalFormatting>
  <conditionalFormatting sqref="G375:G376">
    <cfRule type="containsText" dxfId="998" priority="90" operator="containsText" text="transferencia">
      <formula>NOT(ISERROR(SEARCH("transferencia",G375)))</formula>
    </cfRule>
    <cfRule type="containsText" dxfId="997" priority="91" operator="containsText" text="trasnferência">
      <formula>NOT(ISERROR(SEARCH("trasnferência",G375)))</formula>
    </cfRule>
  </conditionalFormatting>
  <conditionalFormatting sqref="D456:D457">
    <cfRule type="containsText" dxfId="996" priority="87" operator="containsText" text="Cheque">
      <formula>NOT(ISERROR(SEARCH("Cheque",D456)))</formula>
    </cfRule>
    <cfRule type="containsText" dxfId="995" priority="88" operator="containsText" text="Dinheiro">
      <formula>NOT(ISERROR(SEARCH("Dinheiro",D456)))</formula>
    </cfRule>
    <cfRule type="cellIs" dxfId="994" priority="89" operator="greaterThan">
      <formula>0</formula>
    </cfRule>
  </conditionalFormatting>
  <conditionalFormatting sqref="D456:D457">
    <cfRule type="containsText" dxfId="993" priority="86" operator="containsText" text="Pix">
      <formula>NOT(ISERROR(SEARCH("Pix",D456)))</formula>
    </cfRule>
  </conditionalFormatting>
  <conditionalFormatting sqref="D456:D457">
    <cfRule type="containsText" dxfId="992" priority="84" operator="containsText" text="transferencia">
      <formula>NOT(ISERROR(SEARCH("transferencia",D456)))</formula>
    </cfRule>
    <cfRule type="containsText" dxfId="991" priority="85" operator="containsText" text="trasnferência">
      <formula>NOT(ISERROR(SEARCH("trasnferência",D456)))</formula>
    </cfRule>
  </conditionalFormatting>
  <conditionalFormatting sqref="C627:M630 O627:O630">
    <cfRule type="containsText" dxfId="990" priority="81" operator="containsText" text="Cheque">
      <formula>NOT(ISERROR(SEARCH("Cheque",C627)))</formula>
    </cfRule>
    <cfRule type="containsText" dxfId="989" priority="82" operator="containsText" text="Dinheiro">
      <formula>NOT(ISERROR(SEARCH("Dinheiro",C627)))</formula>
    </cfRule>
    <cfRule type="cellIs" dxfId="988" priority="83" operator="greaterThan">
      <formula>0</formula>
    </cfRule>
  </conditionalFormatting>
  <conditionalFormatting sqref="A627:M630 O627:O630">
    <cfRule type="containsText" dxfId="987" priority="80" operator="containsText" text="Pix">
      <formula>NOT(ISERROR(SEARCH("Pix",A627)))</formula>
    </cfRule>
  </conditionalFormatting>
  <conditionalFormatting sqref="N627:N630">
    <cfRule type="containsText" dxfId="986" priority="77" operator="containsText" text="Cheque">
      <formula>NOT(ISERROR(SEARCH("Cheque",N627)))</formula>
    </cfRule>
    <cfRule type="containsText" dxfId="985" priority="78" operator="containsText" text="Dinheiro">
      <formula>NOT(ISERROR(SEARCH("Dinheiro",N627)))</formula>
    </cfRule>
    <cfRule type="cellIs" dxfId="984" priority="79" operator="greaterThan">
      <formula>0</formula>
    </cfRule>
  </conditionalFormatting>
  <conditionalFormatting sqref="N627:N630">
    <cfRule type="containsText" dxfId="983" priority="76" operator="containsText" text="Pix">
      <formula>NOT(ISERROR(SEARCH("Pix",N627)))</formula>
    </cfRule>
  </conditionalFormatting>
  <conditionalFormatting sqref="O359:P366 A359:M366">
    <cfRule type="containsText" dxfId="982" priority="74" operator="containsText" text="transferencia">
      <formula>NOT(ISERROR(SEARCH("transferencia",A359)))</formula>
    </cfRule>
    <cfRule type="containsText" dxfId="981" priority="75" operator="containsText" text="trasnferência">
      <formula>NOT(ISERROR(SEARCH("trasnferência",A359)))</formula>
    </cfRule>
  </conditionalFormatting>
  <conditionalFormatting sqref="C359:G366">
    <cfRule type="containsText" dxfId="980" priority="72" operator="containsText" text="transferencia">
      <formula>NOT(ISERROR(SEARCH("transferencia",C359)))</formula>
    </cfRule>
    <cfRule type="containsText" dxfId="979" priority="73" operator="containsText" text="trasnferência">
      <formula>NOT(ISERROR(SEARCH("trasnferência",C359)))</formula>
    </cfRule>
  </conditionalFormatting>
  <conditionalFormatting sqref="O3:O4">
    <cfRule type="containsText" dxfId="978" priority="69" operator="containsText" text="Cheque">
      <formula>NOT(ISERROR(SEARCH("Cheque",O3)))</formula>
    </cfRule>
    <cfRule type="containsText" dxfId="977" priority="70" operator="containsText" text="Dinheiro">
      <formula>NOT(ISERROR(SEARCH("Dinheiro",O3)))</formula>
    </cfRule>
    <cfRule type="cellIs" dxfId="976" priority="71" operator="greaterThan">
      <formula>0</formula>
    </cfRule>
  </conditionalFormatting>
  <conditionalFormatting sqref="O3:O4">
    <cfRule type="containsText" dxfId="975" priority="68" operator="containsText" text="Pix">
      <formula>NOT(ISERROR(SEARCH("Pix",O3)))</formula>
    </cfRule>
  </conditionalFormatting>
  <conditionalFormatting sqref="O3:O4">
    <cfRule type="containsText" dxfId="974" priority="66" operator="containsText" text="transferencia">
      <formula>NOT(ISERROR(SEARCH("transferencia",O3)))</formula>
    </cfRule>
    <cfRule type="containsText" dxfId="973" priority="67" operator="containsText" text="trasnferência">
      <formula>NOT(ISERROR(SEARCH("trasnferência",O3)))</formula>
    </cfRule>
  </conditionalFormatting>
  <conditionalFormatting sqref="O3:O4">
    <cfRule type="containsText" dxfId="972" priority="63" operator="containsText" text="Cheque">
      <formula>NOT(ISERROR(SEARCH("Cheque",O3)))</formula>
    </cfRule>
    <cfRule type="containsText" dxfId="971" priority="64" operator="containsText" text="Dinheiro">
      <formula>NOT(ISERROR(SEARCH("Dinheiro",O3)))</formula>
    </cfRule>
    <cfRule type="cellIs" dxfId="970" priority="65" operator="greaterThan">
      <formula>0</formula>
    </cfRule>
  </conditionalFormatting>
  <conditionalFormatting sqref="O3:O4">
    <cfRule type="containsText" dxfId="969" priority="62" operator="containsText" text="Pix">
      <formula>NOT(ISERROR(SEARCH("Pix",O3)))</formula>
    </cfRule>
  </conditionalFormatting>
  <conditionalFormatting sqref="O3:O4">
    <cfRule type="containsText" dxfId="968" priority="61" operator="containsText" text="ASAAS">
      <formula>NOT(ISERROR(SEARCH("ASAAS",O3)))</formula>
    </cfRule>
  </conditionalFormatting>
  <conditionalFormatting sqref="O5">
    <cfRule type="containsText" dxfId="967" priority="58" operator="containsText" text="Cheque">
      <formula>NOT(ISERROR(SEARCH("Cheque",O5)))</formula>
    </cfRule>
    <cfRule type="containsText" dxfId="966" priority="59" operator="containsText" text="Dinheiro">
      <formula>NOT(ISERROR(SEARCH("Dinheiro",O5)))</formula>
    </cfRule>
    <cfRule type="cellIs" dxfId="965" priority="60" operator="greaterThan">
      <formula>0</formula>
    </cfRule>
  </conditionalFormatting>
  <conditionalFormatting sqref="O5">
    <cfRule type="containsText" dxfId="964" priority="57" operator="containsText" text="Pix">
      <formula>NOT(ISERROR(SEARCH("Pix",O5)))</formula>
    </cfRule>
  </conditionalFormatting>
  <conditionalFormatting sqref="O5">
    <cfRule type="containsText" dxfId="963" priority="55" operator="containsText" text="transferencia">
      <formula>NOT(ISERROR(SEARCH("transferencia",O5)))</formula>
    </cfRule>
    <cfRule type="containsText" dxfId="962" priority="56" operator="containsText" text="trasnferência">
      <formula>NOT(ISERROR(SEARCH("trasnferência",O5)))</formula>
    </cfRule>
  </conditionalFormatting>
  <conditionalFormatting sqref="O5">
    <cfRule type="containsText" dxfId="961" priority="52" operator="containsText" text="Cheque">
      <formula>NOT(ISERROR(SEARCH("Cheque",O5)))</formula>
    </cfRule>
    <cfRule type="containsText" dxfId="960" priority="53" operator="containsText" text="Dinheiro">
      <formula>NOT(ISERROR(SEARCH("Dinheiro",O5)))</formula>
    </cfRule>
    <cfRule type="cellIs" dxfId="959" priority="54" operator="greaterThan">
      <formula>0</formula>
    </cfRule>
  </conditionalFormatting>
  <conditionalFormatting sqref="O5">
    <cfRule type="containsText" dxfId="958" priority="51" operator="containsText" text="Pix">
      <formula>NOT(ISERROR(SEARCH("Pix",O5)))</formula>
    </cfRule>
  </conditionalFormatting>
  <conditionalFormatting sqref="O5">
    <cfRule type="containsText" dxfId="957" priority="50" operator="containsText" text="ASAAS">
      <formula>NOT(ISERROR(SEARCH("ASAAS",O5)))</formula>
    </cfRule>
  </conditionalFormatting>
  <conditionalFormatting sqref="O6">
    <cfRule type="containsText" dxfId="956" priority="47" operator="containsText" text="Cheque">
      <formula>NOT(ISERROR(SEARCH("Cheque",O6)))</formula>
    </cfRule>
    <cfRule type="containsText" dxfId="955" priority="48" operator="containsText" text="Dinheiro">
      <formula>NOT(ISERROR(SEARCH("Dinheiro",O6)))</formula>
    </cfRule>
    <cfRule type="cellIs" dxfId="954" priority="49" operator="greaterThan">
      <formula>0</formula>
    </cfRule>
  </conditionalFormatting>
  <conditionalFormatting sqref="O6">
    <cfRule type="containsText" dxfId="953" priority="46" operator="containsText" text="Pix">
      <formula>NOT(ISERROR(SEARCH("Pix",O6)))</formula>
    </cfRule>
  </conditionalFormatting>
  <conditionalFormatting sqref="N75:N76">
    <cfRule type="containsText" dxfId="952" priority="43" operator="containsText" text="Cheque">
      <formula>NOT(ISERROR(SEARCH("Cheque",N75)))</formula>
    </cfRule>
    <cfRule type="containsText" dxfId="951" priority="44" operator="containsText" text="Dinheiro">
      <formula>NOT(ISERROR(SEARCH("Dinheiro",N75)))</formula>
    </cfRule>
    <cfRule type="cellIs" dxfId="950" priority="45" operator="greaterThan">
      <formula>0</formula>
    </cfRule>
  </conditionalFormatting>
  <conditionalFormatting sqref="N75:N76">
    <cfRule type="containsText" dxfId="949" priority="42" operator="containsText" text="Pix">
      <formula>NOT(ISERROR(SEARCH("Pix",N75)))</formula>
    </cfRule>
  </conditionalFormatting>
  <conditionalFormatting sqref="N75:N76">
    <cfRule type="containsText" dxfId="948" priority="40" operator="containsText" text="transferencia">
      <formula>NOT(ISERROR(SEARCH("transferencia",N75)))</formula>
    </cfRule>
    <cfRule type="containsText" dxfId="947" priority="41" operator="containsText" text="trasnferência">
      <formula>NOT(ISERROR(SEARCH("trasnferência",N75)))</formula>
    </cfRule>
  </conditionalFormatting>
  <conditionalFormatting sqref="N77">
    <cfRule type="containsText" dxfId="946" priority="37" operator="containsText" text="Cheque">
      <formula>NOT(ISERROR(SEARCH("Cheque",N77)))</formula>
    </cfRule>
    <cfRule type="containsText" dxfId="945" priority="38" operator="containsText" text="Dinheiro">
      <formula>NOT(ISERROR(SEARCH("Dinheiro",N77)))</formula>
    </cfRule>
    <cfRule type="cellIs" dxfId="944" priority="39" operator="greaterThan">
      <formula>0</formula>
    </cfRule>
  </conditionalFormatting>
  <conditionalFormatting sqref="N77">
    <cfRule type="containsText" dxfId="943" priority="36" operator="containsText" text="Pix">
      <formula>NOT(ISERROR(SEARCH("Pix",N77)))</formula>
    </cfRule>
  </conditionalFormatting>
  <conditionalFormatting sqref="N77">
    <cfRule type="containsText" dxfId="942" priority="34" operator="containsText" text="transferencia">
      <formula>NOT(ISERROR(SEARCH("transferencia",N77)))</formula>
    </cfRule>
    <cfRule type="containsText" dxfId="941" priority="35" operator="containsText" text="trasnferência">
      <formula>NOT(ISERROR(SEARCH("trasnferência",N77)))</formula>
    </cfRule>
  </conditionalFormatting>
  <conditionalFormatting sqref="N78">
    <cfRule type="containsText" dxfId="940" priority="31" operator="containsText" text="Cheque">
      <formula>NOT(ISERROR(SEARCH("Cheque",N78)))</formula>
    </cfRule>
    <cfRule type="containsText" dxfId="939" priority="32" operator="containsText" text="Dinheiro">
      <formula>NOT(ISERROR(SEARCH("Dinheiro",N78)))</formula>
    </cfRule>
    <cfRule type="cellIs" dxfId="938" priority="33" operator="greaterThan">
      <formula>0</formula>
    </cfRule>
  </conditionalFormatting>
  <conditionalFormatting sqref="N78">
    <cfRule type="containsText" dxfId="937" priority="30" operator="containsText" text="Pix">
      <formula>NOT(ISERROR(SEARCH("Pix",N78)))</formula>
    </cfRule>
  </conditionalFormatting>
  <conditionalFormatting sqref="N78">
    <cfRule type="containsText" dxfId="936" priority="28" operator="containsText" text="transferencia">
      <formula>NOT(ISERROR(SEARCH("transferencia",N78)))</formula>
    </cfRule>
    <cfRule type="containsText" dxfId="935" priority="29" operator="containsText" text="trasnferência">
      <formula>NOT(ISERROR(SEARCH("trasnferência",N78)))</formula>
    </cfRule>
  </conditionalFormatting>
  <conditionalFormatting sqref="N432:N433">
    <cfRule type="containsText" dxfId="934" priority="25" operator="containsText" text="Cheque">
      <formula>NOT(ISERROR(SEARCH("Cheque",N432)))</formula>
    </cfRule>
    <cfRule type="containsText" dxfId="933" priority="26" operator="containsText" text="Dinheiro">
      <formula>NOT(ISERROR(SEARCH("Dinheiro",N432)))</formula>
    </cfRule>
    <cfRule type="cellIs" dxfId="932" priority="27" operator="greaterThan">
      <formula>0</formula>
    </cfRule>
  </conditionalFormatting>
  <conditionalFormatting sqref="N432:N433">
    <cfRule type="containsText" dxfId="931" priority="24" operator="containsText" text="Pix">
      <formula>NOT(ISERROR(SEARCH("Pix",N432)))</formula>
    </cfRule>
  </conditionalFormatting>
  <conditionalFormatting sqref="N432:N433">
    <cfRule type="containsText" dxfId="930" priority="22" operator="containsText" text="transferencia">
      <formula>NOT(ISERROR(SEARCH("transferencia",N432)))</formula>
    </cfRule>
    <cfRule type="containsText" dxfId="929" priority="23" operator="containsText" text="trasnferência">
      <formula>NOT(ISERROR(SEARCH("trasnferência",N432)))</formula>
    </cfRule>
  </conditionalFormatting>
  <conditionalFormatting sqref="N435">
    <cfRule type="containsText" dxfId="928" priority="19" operator="containsText" text="Cheque">
      <formula>NOT(ISERROR(SEARCH("Cheque",N435)))</formula>
    </cfRule>
    <cfRule type="containsText" dxfId="927" priority="20" operator="containsText" text="Dinheiro">
      <formula>NOT(ISERROR(SEARCH("Dinheiro",N435)))</formula>
    </cfRule>
    <cfRule type="cellIs" dxfId="926" priority="21" operator="greaterThan">
      <formula>0</formula>
    </cfRule>
  </conditionalFormatting>
  <conditionalFormatting sqref="N435">
    <cfRule type="containsText" dxfId="925" priority="18" operator="containsText" text="Pix">
      <formula>NOT(ISERROR(SEARCH("Pix",N435)))</formula>
    </cfRule>
  </conditionalFormatting>
  <conditionalFormatting sqref="N435">
    <cfRule type="containsText" dxfId="924" priority="16" operator="containsText" text="transferencia">
      <formula>NOT(ISERROR(SEARCH("transferencia",N435)))</formula>
    </cfRule>
    <cfRule type="containsText" dxfId="923" priority="17" operator="containsText" text="trasnferência">
      <formula>NOT(ISERROR(SEARCH("trasnferência",N435)))</formula>
    </cfRule>
  </conditionalFormatting>
  <conditionalFormatting sqref="N279:N280">
    <cfRule type="containsText" dxfId="922" priority="13" operator="containsText" text="Cheque">
      <formula>NOT(ISERROR(SEARCH("Cheque",N279)))</formula>
    </cfRule>
    <cfRule type="containsText" dxfId="921" priority="14" operator="containsText" text="Dinheiro">
      <formula>NOT(ISERROR(SEARCH("Dinheiro",N279)))</formula>
    </cfRule>
    <cfRule type="cellIs" dxfId="920" priority="15" operator="greaterThan">
      <formula>0</formula>
    </cfRule>
  </conditionalFormatting>
  <conditionalFormatting sqref="N279:N280">
    <cfRule type="containsText" dxfId="919" priority="12" operator="containsText" text="Pix">
      <formula>NOT(ISERROR(SEARCH("Pix",N279)))</formula>
    </cfRule>
  </conditionalFormatting>
  <conditionalFormatting sqref="N279:N280">
    <cfRule type="containsText" dxfId="918" priority="10" operator="containsText" text="transferencia">
      <formula>NOT(ISERROR(SEARCH("transferencia",N279)))</formula>
    </cfRule>
    <cfRule type="containsText" dxfId="917" priority="11" operator="containsText" text="trasnferência">
      <formula>NOT(ISERROR(SEARCH("trasnferência",N279)))</formula>
    </cfRule>
  </conditionalFormatting>
  <conditionalFormatting sqref="N282">
    <cfRule type="containsText" dxfId="916" priority="7" operator="containsText" text="Cheque">
      <formula>NOT(ISERROR(SEARCH("Cheque",N282)))</formula>
    </cfRule>
    <cfRule type="containsText" dxfId="915" priority="8" operator="containsText" text="Dinheiro">
      <formula>NOT(ISERROR(SEARCH("Dinheiro",N282)))</formula>
    </cfRule>
    <cfRule type="cellIs" dxfId="914" priority="9" operator="greaterThan">
      <formula>0</formula>
    </cfRule>
  </conditionalFormatting>
  <conditionalFormatting sqref="N282">
    <cfRule type="containsText" dxfId="913" priority="6" operator="containsText" text="Pix">
      <formula>NOT(ISERROR(SEARCH("Pix",N282)))</formula>
    </cfRule>
  </conditionalFormatting>
  <conditionalFormatting sqref="N282">
    <cfRule type="containsText" dxfId="912" priority="4" operator="containsText" text="transferencia">
      <formula>NOT(ISERROR(SEARCH("transferencia",N282)))</formula>
    </cfRule>
    <cfRule type="containsText" dxfId="911" priority="5" operator="containsText" text="trasnferência">
      <formula>NOT(ISERROR(SEARCH("trasnferência",N282)))</formula>
    </cfRule>
  </conditionalFormatting>
  <conditionalFormatting sqref="A1">
    <cfRule type="containsText" dxfId="910" priority="2" operator="containsText" text="transferencia">
      <formula>NOT(ISERROR(SEARCH("transferencia",A1)))</formula>
    </cfRule>
    <cfRule type="containsText" dxfId="909" priority="3" operator="containsText" text="trasnferência">
      <formula>NOT(ISERROR(SEARCH("trasnferência",A1)))</formula>
    </cfRule>
  </conditionalFormatting>
  <conditionalFormatting sqref="A1:B1">
    <cfRule type="containsText" dxfId="908" priority="1" operator="containsText" text="ASAAS">
      <formula>NOT(ISERROR(SEARCH("ASAAS",A1)))</formula>
    </cfRule>
  </conditionalFormatting>
  <hyperlinks>
    <hyperlink ref="D1" location="'2023'!A1" display="'2023'!A1" xr:uid="{00000000-0004-0000-0600-000001000000}"/>
    <hyperlink ref="F1" location="'2025'!A1" display="'2025'!A1" xr:uid="{00000000-0004-0000-0600-000002000000}"/>
    <hyperlink ref="A1:B1" location="dashboard!A1" display="DASHBOARD" xr:uid="{D126B368-8057-4B9F-BCF4-E8F39113A185}"/>
  </hyperlink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X45"/>
  <sheetViews>
    <sheetView workbookViewId="0">
      <pane ySplit="1" topLeftCell="A5" activePane="bottomLeft" state="frozen"/>
      <selection pane="bottomLeft" activeCell="D1" sqref="D1:F1"/>
    </sheetView>
  </sheetViews>
  <sheetFormatPr defaultColWidth="9.140625" defaultRowHeight="15"/>
  <cols>
    <col min="1" max="1" width="9.140625" style="5"/>
    <col min="2" max="2" width="22" style="5" customWidth="1"/>
    <col min="3" max="3" width="16.85546875" style="5" customWidth="1"/>
    <col min="4" max="24" width="12.28515625" style="5" customWidth="1"/>
    <col min="25" max="16384" width="9.140625" style="5"/>
  </cols>
  <sheetData>
    <row r="1" spans="1:24" s="340" customFormat="1" ht="22.5" customHeight="1">
      <c r="A1" s="339"/>
      <c r="D1" s="604" t="s">
        <v>406</v>
      </c>
      <c r="E1" s="604"/>
      <c r="F1" s="604"/>
    </row>
    <row r="2" spans="1:24" s="139" customFormat="1" ht="22.5" customHeight="1">
      <c r="D2" s="607" t="s">
        <v>1226</v>
      </c>
      <c r="E2" s="607"/>
      <c r="F2" s="607"/>
      <c r="G2" s="607"/>
      <c r="H2" s="607"/>
      <c r="I2" s="607"/>
    </row>
    <row r="3" spans="1:24" s="139" customFormat="1" ht="22.5" customHeight="1">
      <c r="D3" s="608"/>
      <c r="E3" s="608"/>
      <c r="F3" s="608"/>
      <c r="G3" s="608"/>
      <c r="H3" s="608"/>
      <c r="I3" s="608"/>
    </row>
    <row r="4" spans="1:24" ht="21.75" customHeight="1">
      <c r="A4" s="536"/>
      <c r="B4" s="602" t="s">
        <v>312</v>
      </c>
      <c r="C4" s="482">
        <v>-433</v>
      </c>
      <c r="D4" s="482">
        <v>-433</v>
      </c>
      <c r="E4" s="482">
        <v>-433</v>
      </c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482"/>
      <c r="R4" s="482"/>
      <c r="S4" s="482"/>
      <c r="T4" s="482"/>
      <c r="U4" s="482"/>
      <c r="V4" s="482"/>
      <c r="W4" s="482"/>
      <c r="X4" s="482"/>
    </row>
    <row r="5" spans="1:24">
      <c r="A5" s="536"/>
      <c r="B5" s="603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482"/>
      <c r="W5" s="482"/>
      <c r="X5" s="482"/>
    </row>
    <row r="6" spans="1:24">
      <c r="A6" s="536"/>
      <c r="B6" s="94" t="s">
        <v>363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</row>
    <row r="7" spans="1:24">
      <c r="A7" s="536"/>
      <c r="B7" s="94" t="s">
        <v>377</v>
      </c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</row>
    <row r="8" spans="1:24">
      <c r="A8" s="496"/>
      <c r="B8" s="605" t="s">
        <v>1225</v>
      </c>
      <c r="C8" s="481">
        <v>433.33</v>
      </c>
      <c r="D8" s="482">
        <v>433.33</v>
      </c>
      <c r="E8" s="482">
        <v>433.33</v>
      </c>
      <c r="F8" s="482"/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482"/>
      <c r="W8" s="482"/>
      <c r="X8" s="482"/>
    </row>
    <row r="9" spans="1:24">
      <c r="A9" s="496"/>
      <c r="B9" s="606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  <c r="P9" s="482"/>
      <c r="Q9" s="482"/>
      <c r="R9" s="482"/>
      <c r="S9" s="482"/>
      <c r="T9" s="482"/>
      <c r="U9" s="482"/>
      <c r="V9" s="482"/>
      <c r="W9" s="482"/>
      <c r="X9" s="482"/>
    </row>
    <row r="10" spans="1:24">
      <c r="A10" s="496"/>
      <c r="B10" s="341" t="s">
        <v>363</v>
      </c>
      <c r="C10" s="65">
        <v>45229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</row>
    <row r="11" spans="1:24">
      <c r="A11" s="471"/>
      <c r="B11" s="342" t="s">
        <v>377</v>
      </c>
      <c r="C11" s="54" t="s">
        <v>384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</row>
    <row r="12" spans="1:24">
      <c r="A12" s="485"/>
      <c r="B12" s="602" t="s">
        <v>1157</v>
      </c>
      <c r="C12" s="482" t="s">
        <v>1227</v>
      </c>
      <c r="D12" s="482"/>
      <c r="E12" s="482"/>
      <c r="F12" s="482"/>
      <c r="G12" s="482"/>
      <c r="H12" s="482"/>
      <c r="I12" s="482"/>
      <c r="J12" s="482"/>
      <c r="K12" s="482"/>
      <c r="L12" s="482"/>
      <c r="M12" s="482"/>
      <c r="N12" s="482"/>
      <c r="O12" s="482"/>
      <c r="P12" s="482"/>
      <c r="Q12" s="482"/>
      <c r="R12" s="482"/>
      <c r="S12" s="482"/>
      <c r="T12" s="482"/>
      <c r="U12" s="482"/>
      <c r="V12" s="482"/>
      <c r="W12" s="482"/>
      <c r="X12" s="482"/>
    </row>
    <row r="13" spans="1:24">
      <c r="A13" s="468"/>
      <c r="B13" s="603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</row>
    <row r="14" spans="1:24">
      <c r="A14" s="468"/>
      <c r="B14" s="341" t="s">
        <v>363</v>
      </c>
      <c r="C14" s="54" t="s">
        <v>998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</row>
    <row r="15" spans="1:24">
      <c r="A15" s="478"/>
      <c r="B15" s="94" t="s">
        <v>377</v>
      </c>
      <c r="C15" s="54" t="s">
        <v>998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</row>
    <row r="16" spans="1:24">
      <c r="A16" s="485"/>
      <c r="B16" s="602" t="s">
        <v>1228</v>
      </c>
      <c r="C16" s="482" t="s">
        <v>1229</v>
      </c>
      <c r="D16" s="482" t="s">
        <v>1230</v>
      </c>
      <c r="E16" s="482"/>
      <c r="F16" s="482"/>
      <c r="G16" s="482"/>
      <c r="H16" s="482"/>
      <c r="I16" s="482"/>
      <c r="J16" s="482"/>
      <c r="K16" s="482"/>
      <c r="L16" s="482"/>
      <c r="M16" s="482"/>
      <c r="N16" s="482"/>
      <c r="O16" s="482"/>
      <c r="P16" s="482"/>
      <c r="Q16" s="482"/>
      <c r="R16" s="482"/>
      <c r="S16" s="482"/>
      <c r="T16" s="482"/>
      <c r="U16" s="482"/>
      <c r="V16" s="482"/>
      <c r="W16" s="482"/>
      <c r="X16" s="482"/>
    </row>
    <row r="17" spans="1:24">
      <c r="A17" s="468"/>
      <c r="B17" s="603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</row>
    <row r="18" spans="1:24">
      <c r="A18" s="468"/>
      <c r="B18" s="341" t="s">
        <v>363</v>
      </c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</row>
    <row r="19" spans="1:24">
      <c r="A19" s="501"/>
      <c r="B19" s="94" t="s">
        <v>377</v>
      </c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</row>
    <row r="20" spans="1:24">
      <c r="A20" s="92"/>
      <c r="B20" s="602" t="s">
        <v>46</v>
      </c>
      <c r="C20" s="482">
        <v>433</v>
      </c>
      <c r="D20" s="482">
        <v>-433</v>
      </c>
      <c r="E20" s="482">
        <v>-433</v>
      </c>
      <c r="F20" s="482"/>
      <c r="G20" s="482"/>
      <c r="H20" s="482"/>
      <c r="I20" s="482"/>
      <c r="J20" s="482"/>
      <c r="K20" s="482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</row>
    <row r="21" spans="1:24">
      <c r="A21" s="92"/>
      <c r="B21" s="603"/>
      <c r="C21" s="482"/>
      <c r="D21" s="482"/>
      <c r="E21" s="482"/>
      <c r="F21" s="482"/>
      <c r="G21" s="482"/>
      <c r="H21" s="482"/>
      <c r="I21" s="482"/>
      <c r="J21" s="482"/>
      <c r="K21" s="482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</row>
    <row r="22" spans="1:24">
      <c r="A22" s="92"/>
      <c r="B22" s="341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</row>
    <row r="23" spans="1:24">
      <c r="A23" s="92"/>
      <c r="B23" s="341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</row>
    <row r="24" spans="1:24">
      <c r="A24" s="536"/>
      <c r="B24" s="602" t="s">
        <v>1437</v>
      </c>
      <c r="C24" s="482">
        <v>433</v>
      </c>
      <c r="D24" s="482">
        <v>-433</v>
      </c>
      <c r="E24" s="482">
        <v>-433</v>
      </c>
      <c r="F24" s="482"/>
      <c r="G24" s="482"/>
      <c r="H24" s="482"/>
      <c r="I24" s="482"/>
      <c r="J24" s="482"/>
      <c r="K24" s="482"/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</row>
    <row r="25" spans="1:24">
      <c r="A25" s="536"/>
      <c r="B25" s="603"/>
      <c r="C25" s="482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</row>
    <row r="26" spans="1:24">
      <c r="A26" s="536"/>
      <c r="B26" s="342" t="s">
        <v>363</v>
      </c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</row>
    <row r="27" spans="1:24">
      <c r="A27" s="536"/>
      <c r="B27" s="343" t="s">
        <v>377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</row>
    <row r="28" spans="1:24">
      <c r="A28" s="536"/>
      <c r="B28" s="602" t="s">
        <v>1246</v>
      </c>
      <c r="C28" s="482">
        <v>450</v>
      </c>
      <c r="D28" s="491">
        <v>425</v>
      </c>
      <c r="E28" s="491">
        <v>425</v>
      </c>
      <c r="F28" s="482"/>
      <c r="G28" s="482"/>
      <c r="H28" s="482"/>
      <c r="I28" s="482"/>
      <c r="J28" s="482"/>
      <c r="K28" s="482"/>
      <c r="L28" s="482"/>
      <c r="M28" s="482"/>
      <c r="N28" s="482"/>
      <c r="O28" s="482"/>
      <c r="P28" s="482"/>
      <c r="Q28" s="482"/>
      <c r="R28" s="482"/>
      <c r="S28" s="482"/>
      <c r="T28" s="482"/>
      <c r="U28" s="482"/>
      <c r="V28" s="482"/>
      <c r="W28" s="482"/>
      <c r="X28" s="482"/>
    </row>
    <row r="29" spans="1:24">
      <c r="A29" s="536"/>
      <c r="B29" s="603"/>
      <c r="C29" s="482"/>
      <c r="D29" s="492"/>
      <c r="E29" s="49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482"/>
      <c r="X29" s="482"/>
    </row>
    <row r="30" spans="1:24">
      <c r="A30" s="536"/>
      <c r="B30" s="342" t="s">
        <v>363</v>
      </c>
      <c r="C30" s="64">
        <v>45240</v>
      </c>
      <c r="D30" s="65">
        <v>45295</v>
      </c>
      <c r="E30" s="65">
        <v>45329</v>
      </c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</row>
    <row r="31" spans="1:24">
      <c r="A31" s="536"/>
      <c r="B31" s="343" t="s">
        <v>377</v>
      </c>
      <c r="C31" s="54" t="s">
        <v>1298</v>
      </c>
      <c r="D31" s="54" t="s">
        <v>1298</v>
      </c>
      <c r="E31" s="54" t="s">
        <v>386</v>
      </c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</row>
    <row r="32" spans="1:24">
      <c r="A32" s="536"/>
      <c r="B32" s="602" t="s">
        <v>43</v>
      </c>
      <c r="C32" s="482">
        <v>650</v>
      </c>
      <c r="D32" s="482">
        <v>650</v>
      </c>
      <c r="E32" s="482"/>
      <c r="F32" s="482"/>
      <c r="G32" s="482"/>
      <c r="H32" s="482"/>
      <c r="I32" s="482"/>
      <c r="J32" s="482"/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/>
      <c r="V32" s="482"/>
      <c r="W32" s="482"/>
      <c r="X32" s="482"/>
    </row>
    <row r="33" spans="1:24">
      <c r="A33" s="536"/>
      <c r="B33" s="603"/>
      <c r="C33" s="482"/>
      <c r="D33" s="482"/>
      <c r="E33" s="482"/>
      <c r="F33" s="482"/>
      <c r="G33" s="482"/>
      <c r="H33" s="482"/>
      <c r="I33" s="482"/>
      <c r="J33" s="482"/>
      <c r="K33" s="482"/>
      <c r="L33" s="482"/>
      <c r="M33" s="482"/>
      <c r="N33" s="482"/>
      <c r="O33" s="482"/>
      <c r="P33" s="482"/>
      <c r="Q33" s="482"/>
      <c r="R33" s="482"/>
      <c r="S33" s="482"/>
      <c r="T33" s="482"/>
      <c r="U33" s="482"/>
      <c r="V33" s="482"/>
      <c r="W33" s="482"/>
      <c r="X33" s="482"/>
    </row>
    <row r="34" spans="1:24">
      <c r="A34" s="536"/>
      <c r="B34" s="342" t="s">
        <v>363</v>
      </c>
      <c r="C34" s="64">
        <v>45240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</row>
    <row r="35" spans="1:24">
      <c r="A35" s="536"/>
      <c r="B35" s="343" t="s">
        <v>377</v>
      </c>
      <c r="C35" s="54" t="s">
        <v>386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</row>
    <row r="36" spans="1:24">
      <c r="A36" s="485"/>
      <c r="B36" s="602" t="s">
        <v>54</v>
      </c>
      <c r="C36" s="482">
        <v>-325</v>
      </c>
      <c r="D36" s="482">
        <v>-325</v>
      </c>
      <c r="E36" s="482">
        <v>-325</v>
      </c>
      <c r="F36" s="482">
        <v>-325</v>
      </c>
      <c r="G36" s="482"/>
      <c r="H36" s="482"/>
      <c r="I36" s="482"/>
      <c r="J36" s="482"/>
      <c r="K36" s="482"/>
      <c r="L36" s="482"/>
      <c r="M36" s="482"/>
      <c r="N36" s="482"/>
      <c r="O36" s="482"/>
      <c r="P36" s="482"/>
      <c r="Q36" s="482"/>
      <c r="R36" s="482"/>
      <c r="S36" s="482"/>
      <c r="T36" s="482"/>
      <c r="U36" s="482"/>
      <c r="V36" s="482"/>
      <c r="W36" s="482"/>
      <c r="X36" s="482"/>
    </row>
    <row r="37" spans="1:24">
      <c r="A37" s="468"/>
      <c r="B37" s="603"/>
      <c r="C37" s="482"/>
      <c r="D37" s="482"/>
      <c r="E37" s="482"/>
      <c r="F37" s="482"/>
      <c r="G37" s="482"/>
      <c r="H37" s="482"/>
      <c r="I37" s="482"/>
      <c r="J37" s="482"/>
      <c r="K37" s="482"/>
      <c r="L37" s="482"/>
      <c r="M37" s="482"/>
      <c r="N37" s="482"/>
      <c r="O37" s="482"/>
      <c r="P37" s="482"/>
      <c r="Q37" s="482"/>
      <c r="R37" s="482"/>
      <c r="S37" s="482"/>
      <c r="T37" s="482"/>
      <c r="U37" s="482"/>
      <c r="V37" s="482"/>
      <c r="W37" s="482"/>
      <c r="X37" s="482"/>
    </row>
    <row r="38" spans="1:24">
      <c r="A38" s="468"/>
      <c r="B38" s="94" t="s">
        <v>363</v>
      </c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</row>
    <row r="39" spans="1:24">
      <c r="A39" s="478"/>
      <c r="B39" s="343" t="s">
        <v>377</v>
      </c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</row>
    <row r="40" spans="1:24">
      <c r="A40" s="485"/>
      <c r="B40" s="602" t="s">
        <v>1251</v>
      </c>
      <c r="C40" s="482">
        <v>400</v>
      </c>
      <c r="D40" s="482">
        <v>400</v>
      </c>
      <c r="E40" s="482">
        <v>400</v>
      </c>
      <c r="F40" s="482"/>
      <c r="G40" s="482"/>
      <c r="H40" s="482"/>
      <c r="I40" s="482"/>
      <c r="J40" s="482"/>
      <c r="K40" s="482"/>
      <c r="L40" s="482"/>
      <c r="M40" s="482"/>
      <c r="N40" s="482"/>
      <c r="O40" s="482"/>
      <c r="P40" s="482"/>
      <c r="Q40" s="482"/>
      <c r="R40" s="482"/>
      <c r="S40" s="482"/>
      <c r="T40" s="482"/>
      <c r="U40" s="482"/>
      <c r="V40" s="482"/>
      <c r="W40" s="482"/>
      <c r="X40" s="482"/>
    </row>
    <row r="41" spans="1:24">
      <c r="A41" s="468"/>
      <c r="B41" s="603"/>
      <c r="C41" s="482"/>
      <c r="D41" s="482"/>
      <c r="E41" s="482"/>
      <c r="F41" s="482"/>
      <c r="G41" s="482"/>
      <c r="H41" s="482"/>
      <c r="I41" s="482"/>
      <c r="J41" s="482"/>
      <c r="K41" s="482"/>
      <c r="L41" s="482"/>
      <c r="M41" s="482"/>
      <c r="N41" s="482"/>
      <c r="O41" s="482"/>
      <c r="P41" s="482"/>
      <c r="Q41" s="482"/>
      <c r="R41" s="482"/>
      <c r="S41" s="482"/>
      <c r="T41" s="482"/>
      <c r="U41" s="482"/>
      <c r="V41" s="482"/>
      <c r="W41" s="482"/>
      <c r="X41" s="482"/>
    </row>
    <row r="42" spans="1:24">
      <c r="A42" s="468"/>
      <c r="B42" s="94" t="s">
        <v>363</v>
      </c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</row>
    <row r="43" spans="1:24">
      <c r="A43" s="478"/>
      <c r="B43" s="343" t="s">
        <v>377</v>
      </c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</row>
    <row r="44" spans="1:24"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</row>
    <row r="45" spans="1:24"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</row>
  </sheetData>
  <mergeCells count="241">
    <mergeCell ref="S40:S41"/>
    <mergeCell ref="T40:T41"/>
    <mergeCell ref="U40:U41"/>
    <mergeCell ref="V40:V41"/>
    <mergeCell ref="W40:W41"/>
    <mergeCell ref="X40:X41"/>
    <mergeCell ref="J40:J41"/>
    <mergeCell ref="K40:K41"/>
    <mergeCell ref="L40:L41"/>
    <mergeCell ref="M40:M41"/>
    <mergeCell ref="N40:N41"/>
    <mergeCell ref="O40:O41"/>
    <mergeCell ref="P40:P41"/>
    <mergeCell ref="Q40:Q41"/>
    <mergeCell ref="R40:R41"/>
    <mergeCell ref="A40:A43"/>
    <mergeCell ref="B40:B41"/>
    <mergeCell ref="C40:C41"/>
    <mergeCell ref="D40:D41"/>
    <mergeCell ref="E40:E41"/>
    <mergeCell ref="F40:F41"/>
    <mergeCell ref="G40:G41"/>
    <mergeCell ref="H40:H41"/>
    <mergeCell ref="I40:I41"/>
    <mergeCell ref="S36:S37"/>
    <mergeCell ref="T36:T37"/>
    <mergeCell ref="U36:U37"/>
    <mergeCell ref="V36:V37"/>
    <mergeCell ref="W36:W37"/>
    <mergeCell ref="X36:X37"/>
    <mergeCell ref="J36:J37"/>
    <mergeCell ref="K36:K37"/>
    <mergeCell ref="L36:L37"/>
    <mergeCell ref="M36:M37"/>
    <mergeCell ref="N36:N37"/>
    <mergeCell ref="O36:O37"/>
    <mergeCell ref="P36:P37"/>
    <mergeCell ref="Q36:Q37"/>
    <mergeCell ref="R36:R37"/>
    <mergeCell ref="A36:A39"/>
    <mergeCell ref="B36:B37"/>
    <mergeCell ref="C36:C37"/>
    <mergeCell ref="D36:D37"/>
    <mergeCell ref="E36:E37"/>
    <mergeCell ref="F36:F37"/>
    <mergeCell ref="G36:G37"/>
    <mergeCell ref="H36:H37"/>
    <mergeCell ref="I36:I37"/>
    <mergeCell ref="S32:S33"/>
    <mergeCell ref="T32:T33"/>
    <mergeCell ref="U32:U33"/>
    <mergeCell ref="V32:V33"/>
    <mergeCell ref="W32:W33"/>
    <mergeCell ref="X32:X33"/>
    <mergeCell ref="S28:S29"/>
    <mergeCell ref="T28:T29"/>
    <mergeCell ref="U28:U29"/>
    <mergeCell ref="V28:V29"/>
    <mergeCell ref="W28:W29"/>
    <mergeCell ref="X28:X29"/>
    <mergeCell ref="A32:A35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L32:L33"/>
    <mergeCell ref="M32:M33"/>
    <mergeCell ref="N32:N33"/>
    <mergeCell ref="O32:O33"/>
    <mergeCell ref="P32:P33"/>
    <mergeCell ref="Q32:Q33"/>
    <mergeCell ref="R32:R33"/>
    <mergeCell ref="J28:J29"/>
    <mergeCell ref="K28:K29"/>
    <mergeCell ref="L28:L29"/>
    <mergeCell ref="M28:M29"/>
    <mergeCell ref="N28:N29"/>
    <mergeCell ref="O28:O29"/>
    <mergeCell ref="P28:P29"/>
    <mergeCell ref="Q28:Q29"/>
    <mergeCell ref="R28:R29"/>
    <mergeCell ref="A28:A31"/>
    <mergeCell ref="B28:B29"/>
    <mergeCell ref="C28:C29"/>
    <mergeCell ref="D28:D29"/>
    <mergeCell ref="E28:E29"/>
    <mergeCell ref="F28:F29"/>
    <mergeCell ref="G28:G29"/>
    <mergeCell ref="H28:H29"/>
    <mergeCell ref="I28:I29"/>
    <mergeCell ref="W16:W17"/>
    <mergeCell ref="W24:W25"/>
    <mergeCell ref="M16:M17"/>
    <mergeCell ref="X24:X25"/>
    <mergeCell ref="N24:N25"/>
    <mergeCell ref="O24:O25"/>
    <mergeCell ref="P24:P25"/>
    <mergeCell ref="Q24:Q25"/>
    <mergeCell ref="R24:R25"/>
    <mergeCell ref="S24:S25"/>
    <mergeCell ref="X16:X17"/>
    <mergeCell ref="R16:R17"/>
    <mergeCell ref="S16:S17"/>
    <mergeCell ref="S20:S21"/>
    <mergeCell ref="T20:T21"/>
    <mergeCell ref="U20:U21"/>
    <mergeCell ref="V20:V21"/>
    <mergeCell ref="W20:W21"/>
    <mergeCell ref="X20:X21"/>
    <mergeCell ref="C24:C25"/>
    <mergeCell ref="D24:D25"/>
    <mergeCell ref="E24:E25"/>
    <mergeCell ref="F24:F25"/>
    <mergeCell ref="G24:G25"/>
    <mergeCell ref="N16:N17"/>
    <mergeCell ref="O16:O17"/>
    <mergeCell ref="P16:P17"/>
    <mergeCell ref="Q16:Q17"/>
    <mergeCell ref="H16:H17"/>
    <mergeCell ref="I16:I17"/>
    <mergeCell ref="J16:J17"/>
    <mergeCell ref="K16:K17"/>
    <mergeCell ref="L16:L17"/>
    <mergeCell ref="G12:G13"/>
    <mergeCell ref="N8:N9"/>
    <mergeCell ref="O8:O9"/>
    <mergeCell ref="P8:P9"/>
    <mergeCell ref="Q8:Q9"/>
    <mergeCell ref="R8:R9"/>
    <mergeCell ref="S8:S9"/>
    <mergeCell ref="H8:H9"/>
    <mergeCell ref="I8:I9"/>
    <mergeCell ref="J8:J9"/>
    <mergeCell ref="K8:K9"/>
    <mergeCell ref="L8:L9"/>
    <mergeCell ref="L12:L13"/>
    <mergeCell ref="M12:M13"/>
    <mergeCell ref="V8:V9"/>
    <mergeCell ref="H24:H25"/>
    <mergeCell ref="I24:I25"/>
    <mergeCell ref="J24:J25"/>
    <mergeCell ref="T16:T17"/>
    <mergeCell ref="U16:U17"/>
    <mergeCell ref="V16:V17"/>
    <mergeCell ref="K24:K25"/>
    <mergeCell ref="L24:L25"/>
    <mergeCell ref="M24:M25"/>
    <mergeCell ref="T24:T25"/>
    <mergeCell ref="U24:U25"/>
    <mergeCell ref="V24:V25"/>
    <mergeCell ref="T12:T13"/>
    <mergeCell ref="U12:U13"/>
    <mergeCell ref="V12:V13"/>
    <mergeCell ref="K20:K21"/>
    <mergeCell ref="L20:L21"/>
    <mergeCell ref="M20:M21"/>
    <mergeCell ref="N20:N21"/>
    <mergeCell ref="O20:O21"/>
    <mergeCell ref="P20:P21"/>
    <mergeCell ref="Q20:Q21"/>
    <mergeCell ref="R20:R21"/>
    <mergeCell ref="W12:W13"/>
    <mergeCell ref="X12:X13"/>
    <mergeCell ref="U4:U5"/>
    <mergeCell ref="V4:V5"/>
    <mergeCell ref="W4:W5"/>
    <mergeCell ref="X4:X5"/>
    <mergeCell ref="W8:W9"/>
    <mergeCell ref="X8:X9"/>
    <mergeCell ref="G8:G9"/>
    <mergeCell ref="N4:N5"/>
    <mergeCell ref="O4:O5"/>
    <mergeCell ref="P4:P5"/>
    <mergeCell ref="Q4:Q5"/>
    <mergeCell ref="H4:H5"/>
    <mergeCell ref="I4:I5"/>
    <mergeCell ref="J4:J5"/>
    <mergeCell ref="K4:K5"/>
    <mergeCell ref="L4:L5"/>
    <mergeCell ref="M4:M5"/>
    <mergeCell ref="M8:M9"/>
    <mergeCell ref="R4:R5"/>
    <mergeCell ref="S4:S5"/>
    <mergeCell ref="T8:T9"/>
    <mergeCell ref="U8:U9"/>
    <mergeCell ref="A24:A27"/>
    <mergeCell ref="B24:B25"/>
    <mergeCell ref="D2:I3"/>
    <mergeCell ref="C4:C5"/>
    <mergeCell ref="D4:D5"/>
    <mergeCell ref="E4:E5"/>
    <mergeCell ref="F4:F5"/>
    <mergeCell ref="G4:G5"/>
    <mergeCell ref="T4:T5"/>
    <mergeCell ref="C16:C17"/>
    <mergeCell ref="D16:D17"/>
    <mergeCell ref="E16:E17"/>
    <mergeCell ref="F16:F17"/>
    <mergeCell ref="G16:G17"/>
    <mergeCell ref="N12:N13"/>
    <mergeCell ref="O12:O13"/>
    <mergeCell ref="P12:P13"/>
    <mergeCell ref="Q12:Q13"/>
    <mergeCell ref="R12:R13"/>
    <mergeCell ref="S12:S13"/>
    <mergeCell ref="H12:H13"/>
    <mergeCell ref="I12:I13"/>
    <mergeCell ref="J12:J13"/>
    <mergeCell ref="K12:K13"/>
    <mergeCell ref="D1:F1"/>
    <mergeCell ref="A4:A7"/>
    <mergeCell ref="B4:B5"/>
    <mergeCell ref="A8:A11"/>
    <mergeCell ref="B8:B9"/>
    <mergeCell ref="A12:A15"/>
    <mergeCell ref="B12:B13"/>
    <mergeCell ref="A16:A19"/>
    <mergeCell ref="B16:B17"/>
    <mergeCell ref="C8:C9"/>
    <mergeCell ref="D8:D9"/>
    <mergeCell ref="E8:E9"/>
    <mergeCell ref="F8:F9"/>
    <mergeCell ref="C12:C13"/>
    <mergeCell ref="D12:D13"/>
    <mergeCell ref="E12:E13"/>
    <mergeCell ref="F12:F13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</mergeCells>
  <conditionalFormatting sqref="A6:B7 A4:A5 A12:B27">
    <cfRule type="containsText" dxfId="907" priority="24" operator="containsText" text="Pix">
      <formula>NOT(ISERROR(SEARCH("Pix",A4)))</formula>
    </cfRule>
  </conditionalFormatting>
  <conditionalFormatting sqref="A6:B7 A4:A5 A12:B27">
    <cfRule type="containsText" dxfId="906" priority="22" operator="containsText" text="transferencia">
      <formula>NOT(ISERROR(SEARCH("transferencia",A4)))</formula>
    </cfRule>
    <cfRule type="containsText" dxfId="905" priority="23" operator="containsText" text="trasnferência">
      <formula>NOT(ISERROR(SEARCH("trasnferência",A4)))</formula>
    </cfRule>
  </conditionalFormatting>
  <conditionalFormatting sqref="A8:B11">
    <cfRule type="containsText" dxfId="904" priority="21" operator="containsText" text="Pix">
      <formula>NOT(ISERROR(SEARCH("Pix",A8)))</formula>
    </cfRule>
  </conditionalFormatting>
  <conditionalFormatting sqref="A8:B11">
    <cfRule type="containsText" dxfId="903" priority="19" operator="containsText" text="transferencia">
      <formula>NOT(ISERROR(SEARCH("transferencia",A8)))</formula>
    </cfRule>
    <cfRule type="containsText" dxfId="902" priority="20" operator="containsText" text="trasnferência">
      <formula>NOT(ISERROR(SEARCH("trasnferência",A8)))</formula>
    </cfRule>
  </conditionalFormatting>
  <conditionalFormatting sqref="B4:B5">
    <cfRule type="containsText" dxfId="901" priority="18" operator="containsText" text="Pix">
      <formula>NOT(ISERROR(SEARCH("Pix",B4)))</formula>
    </cfRule>
  </conditionalFormatting>
  <conditionalFormatting sqref="B4:B5">
    <cfRule type="containsText" dxfId="900" priority="16" operator="containsText" text="transferencia">
      <formula>NOT(ISERROR(SEARCH("transferencia",B4)))</formula>
    </cfRule>
    <cfRule type="containsText" dxfId="899" priority="17" operator="containsText" text="trasnferência">
      <formula>NOT(ISERROR(SEARCH("trasnferência",B4)))</formula>
    </cfRule>
  </conditionalFormatting>
  <conditionalFormatting sqref="A1:XFD1048576">
    <cfRule type="containsText" dxfId="898" priority="13" operator="containsText" text="PIX">
      <formula>NOT(ISERROR(SEARCH("PIX",A1)))</formula>
    </cfRule>
    <cfRule type="containsText" dxfId="897" priority="15" operator="containsText" text="PIX">
      <formula>NOT(ISERROR(SEARCH("PIX",A1)))</formula>
    </cfRule>
  </conditionalFormatting>
  <conditionalFormatting sqref="C4:Q94">
    <cfRule type="cellIs" dxfId="896" priority="14" operator="greaterThan">
      <formula>0</formula>
    </cfRule>
  </conditionalFormatting>
  <conditionalFormatting sqref="A28:B31">
    <cfRule type="containsText" dxfId="895" priority="12" operator="containsText" text="Pix">
      <formula>NOT(ISERROR(SEARCH("Pix",A28)))</formula>
    </cfRule>
  </conditionalFormatting>
  <conditionalFormatting sqref="A28:B31">
    <cfRule type="containsText" dxfId="894" priority="10" operator="containsText" text="transferencia">
      <formula>NOT(ISERROR(SEARCH("transferencia",A28)))</formula>
    </cfRule>
    <cfRule type="containsText" dxfId="893" priority="11" operator="containsText" text="trasnferência">
      <formula>NOT(ISERROR(SEARCH("trasnferência",A28)))</formula>
    </cfRule>
  </conditionalFormatting>
  <conditionalFormatting sqref="A32:B35">
    <cfRule type="containsText" dxfId="892" priority="9" operator="containsText" text="Pix">
      <formula>NOT(ISERROR(SEARCH("Pix",A32)))</formula>
    </cfRule>
  </conditionalFormatting>
  <conditionalFormatting sqref="A32:B35">
    <cfRule type="containsText" dxfId="891" priority="7" operator="containsText" text="transferencia">
      <formula>NOT(ISERROR(SEARCH("transferencia",A32)))</formula>
    </cfRule>
    <cfRule type="containsText" dxfId="890" priority="8" operator="containsText" text="trasnferência">
      <formula>NOT(ISERROR(SEARCH("trasnferência",A32)))</formula>
    </cfRule>
  </conditionalFormatting>
  <conditionalFormatting sqref="A36:B39">
    <cfRule type="containsText" dxfId="889" priority="6" operator="containsText" text="Pix">
      <formula>NOT(ISERROR(SEARCH("Pix",A36)))</formula>
    </cfRule>
  </conditionalFormatting>
  <conditionalFormatting sqref="A36:B39">
    <cfRule type="containsText" dxfId="888" priority="4" operator="containsText" text="transferencia">
      <formula>NOT(ISERROR(SEARCH("transferencia",A36)))</formula>
    </cfRule>
    <cfRule type="containsText" dxfId="887" priority="5" operator="containsText" text="trasnferência">
      <formula>NOT(ISERROR(SEARCH("trasnferência",A36)))</formula>
    </cfRule>
  </conditionalFormatting>
  <conditionalFormatting sqref="A40:B43">
    <cfRule type="containsText" dxfId="886" priority="3" operator="containsText" text="Pix">
      <formula>NOT(ISERROR(SEARCH("Pix",A40)))</formula>
    </cfRule>
  </conditionalFormatting>
  <conditionalFormatting sqref="A40:B43">
    <cfRule type="containsText" dxfId="885" priority="1" operator="containsText" text="transferencia">
      <formula>NOT(ISERROR(SEARCH("transferencia",A40)))</formula>
    </cfRule>
    <cfRule type="containsText" dxfId="884" priority="2" operator="containsText" text="trasnferência">
      <formula>NOT(ISERROR(SEARCH("trasnferência",A40)))</formula>
    </cfRule>
  </conditionalFormatting>
  <hyperlinks>
    <hyperlink ref="D1" location="dashboard!A1" display="RETONAR AO DASHBOARD" xr:uid="{00000000-0004-0000-0700-000000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E32"/>
  <sheetViews>
    <sheetView workbookViewId="0">
      <selection activeCell="B1" sqref="B1:C1"/>
    </sheetView>
  </sheetViews>
  <sheetFormatPr defaultRowHeight="15"/>
  <cols>
    <col min="1" max="1" width="22.7109375" style="296" customWidth="1"/>
    <col min="2" max="2" width="21.7109375" customWidth="1"/>
    <col min="3" max="3" width="43.7109375" customWidth="1"/>
    <col min="4" max="4" width="22.7109375" style="104" customWidth="1"/>
    <col min="5" max="5" width="22.7109375" customWidth="1"/>
    <col min="7" max="11" width="9.140625" customWidth="1"/>
  </cols>
  <sheetData>
    <row r="1" spans="1:5" ht="18.75">
      <c r="B1" s="609" t="s">
        <v>406</v>
      </c>
      <c r="C1" s="609"/>
    </row>
    <row r="2" spans="1:5" ht="25.5" customHeight="1">
      <c r="A2" s="610" t="s">
        <v>1770</v>
      </c>
      <c r="B2" s="611"/>
      <c r="C2" s="611"/>
      <c r="D2" s="611"/>
      <c r="E2" s="611"/>
    </row>
    <row r="3" spans="1:5">
      <c r="A3" s="382" t="s">
        <v>1059</v>
      </c>
      <c r="B3" s="383" t="s">
        <v>1092</v>
      </c>
      <c r="C3" s="383" t="s">
        <v>776</v>
      </c>
      <c r="D3" s="383" t="s">
        <v>1380</v>
      </c>
      <c r="E3" s="383" t="s">
        <v>2063</v>
      </c>
    </row>
    <row r="4" spans="1:5">
      <c r="A4" s="401" t="s">
        <v>1206</v>
      </c>
      <c r="B4" s="47" t="s">
        <v>1207</v>
      </c>
      <c r="C4" s="47" t="s">
        <v>1888</v>
      </c>
      <c r="D4" s="47" t="s">
        <v>1208</v>
      </c>
      <c r="E4" s="47">
        <v>96722854835</v>
      </c>
    </row>
    <row r="5" spans="1:5">
      <c r="A5" s="401" t="s">
        <v>1210</v>
      </c>
      <c r="B5" s="47" t="s">
        <v>1211</v>
      </c>
      <c r="C5" s="47" t="s">
        <v>2147</v>
      </c>
      <c r="D5" s="47" t="s">
        <v>1209</v>
      </c>
      <c r="E5" s="47"/>
    </row>
    <row r="6" spans="1:5">
      <c r="A6" s="401" t="s">
        <v>1214</v>
      </c>
      <c r="B6" s="47" t="s">
        <v>1215</v>
      </c>
      <c r="C6" s="47" t="s">
        <v>2148</v>
      </c>
      <c r="D6" s="47" t="s">
        <v>1213</v>
      </c>
      <c r="E6" s="47"/>
    </row>
    <row r="7" spans="1:5">
      <c r="A7" s="402" t="s">
        <v>1240</v>
      </c>
      <c r="B7" s="47" t="s">
        <v>1243</v>
      </c>
      <c r="C7" s="47" t="s">
        <v>931</v>
      </c>
      <c r="D7" s="47" t="s">
        <v>1242</v>
      </c>
      <c r="E7" s="47"/>
    </row>
    <row r="8" spans="1:5">
      <c r="A8" s="402" t="s">
        <v>1319</v>
      </c>
      <c r="B8" s="47" t="s">
        <v>1784</v>
      </c>
      <c r="C8" s="47" t="s">
        <v>2146</v>
      </c>
      <c r="D8" s="47" t="s">
        <v>1258</v>
      </c>
      <c r="E8" s="47"/>
    </row>
    <row r="9" spans="1:5">
      <c r="A9" s="402" t="s">
        <v>1263</v>
      </c>
      <c r="B9" s="47" t="s">
        <v>1262</v>
      </c>
      <c r="C9" s="47" t="s">
        <v>1922</v>
      </c>
      <c r="D9" s="47" t="s">
        <v>1264</v>
      </c>
      <c r="E9" s="47">
        <v>33503</v>
      </c>
    </row>
    <row r="10" spans="1:5">
      <c r="A10" s="402" t="s">
        <v>1269</v>
      </c>
      <c r="B10" s="47" t="s">
        <v>1271</v>
      </c>
      <c r="C10" s="47" t="s">
        <v>2149</v>
      </c>
      <c r="D10" s="47" t="s">
        <v>1270</v>
      </c>
      <c r="E10" s="47" t="s">
        <v>1685</v>
      </c>
    </row>
    <row r="11" spans="1:5">
      <c r="A11" s="401" t="s">
        <v>1272</v>
      </c>
      <c r="B11" s="47" t="s">
        <v>1769</v>
      </c>
      <c r="C11" s="47" t="s">
        <v>2150</v>
      </c>
      <c r="D11" s="47" t="s">
        <v>1273</v>
      </c>
      <c r="E11" s="47"/>
    </row>
    <row r="12" spans="1:5">
      <c r="A12" s="419" t="s">
        <v>1316</v>
      </c>
      <c r="B12" s="47" t="s">
        <v>1317</v>
      </c>
      <c r="C12" s="180" t="s">
        <v>2151</v>
      </c>
      <c r="D12" s="47" t="s">
        <v>1772</v>
      </c>
      <c r="E12" s="47" t="s">
        <v>1771</v>
      </c>
    </row>
    <row r="13" spans="1:5">
      <c r="A13" s="401" t="s">
        <v>1354</v>
      </c>
      <c r="B13" s="47" t="s">
        <v>1355</v>
      </c>
      <c r="C13" s="47" t="s">
        <v>2152</v>
      </c>
      <c r="D13" s="47" t="s">
        <v>1773</v>
      </c>
      <c r="E13" s="47" t="s">
        <v>1771</v>
      </c>
    </row>
    <row r="14" spans="1:5">
      <c r="A14" s="402" t="s">
        <v>1522</v>
      </c>
      <c r="B14" s="47" t="s">
        <v>1523</v>
      </c>
      <c r="C14" s="47" t="s">
        <v>1904</v>
      </c>
      <c r="D14" s="47" t="s">
        <v>1524</v>
      </c>
      <c r="E14" s="47"/>
    </row>
    <row r="15" spans="1:5">
      <c r="A15" s="402" t="s">
        <v>1880</v>
      </c>
      <c r="B15" s="47" t="s">
        <v>1882</v>
      </c>
      <c r="C15" s="47" t="s">
        <v>1173</v>
      </c>
      <c r="D15" s="47" t="s">
        <v>1881</v>
      </c>
      <c r="E15" s="47" t="s">
        <v>1771</v>
      </c>
    </row>
    <row r="16" spans="1:5">
      <c r="A16" s="402" t="s">
        <v>2051</v>
      </c>
      <c r="B16" s="47" t="s">
        <v>2050</v>
      </c>
      <c r="C16" s="47" t="s">
        <v>2053</v>
      </c>
      <c r="D16" s="47" t="s">
        <v>2052</v>
      </c>
      <c r="E16" s="47" t="s">
        <v>1771</v>
      </c>
    </row>
    <row r="17" spans="1:5">
      <c r="A17" s="402" t="s">
        <v>2008</v>
      </c>
      <c r="B17" s="47" t="s">
        <v>2010</v>
      </c>
      <c r="C17" s="47" t="s">
        <v>2009</v>
      </c>
      <c r="D17" s="47" t="s">
        <v>2062</v>
      </c>
      <c r="E17" s="47" t="s">
        <v>1771</v>
      </c>
    </row>
    <row r="18" spans="1:5">
      <c r="A18" s="402" t="s">
        <v>2064</v>
      </c>
      <c r="B18" s="47" t="s">
        <v>2065</v>
      </c>
      <c r="C18" s="47" t="s">
        <v>2070</v>
      </c>
      <c r="D18" s="47" t="s">
        <v>2066</v>
      </c>
      <c r="E18" s="47" t="s">
        <v>1771</v>
      </c>
    </row>
    <row r="19" spans="1:5">
      <c r="A19" s="402" t="s">
        <v>2028</v>
      </c>
      <c r="B19" s="47" t="s">
        <v>2027</v>
      </c>
      <c r="C19" s="47" t="s">
        <v>2029</v>
      </c>
      <c r="D19" s="47" t="s">
        <v>2140</v>
      </c>
      <c r="E19" s="47"/>
    </row>
    <row r="20" spans="1:5">
      <c r="A20" s="402" t="s">
        <v>2047</v>
      </c>
      <c r="B20" s="47" t="s">
        <v>2046</v>
      </c>
      <c r="C20" s="47" t="s">
        <v>2048</v>
      </c>
      <c r="D20" s="47" t="s">
        <v>2141</v>
      </c>
      <c r="E20" s="47"/>
    </row>
    <row r="21" spans="1:5">
      <c r="A21" s="402" t="s">
        <v>2072</v>
      </c>
      <c r="B21" s="47" t="s">
        <v>2071</v>
      </c>
      <c r="C21" s="47" t="s">
        <v>2073</v>
      </c>
      <c r="D21" s="47" t="s">
        <v>2142</v>
      </c>
      <c r="E21" s="47"/>
    </row>
    <row r="22" spans="1:5">
      <c r="A22" s="402" t="s">
        <v>1778</v>
      </c>
      <c r="B22" s="47" t="s">
        <v>1777</v>
      </c>
      <c r="C22" s="47" t="s">
        <v>2153</v>
      </c>
      <c r="D22" s="47" t="s">
        <v>2143</v>
      </c>
      <c r="E22" s="47"/>
    </row>
    <row r="23" spans="1:5">
      <c r="A23" s="402" t="s">
        <v>2172</v>
      </c>
      <c r="B23" s="47" t="s">
        <v>2170</v>
      </c>
      <c r="C23" s="47" t="s">
        <v>2171</v>
      </c>
      <c r="D23" s="47" t="s">
        <v>2173</v>
      </c>
      <c r="E23" s="47" t="s">
        <v>2174</v>
      </c>
    </row>
    <row r="24" spans="1:5">
      <c r="A24" s="402" t="s">
        <v>2006</v>
      </c>
      <c r="B24" s="47" t="s">
        <v>2005</v>
      </c>
      <c r="C24" s="47" t="s">
        <v>2007</v>
      </c>
      <c r="D24" s="433" t="s">
        <v>2185</v>
      </c>
      <c r="E24" s="47" t="s">
        <v>2199</v>
      </c>
    </row>
    <row r="25" spans="1:5">
      <c r="A25" s="402" t="s">
        <v>2232</v>
      </c>
      <c r="B25" s="47"/>
      <c r="C25" s="47" t="s">
        <v>2233</v>
      </c>
      <c r="D25" s="47">
        <v>12051946</v>
      </c>
      <c r="E25" s="47" t="s">
        <v>2234</v>
      </c>
    </row>
    <row r="26" spans="1:5" ht="16.5" thickBot="1">
      <c r="A26" s="437" t="s">
        <v>2241</v>
      </c>
      <c r="B26" s="436" t="s">
        <v>2240</v>
      </c>
      <c r="C26" s="438" t="s">
        <v>2242</v>
      </c>
      <c r="D26" s="438" t="s">
        <v>2243</v>
      </c>
      <c r="E26" s="47" t="s">
        <v>2244</v>
      </c>
    </row>
    <row r="27" spans="1:5">
      <c r="A27" s="402"/>
      <c r="B27" s="47"/>
      <c r="C27" s="47"/>
      <c r="D27" s="47"/>
      <c r="E27" s="47"/>
    </row>
    <row r="28" spans="1:5">
      <c r="A28" s="402"/>
      <c r="B28" s="47"/>
      <c r="C28" s="47"/>
      <c r="D28" s="47"/>
      <c r="E28" s="47"/>
    </row>
    <row r="29" spans="1:5">
      <c r="A29" s="402"/>
      <c r="B29" s="47"/>
      <c r="C29" s="47"/>
      <c r="D29" s="47"/>
      <c r="E29" s="47"/>
    </row>
    <row r="30" spans="1:5">
      <c r="A30" s="402"/>
      <c r="B30" s="47"/>
      <c r="C30" s="47"/>
      <c r="D30" s="47"/>
      <c r="E30" s="47"/>
    </row>
    <row r="31" spans="1:5">
      <c r="A31" s="402"/>
      <c r="B31" s="47"/>
      <c r="C31" s="47"/>
      <c r="D31" s="47"/>
      <c r="E31" s="47"/>
    </row>
    <row r="32" spans="1:5">
      <c r="A32" s="402"/>
      <c r="B32" s="47"/>
      <c r="C32" s="47"/>
      <c r="D32" s="47"/>
      <c r="E32" s="47"/>
    </row>
  </sheetData>
  <mergeCells count="2">
    <mergeCell ref="B1:C1"/>
    <mergeCell ref="A2:E2"/>
  </mergeCells>
  <hyperlinks>
    <hyperlink ref="B1:C1" location="dashboard!A1" display="DASHBOARD" xr:uid="{00000000-0004-0000-0800-000000000000}"/>
    <hyperlink ref="D24" r:id="rId1" xr:uid="{3F1374B1-3FDE-4FF5-B567-C24DD26A6E4D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E10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0"/>
  <dimension ref="A1:I30"/>
  <sheetViews>
    <sheetView workbookViewId="0">
      <selection sqref="A1:B1"/>
    </sheetView>
  </sheetViews>
  <sheetFormatPr defaultRowHeight="15"/>
  <cols>
    <col min="1" max="1" width="13.7109375" customWidth="1"/>
    <col min="3" max="3" width="14.28515625" customWidth="1"/>
    <col min="4" max="4" width="18.140625" customWidth="1"/>
    <col min="5" max="5" width="14" customWidth="1"/>
    <col min="6" max="6" width="10.7109375" customWidth="1"/>
    <col min="7" max="7" width="17.28515625" customWidth="1"/>
    <col min="8" max="8" width="15" customWidth="1"/>
  </cols>
  <sheetData>
    <row r="1" spans="1:9" s="308" customFormat="1" ht="20.25" customHeight="1" thickBot="1">
      <c r="A1" s="612" t="s">
        <v>406</v>
      </c>
      <c r="B1" s="612"/>
      <c r="C1" s="306"/>
      <c r="D1" s="307">
        <v>2021</v>
      </c>
      <c r="E1" s="307"/>
      <c r="G1" s="309">
        <v>2022</v>
      </c>
      <c r="I1" s="309">
        <v>2023</v>
      </c>
    </row>
    <row r="3" spans="1:9">
      <c r="A3" s="104"/>
      <c r="B3" s="106"/>
      <c r="F3" s="613" t="s">
        <v>1108</v>
      </c>
      <c r="G3" s="613"/>
      <c r="H3" s="613"/>
      <c r="I3" s="613"/>
    </row>
    <row r="4" spans="1:9">
      <c r="A4" s="104"/>
      <c r="B4" s="106"/>
      <c r="F4" s="613"/>
      <c r="G4" s="613"/>
      <c r="H4" s="613"/>
      <c r="I4" s="613"/>
    </row>
    <row r="5" spans="1:9">
      <c r="A5" s="61">
        <f>SUM(H9:H34)</f>
        <v>300</v>
      </c>
    </row>
    <row r="6" spans="1:9">
      <c r="A6" s="109">
        <v>3780</v>
      </c>
      <c r="G6" s="282" t="s">
        <v>1047</v>
      </c>
      <c r="H6" s="107">
        <f>A6-A5</f>
        <v>3480</v>
      </c>
    </row>
    <row r="7" spans="1:9">
      <c r="C7" s="442" t="s">
        <v>1038</v>
      </c>
      <c r="D7" s="443"/>
      <c r="E7" s="104"/>
      <c r="H7" s="50"/>
    </row>
    <row r="8" spans="1:9">
      <c r="C8" s="47">
        <v>2019</v>
      </c>
      <c r="D8" s="48" t="s">
        <v>998</v>
      </c>
      <c r="E8" s="268"/>
      <c r="G8" s="445" t="s">
        <v>1044</v>
      </c>
      <c r="H8" s="445"/>
    </row>
    <row r="9" spans="1:9">
      <c r="C9" s="47">
        <v>2020</v>
      </c>
      <c r="D9" s="48" t="s">
        <v>998</v>
      </c>
      <c r="E9" s="268"/>
      <c r="G9" s="108">
        <v>45152</v>
      </c>
      <c r="H9" s="109">
        <v>300</v>
      </c>
    </row>
    <row r="10" spans="1:9">
      <c r="C10" s="47">
        <v>2021</v>
      </c>
      <c r="D10" s="48" t="s">
        <v>998</v>
      </c>
      <c r="E10" s="268"/>
      <c r="G10" s="108"/>
      <c r="H10" s="109"/>
    </row>
    <row r="11" spans="1:9">
      <c r="C11" s="47">
        <v>2022</v>
      </c>
      <c r="D11" s="48">
        <v>1200</v>
      </c>
      <c r="E11" s="268"/>
      <c r="G11" s="108"/>
      <c r="H11" s="109"/>
    </row>
    <row r="12" spans="1:9">
      <c r="G12" s="108"/>
      <c r="H12" s="109"/>
    </row>
    <row r="13" spans="1:9">
      <c r="C13" s="101" t="s">
        <v>1041</v>
      </c>
      <c r="D13" s="277">
        <f>SUM(D8:D11)</f>
        <v>1200</v>
      </c>
      <c r="E13" s="310"/>
      <c r="G13" s="108"/>
      <c r="H13" s="109"/>
    </row>
    <row r="14" spans="1:9">
      <c r="C14" s="104"/>
      <c r="D14" s="106"/>
      <c r="E14" s="106"/>
      <c r="G14" s="101"/>
      <c r="H14" s="109"/>
    </row>
    <row r="15" spans="1:9">
      <c r="C15" s="47">
        <v>2023</v>
      </c>
      <c r="D15" s="48" t="s">
        <v>1046</v>
      </c>
      <c r="E15" s="268"/>
      <c r="G15" s="101"/>
      <c r="H15" s="109"/>
    </row>
    <row r="16" spans="1:9">
      <c r="C16" s="47" t="s">
        <v>1008</v>
      </c>
      <c r="D16" s="48">
        <v>215</v>
      </c>
      <c r="E16" s="268">
        <v>1200</v>
      </c>
      <c r="G16" s="101"/>
      <c r="H16" s="109"/>
    </row>
    <row r="17" spans="1:8">
      <c r="C17" s="47" t="s">
        <v>1009</v>
      </c>
      <c r="D17" s="48">
        <v>215</v>
      </c>
      <c r="E17" s="268">
        <v>1415</v>
      </c>
      <c r="G17" s="101"/>
      <c r="H17" s="109"/>
    </row>
    <row r="18" spans="1:8">
      <c r="C18" s="47" t="s">
        <v>1010</v>
      </c>
      <c r="D18" s="48">
        <v>215</v>
      </c>
      <c r="E18" s="268">
        <v>1630</v>
      </c>
      <c r="G18" s="101"/>
      <c r="H18" s="109"/>
    </row>
    <row r="19" spans="1:8">
      <c r="C19" s="47" t="s">
        <v>1011</v>
      </c>
      <c r="D19" s="48">
        <v>215</v>
      </c>
      <c r="E19" s="268">
        <v>1845</v>
      </c>
      <c r="G19" s="101"/>
      <c r="H19" s="109"/>
    </row>
    <row r="20" spans="1:8">
      <c r="C20" s="47" t="s">
        <v>1012</v>
      </c>
      <c r="D20" s="48">
        <v>215</v>
      </c>
      <c r="E20" s="268">
        <v>2060</v>
      </c>
      <c r="G20" s="101"/>
      <c r="H20" s="109"/>
    </row>
    <row r="21" spans="1:8">
      <c r="C21" s="47" t="s">
        <v>882</v>
      </c>
      <c r="D21" s="48">
        <v>215</v>
      </c>
      <c r="E21" s="268">
        <v>2275</v>
      </c>
      <c r="G21" s="101"/>
      <c r="H21" s="109"/>
    </row>
    <row r="22" spans="1:8">
      <c r="C22" s="47" t="s">
        <v>1013</v>
      </c>
      <c r="D22" s="48">
        <v>215</v>
      </c>
      <c r="E22" s="268">
        <v>2490</v>
      </c>
      <c r="G22" s="101"/>
      <c r="H22" s="109"/>
    </row>
    <row r="23" spans="1:8">
      <c r="C23" s="47" t="s">
        <v>1014</v>
      </c>
      <c r="D23" s="48">
        <v>215</v>
      </c>
      <c r="E23" s="268">
        <v>2705</v>
      </c>
      <c r="G23" s="101"/>
      <c r="H23" s="109"/>
    </row>
    <row r="24" spans="1:8">
      <c r="C24" s="281" t="s">
        <v>1015</v>
      </c>
      <c r="D24" s="48">
        <v>215</v>
      </c>
      <c r="E24" s="268">
        <v>2920</v>
      </c>
      <c r="G24" s="101"/>
      <c r="H24" s="109"/>
    </row>
    <row r="25" spans="1:8">
      <c r="C25" s="281" t="s">
        <v>1016</v>
      </c>
      <c r="D25" s="48">
        <v>215</v>
      </c>
      <c r="E25" s="268">
        <v>3135</v>
      </c>
      <c r="G25" s="101"/>
      <c r="H25" s="109"/>
    </row>
    <row r="26" spans="1:8">
      <c r="B26" s="279"/>
      <c r="C26" s="47" t="s">
        <v>1017</v>
      </c>
      <c r="D26" s="48">
        <v>215</v>
      </c>
      <c r="E26" s="268">
        <v>3350</v>
      </c>
      <c r="G26" s="101"/>
      <c r="H26" s="109"/>
    </row>
    <row r="27" spans="1:8">
      <c r="B27" s="279"/>
      <c r="C27" s="47" t="s">
        <v>1018</v>
      </c>
      <c r="D27" s="48">
        <v>215</v>
      </c>
      <c r="E27" s="268">
        <v>3565</v>
      </c>
      <c r="G27" s="101"/>
      <c r="H27" s="109"/>
    </row>
    <row r="28" spans="1:8">
      <c r="B28" s="279"/>
      <c r="C28" s="47" t="s">
        <v>1019</v>
      </c>
      <c r="D28" s="48">
        <v>215</v>
      </c>
      <c r="E28" s="268">
        <v>3780</v>
      </c>
      <c r="G28" s="101"/>
      <c r="H28" s="109"/>
    </row>
    <row r="29" spans="1:8">
      <c r="A29" s="104"/>
      <c r="B29" s="104"/>
      <c r="C29" s="268"/>
      <c r="G29" s="269"/>
    </row>
    <row r="30" spans="1:8">
      <c r="A30" s="104"/>
      <c r="B30" s="104"/>
      <c r="C30" s="268"/>
      <c r="G30" s="269"/>
    </row>
  </sheetData>
  <mergeCells count="4">
    <mergeCell ref="A1:B1"/>
    <mergeCell ref="F3:I4"/>
    <mergeCell ref="C7:D7"/>
    <mergeCell ref="G8:H8"/>
  </mergeCells>
  <hyperlinks>
    <hyperlink ref="A1" location="dashboard!A1" display="RETONAR AO DASHBOARD" xr:uid="{00000000-0004-0000-0900-000000000000}"/>
    <hyperlink ref="G1" location="'2022'!A1" display="'2022'!A1" xr:uid="{00000000-0004-0000-0900-000001000000}"/>
    <hyperlink ref="I1" location="'2023'!A1" display="'2023'!A1" xr:uid="{00000000-0004-0000-0900-000002000000}"/>
    <hyperlink ref="D1" location="'2021'!A1" display="'2021'!A1" xr:uid="{00000000-0004-0000-0900-000003000000}"/>
  </hyperlink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25"/>
  <dimension ref="A1:F64"/>
  <sheetViews>
    <sheetView workbookViewId="0">
      <selection activeCell="E1" sqref="E1:F1"/>
    </sheetView>
  </sheetViews>
  <sheetFormatPr defaultRowHeight="15"/>
  <cols>
    <col min="1" max="1" width="18.7109375" style="228" customWidth="1"/>
    <col min="2" max="2" width="11.42578125" customWidth="1"/>
    <col min="3" max="3" width="38.7109375" customWidth="1"/>
    <col min="4" max="4" width="16.7109375" customWidth="1"/>
  </cols>
  <sheetData>
    <row r="1" spans="1:6" s="142" customFormat="1" ht="30" customHeight="1" thickBot="1">
      <c r="A1" s="322"/>
      <c r="B1" s="615" t="s">
        <v>1162</v>
      </c>
      <c r="C1" s="615"/>
      <c r="D1" s="305"/>
      <c r="E1" s="614" t="s">
        <v>406</v>
      </c>
      <c r="F1" s="614"/>
    </row>
    <row r="2" spans="1:6" ht="23.25">
      <c r="A2" s="325" t="s">
        <v>301</v>
      </c>
      <c r="B2" s="326" t="s">
        <v>1161</v>
      </c>
      <c r="C2" s="326" t="s">
        <v>776</v>
      </c>
      <c r="D2" s="326" t="s">
        <v>1060</v>
      </c>
    </row>
    <row r="3" spans="1:6">
      <c r="A3" s="323"/>
      <c r="B3" s="324"/>
      <c r="C3" s="283"/>
      <c r="D3" s="283"/>
    </row>
    <row r="4" spans="1:6">
      <c r="A4" s="323">
        <v>45177</v>
      </c>
      <c r="B4" s="324">
        <v>0.33333333333333331</v>
      </c>
      <c r="C4" s="283" t="s">
        <v>1170</v>
      </c>
      <c r="D4" s="283"/>
    </row>
    <row r="5" spans="1:6">
      <c r="A5" s="327">
        <v>45173</v>
      </c>
      <c r="B5" s="328">
        <v>0.33333333333333331</v>
      </c>
      <c r="C5" s="329" t="s">
        <v>1101</v>
      </c>
      <c r="D5" s="329"/>
    </row>
    <row r="6" spans="1:6" s="330" customFormat="1">
      <c r="A6" s="327">
        <v>45174</v>
      </c>
      <c r="B6" s="328">
        <v>0.54166666666666663</v>
      </c>
      <c r="C6" s="329" t="s">
        <v>1164</v>
      </c>
      <c r="D6" s="329"/>
    </row>
    <row r="7" spans="1:6">
      <c r="A7" s="323"/>
      <c r="B7" s="324"/>
      <c r="C7" s="283"/>
      <c r="D7" s="283"/>
    </row>
    <row r="8" spans="1:6">
      <c r="A8" s="323"/>
      <c r="B8" s="324"/>
      <c r="C8" s="283"/>
      <c r="D8" s="283"/>
    </row>
    <row r="9" spans="1:6">
      <c r="A9" s="323"/>
      <c r="B9" s="324"/>
      <c r="C9" s="283"/>
      <c r="D9" s="283"/>
    </row>
    <row r="10" spans="1:6">
      <c r="A10" s="323"/>
      <c r="B10" s="324"/>
      <c r="C10" s="283"/>
      <c r="D10" s="283"/>
    </row>
    <row r="11" spans="1:6">
      <c r="A11" s="323"/>
      <c r="B11" s="324"/>
      <c r="C11" s="283"/>
      <c r="D11" s="283"/>
    </row>
    <row r="12" spans="1:6">
      <c r="A12" s="323"/>
      <c r="B12" s="324"/>
      <c r="C12" s="283"/>
      <c r="D12" s="283"/>
    </row>
    <row r="13" spans="1:6">
      <c r="A13" s="108"/>
      <c r="B13" s="101"/>
      <c r="C13" s="101"/>
      <c r="D13" s="101"/>
    </row>
    <row r="14" spans="1:6">
      <c r="A14" s="108"/>
      <c r="B14" s="101"/>
      <c r="C14" s="101"/>
      <c r="D14" s="101"/>
    </row>
    <row r="15" spans="1:6">
      <c r="A15" s="108"/>
      <c r="B15" s="101"/>
      <c r="C15" s="101"/>
      <c r="D15" s="101"/>
    </row>
    <row r="16" spans="1:6">
      <c r="A16" s="108"/>
      <c r="B16" s="101"/>
      <c r="C16" s="101"/>
      <c r="D16" s="101"/>
    </row>
    <row r="17" spans="1:4">
      <c r="A17" s="108"/>
      <c r="B17" s="101"/>
      <c r="C17" s="101"/>
      <c r="D17" s="101"/>
    </row>
    <row r="18" spans="1:4">
      <c r="A18" s="108"/>
      <c r="B18" s="101"/>
      <c r="C18" s="101"/>
      <c r="D18" s="101"/>
    </row>
    <row r="19" spans="1:4">
      <c r="A19" s="108"/>
      <c r="B19" s="101"/>
      <c r="C19" s="101"/>
      <c r="D19" s="101"/>
    </row>
    <row r="20" spans="1:4">
      <c r="A20" s="108"/>
      <c r="B20" s="101"/>
      <c r="C20" s="101"/>
      <c r="D20" s="101"/>
    </row>
    <row r="21" spans="1:4">
      <c r="A21" s="108"/>
      <c r="B21" s="101"/>
      <c r="C21" s="101"/>
      <c r="D21" s="101"/>
    </row>
    <row r="22" spans="1:4">
      <c r="A22" s="108"/>
      <c r="B22" s="101"/>
      <c r="C22" s="101"/>
      <c r="D22" s="101"/>
    </row>
    <row r="23" spans="1:4">
      <c r="A23" s="108"/>
      <c r="B23" s="101"/>
      <c r="C23" s="101"/>
      <c r="D23" s="101"/>
    </row>
    <row r="24" spans="1:4">
      <c r="A24" s="108"/>
      <c r="B24" s="101"/>
      <c r="C24" s="101"/>
      <c r="D24" s="101"/>
    </row>
    <row r="25" spans="1:4">
      <c r="A25" s="108"/>
      <c r="B25" s="101"/>
      <c r="C25" s="101"/>
      <c r="D25" s="101"/>
    </row>
    <row r="26" spans="1:4">
      <c r="A26" s="108"/>
      <c r="B26" s="101"/>
      <c r="C26" s="101"/>
      <c r="D26" s="101"/>
    </row>
    <row r="27" spans="1:4">
      <c r="A27" s="108"/>
      <c r="B27" s="101"/>
      <c r="C27" s="101"/>
      <c r="D27" s="101"/>
    </row>
    <row r="28" spans="1:4">
      <c r="A28" s="108"/>
      <c r="B28" s="101"/>
      <c r="C28" s="101"/>
      <c r="D28" s="101"/>
    </row>
    <row r="29" spans="1:4">
      <c r="A29" s="108"/>
      <c r="B29" s="101"/>
      <c r="C29" s="101"/>
      <c r="D29" s="101"/>
    </row>
    <row r="30" spans="1:4">
      <c r="A30" s="108"/>
      <c r="B30" s="101"/>
      <c r="C30" s="101"/>
      <c r="D30" s="101"/>
    </row>
    <row r="31" spans="1:4">
      <c r="A31" s="108"/>
      <c r="B31" s="101"/>
      <c r="C31" s="101"/>
      <c r="D31" s="101"/>
    </row>
    <row r="32" spans="1:4">
      <c r="A32" s="108"/>
      <c r="B32" s="101"/>
      <c r="C32" s="101"/>
      <c r="D32" s="101"/>
    </row>
    <row r="33" spans="1:4">
      <c r="A33" s="108"/>
      <c r="B33" s="101"/>
      <c r="C33" s="101"/>
      <c r="D33" s="101"/>
    </row>
    <row r="34" spans="1:4">
      <c r="A34" s="108"/>
      <c r="B34" s="101"/>
      <c r="C34" s="101"/>
      <c r="D34" s="101"/>
    </row>
    <row r="35" spans="1:4">
      <c r="A35" s="108"/>
      <c r="B35" s="101"/>
      <c r="C35" s="101"/>
      <c r="D35" s="101"/>
    </row>
    <row r="36" spans="1:4">
      <c r="A36" s="108"/>
      <c r="B36" s="101"/>
      <c r="C36" s="101"/>
      <c r="D36" s="101"/>
    </row>
    <row r="37" spans="1:4">
      <c r="A37" s="108"/>
      <c r="B37" s="101"/>
      <c r="C37" s="101"/>
      <c r="D37" s="101"/>
    </row>
    <row r="38" spans="1:4">
      <c r="A38" s="108"/>
      <c r="B38" s="101"/>
      <c r="C38" s="101"/>
      <c r="D38" s="101"/>
    </row>
    <row r="39" spans="1:4">
      <c r="A39" s="108"/>
      <c r="B39" s="101"/>
      <c r="C39" s="101"/>
      <c r="D39" s="101"/>
    </row>
    <row r="40" spans="1:4">
      <c r="A40" s="108"/>
      <c r="B40" s="101"/>
      <c r="C40" s="101"/>
      <c r="D40" s="101"/>
    </row>
    <row r="41" spans="1:4">
      <c r="A41" s="108"/>
      <c r="B41" s="101"/>
      <c r="C41" s="101"/>
      <c r="D41" s="101"/>
    </row>
    <row r="42" spans="1:4">
      <c r="A42" s="108"/>
      <c r="B42" s="101"/>
      <c r="C42" s="101"/>
      <c r="D42" s="101"/>
    </row>
    <row r="43" spans="1:4">
      <c r="A43" s="108"/>
      <c r="B43" s="101"/>
      <c r="C43" s="101"/>
      <c r="D43" s="101"/>
    </row>
    <row r="44" spans="1:4">
      <c r="A44" s="108"/>
      <c r="B44" s="101"/>
      <c r="C44" s="101"/>
      <c r="D44" s="101"/>
    </row>
    <row r="45" spans="1:4">
      <c r="A45" s="108"/>
      <c r="B45" s="101"/>
      <c r="C45" s="101"/>
      <c r="D45" s="101"/>
    </row>
    <row r="46" spans="1:4">
      <c r="A46" s="108"/>
      <c r="B46" s="101"/>
      <c r="C46" s="101"/>
      <c r="D46" s="101"/>
    </row>
    <row r="47" spans="1:4">
      <c r="A47" s="108"/>
      <c r="B47" s="101"/>
      <c r="C47" s="101"/>
      <c r="D47" s="101"/>
    </row>
    <row r="48" spans="1:4">
      <c r="A48" s="108"/>
      <c r="B48" s="101"/>
      <c r="C48" s="101"/>
      <c r="D48" s="101"/>
    </row>
    <row r="49" spans="1:4">
      <c r="A49" s="108"/>
      <c r="B49" s="101"/>
      <c r="C49" s="101"/>
      <c r="D49" s="101"/>
    </row>
    <row r="50" spans="1:4">
      <c r="A50" s="108"/>
      <c r="B50" s="101"/>
      <c r="C50" s="101"/>
      <c r="D50" s="101"/>
    </row>
    <row r="51" spans="1:4">
      <c r="A51" s="108"/>
      <c r="B51" s="101"/>
      <c r="C51" s="101"/>
      <c r="D51" s="101"/>
    </row>
    <row r="52" spans="1:4">
      <c r="A52" s="108"/>
      <c r="B52" s="101"/>
      <c r="C52" s="101"/>
      <c r="D52" s="101"/>
    </row>
    <row r="53" spans="1:4">
      <c r="A53" s="108"/>
      <c r="B53" s="101"/>
      <c r="C53" s="101"/>
      <c r="D53" s="101"/>
    </row>
    <row r="54" spans="1:4">
      <c r="A54" s="108"/>
      <c r="B54" s="101"/>
      <c r="C54" s="101"/>
      <c r="D54" s="101"/>
    </row>
    <row r="55" spans="1:4">
      <c r="A55" s="108"/>
      <c r="B55" s="101"/>
      <c r="C55" s="101"/>
      <c r="D55" s="101"/>
    </row>
    <row r="56" spans="1:4">
      <c r="A56" s="108"/>
      <c r="B56" s="101"/>
      <c r="C56" s="101"/>
      <c r="D56" s="101"/>
    </row>
    <row r="57" spans="1:4">
      <c r="A57" s="108"/>
      <c r="B57" s="101"/>
      <c r="C57" s="101"/>
      <c r="D57" s="101"/>
    </row>
    <row r="58" spans="1:4">
      <c r="A58" s="108"/>
      <c r="B58" s="101"/>
      <c r="C58" s="101"/>
      <c r="D58" s="101"/>
    </row>
    <row r="59" spans="1:4">
      <c r="A59" s="108"/>
      <c r="B59" s="101"/>
      <c r="C59" s="101"/>
      <c r="D59" s="101"/>
    </row>
    <row r="60" spans="1:4">
      <c r="A60" s="108"/>
      <c r="B60" s="101"/>
      <c r="C60" s="101"/>
      <c r="D60" s="101"/>
    </row>
    <row r="61" spans="1:4">
      <c r="A61" s="108"/>
      <c r="B61" s="101"/>
      <c r="C61" s="101"/>
      <c r="D61" s="101"/>
    </row>
    <row r="62" spans="1:4">
      <c r="A62" s="108"/>
      <c r="B62" s="101"/>
      <c r="C62" s="101"/>
      <c r="D62" s="101"/>
    </row>
    <row r="63" spans="1:4">
      <c r="A63" s="108"/>
      <c r="B63" s="101"/>
      <c r="C63" s="101"/>
      <c r="D63" s="101"/>
    </row>
    <row r="64" spans="1:4">
      <c r="A64" s="108"/>
      <c r="B64" s="101"/>
      <c r="C64" s="101"/>
      <c r="D64" s="101"/>
    </row>
  </sheetData>
  <mergeCells count="2">
    <mergeCell ref="E1:F1"/>
    <mergeCell ref="B1:C1"/>
  </mergeCells>
  <hyperlinks>
    <hyperlink ref="E1:F1" location="dashboard!A1" display="RETONAR AO DASHBOARD" xr:uid="{00000000-0004-0000-0A00-000000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1"/>
  <dimension ref="A1:G272"/>
  <sheetViews>
    <sheetView showGridLines="0" zoomScale="91" zoomScaleNormal="91" workbookViewId="0">
      <pane ySplit="1" topLeftCell="A251" activePane="bottomLeft" state="frozen"/>
      <selection pane="bottomLeft" activeCell="E1" sqref="E1:F1"/>
    </sheetView>
  </sheetViews>
  <sheetFormatPr defaultRowHeight="15"/>
  <cols>
    <col min="1" max="1" width="2.28515625" customWidth="1"/>
    <col min="2" max="2" width="13" customWidth="1"/>
    <col min="3" max="3" width="0.85546875" style="296" customWidth="1"/>
    <col min="4" max="4" width="47" style="228" customWidth="1"/>
    <col min="5" max="6" width="13.5703125" style="50" customWidth="1"/>
    <col min="7" max="7" width="36.7109375" style="304" customWidth="1"/>
    <col min="8" max="12" width="11.140625" customWidth="1"/>
    <col min="13" max="14" width="12.140625" customWidth="1"/>
  </cols>
  <sheetData>
    <row r="1" spans="1:7" s="142" customFormat="1" ht="30" customHeight="1">
      <c r="A1" s="142" t="s">
        <v>1675</v>
      </c>
      <c r="D1" s="305"/>
      <c r="E1" s="616" t="s">
        <v>1006</v>
      </c>
      <c r="F1" s="616"/>
    </row>
    <row r="4" spans="1:7" ht="15" customHeight="1">
      <c r="B4" s="312" t="s">
        <v>131</v>
      </c>
      <c r="D4" s="617" t="s">
        <v>1106</v>
      </c>
      <c r="E4" s="617"/>
      <c r="F4" s="617"/>
      <c r="G4" s="617"/>
    </row>
    <row r="5" spans="1:7" ht="15" customHeight="1">
      <c r="B5" s="618">
        <f>SUM(Tabela74[VALOR])</f>
        <v>289235.49</v>
      </c>
      <c r="C5"/>
      <c r="D5" s="617"/>
      <c r="E5" s="617"/>
      <c r="F5" s="617"/>
      <c r="G5" s="617"/>
    </row>
    <row r="6" spans="1:7" ht="15" customHeight="1">
      <c r="B6" s="619"/>
      <c r="C6"/>
      <c r="D6" s="617"/>
      <c r="E6" s="617"/>
      <c r="F6" s="617"/>
      <c r="G6" s="617"/>
    </row>
    <row r="7" spans="1:7">
      <c r="C7"/>
    </row>
    <row r="8" spans="1:7">
      <c r="C8"/>
      <c r="D8" s="297" t="s">
        <v>776</v>
      </c>
      <c r="E8" s="53" t="s">
        <v>302</v>
      </c>
      <c r="F8" s="53" t="s">
        <v>1174</v>
      </c>
      <c r="G8" s="303" t="s">
        <v>1107</v>
      </c>
    </row>
    <row r="9" spans="1:7">
      <c r="C9"/>
      <c r="D9" s="297" t="s">
        <v>1118</v>
      </c>
      <c r="E9" s="106">
        <v>1200</v>
      </c>
      <c r="F9" s="106" t="s">
        <v>1175</v>
      </c>
      <c r="G9" s="303">
        <v>45152</v>
      </c>
    </row>
    <row r="10" spans="1:7">
      <c r="C10"/>
      <c r="D10" s="297" t="s">
        <v>1119</v>
      </c>
      <c r="E10" s="106">
        <v>550</v>
      </c>
      <c r="F10" s="106" t="s">
        <v>1175</v>
      </c>
      <c r="G10" s="303">
        <v>45152</v>
      </c>
    </row>
    <row r="11" spans="1:7">
      <c r="C11"/>
      <c r="D11" s="297" t="s">
        <v>130</v>
      </c>
      <c r="E11" s="106">
        <v>240</v>
      </c>
      <c r="F11" s="106" t="s">
        <v>1175</v>
      </c>
      <c r="G11" s="303">
        <v>45154</v>
      </c>
    </row>
    <row r="12" spans="1:7">
      <c r="C12"/>
      <c r="D12" s="297" t="s">
        <v>1133</v>
      </c>
      <c r="E12" s="106">
        <v>60.26</v>
      </c>
      <c r="F12" s="106" t="s">
        <v>1175</v>
      </c>
      <c r="G12" s="303">
        <v>45154</v>
      </c>
    </row>
    <row r="13" spans="1:7">
      <c r="C13"/>
      <c r="D13" s="297" t="s">
        <v>780</v>
      </c>
      <c r="E13" s="106">
        <v>350</v>
      </c>
      <c r="F13" s="106" t="s">
        <v>1175</v>
      </c>
      <c r="G13" s="303">
        <v>45159</v>
      </c>
    </row>
    <row r="14" spans="1:7">
      <c r="C14"/>
      <c r="D14" s="297" t="s">
        <v>189</v>
      </c>
      <c r="E14" s="106">
        <v>415</v>
      </c>
      <c r="F14" s="106" t="s">
        <v>1175</v>
      </c>
      <c r="G14" s="303">
        <v>45159</v>
      </c>
    </row>
    <row r="15" spans="1:7">
      <c r="C15"/>
      <c r="D15" s="297" t="s">
        <v>1145</v>
      </c>
      <c r="E15" s="106">
        <v>984</v>
      </c>
      <c r="F15" s="106" t="s">
        <v>1175</v>
      </c>
      <c r="G15" s="303">
        <v>45162</v>
      </c>
    </row>
    <row r="16" spans="1:7">
      <c r="C16"/>
      <c r="D16" s="297" t="s">
        <v>1158</v>
      </c>
      <c r="E16" s="106">
        <v>300</v>
      </c>
      <c r="F16" s="106" t="s">
        <v>1175</v>
      </c>
      <c r="G16" s="303">
        <v>45168</v>
      </c>
    </row>
    <row r="17" spans="3:7">
      <c r="C17"/>
      <c r="D17" s="297" t="s">
        <v>1118</v>
      </c>
      <c r="E17" s="106">
        <v>1100</v>
      </c>
      <c r="F17" s="106" t="s">
        <v>1175</v>
      </c>
      <c r="G17" s="303">
        <v>45170</v>
      </c>
    </row>
    <row r="18" spans="3:7">
      <c r="C18"/>
      <c r="D18" s="297" t="s">
        <v>941</v>
      </c>
      <c r="E18" s="106">
        <v>690</v>
      </c>
      <c r="F18" s="106" t="s">
        <v>1175</v>
      </c>
      <c r="G18" s="303">
        <v>45170</v>
      </c>
    </row>
    <row r="19" spans="3:7">
      <c r="C19"/>
      <c r="D19" s="297" t="s">
        <v>1163</v>
      </c>
      <c r="E19" s="106">
        <v>120</v>
      </c>
      <c r="F19" s="106" t="s">
        <v>1175</v>
      </c>
      <c r="G19" s="303">
        <v>45170</v>
      </c>
    </row>
    <row r="20" spans="3:7">
      <c r="C20"/>
      <c r="D20" s="297" t="s">
        <v>1169</v>
      </c>
      <c r="E20" s="106">
        <v>558</v>
      </c>
      <c r="F20" s="106" t="s">
        <v>1175</v>
      </c>
      <c r="G20" s="303">
        <v>45175</v>
      </c>
    </row>
    <row r="21" spans="3:7">
      <c r="C21"/>
      <c r="D21" s="297" t="s">
        <v>1274</v>
      </c>
      <c r="E21" s="106">
        <v>239.74</v>
      </c>
      <c r="F21" s="106" t="s">
        <v>1175</v>
      </c>
      <c r="G21" s="303">
        <v>45175</v>
      </c>
    </row>
    <row r="22" spans="3:7">
      <c r="C22"/>
      <c r="D22" s="297"/>
      <c r="E22" s="106">
        <v>1000</v>
      </c>
      <c r="F22" s="106" t="s">
        <v>1176</v>
      </c>
      <c r="G22" s="303">
        <v>45181</v>
      </c>
    </row>
    <row r="23" spans="3:7">
      <c r="D23" s="297" t="s">
        <v>1180</v>
      </c>
      <c r="E23" s="106">
        <v>340</v>
      </c>
      <c r="F23" s="106" t="s">
        <v>1175</v>
      </c>
      <c r="G23" s="303">
        <v>45183</v>
      </c>
    </row>
    <row r="24" spans="3:7">
      <c r="D24" s="297" t="s">
        <v>780</v>
      </c>
      <c r="E24" s="106">
        <v>1150</v>
      </c>
      <c r="F24" s="106" t="s">
        <v>1175</v>
      </c>
      <c r="G24" s="303">
        <v>45183</v>
      </c>
    </row>
    <row r="25" spans="3:7">
      <c r="D25" s="297" t="s">
        <v>1119</v>
      </c>
      <c r="E25" s="106">
        <v>550</v>
      </c>
      <c r="F25" s="106" t="s">
        <v>1175</v>
      </c>
      <c r="G25" s="303">
        <v>45184</v>
      </c>
    </row>
    <row r="26" spans="3:7">
      <c r="D26" s="297" t="s">
        <v>134</v>
      </c>
      <c r="E26" s="106">
        <v>1300</v>
      </c>
      <c r="F26" s="106" t="s">
        <v>1175</v>
      </c>
      <c r="G26" s="303">
        <v>45184</v>
      </c>
    </row>
    <row r="27" spans="3:7">
      <c r="D27" s="297" t="s">
        <v>189</v>
      </c>
      <c r="E27" s="106">
        <v>415</v>
      </c>
      <c r="F27" s="106" t="s">
        <v>1175</v>
      </c>
      <c r="G27" s="303">
        <v>45190</v>
      </c>
    </row>
    <row r="28" spans="3:7">
      <c r="D28" s="297" t="s">
        <v>1190</v>
      </c>
      <c r="E28" s="106">
        <v>3450</v>
      </c>
      <c r="F28" s="106" t="s">
        <v>1175</v>
      </c>
      <c r="G28" s="303">
        <v>45190</v>
      </c>
    </row>
    <row r="29" spans="3:7">
      <c r="D29" s="297" t="s">
        <v>652</v>
      </c>
      <c r="E29" s="106">
        <v>2355</v>
      </c>
      <c r="F29" s="106" t="s">
        <v>1175</v>
      </c>
      <c r="G29" s="303">
        <v>45202</v>
      </c>
    </row>
    <row r="30" spans="3:7">
      <c r="D30" s="297" t="s">
        <v>1195</v>
      </c>
      <c r="E30" s="106">
        <v>250</v>
      </c>
      <c r="F30" s="106" t="s">
        <v>1175</v>
      </c>
      <c r="G30" s="303">
        <v>45202</v>
      </c>
    </row>
    <row r="31" spans="3:7">
      <c r="D31" s="297" t="s">
        <v>1196</v>
      </c>
      <c r="E31" s="106">
        <v>120</v>
      </c>
      <c r="F31" s="106" t="s">
        <v>1175</v>
      </c>
      <c r="G31" s="303">
        <v>45203</v>
      </c>
    </row>
    <row r="32" spans="3:7">
      <c r="D32" s="297" t="s">
        <v>941</v>
      </c>
      <c r="E32" s="106">
        <v>690</v>
      </c>
      <c r="F32" s="106" t="s">
        <v>1175</v>
      </c>
      <c r="G32" s="303">
        <v>45204</v>
      </c>
    </row>
    <row r="33" spans="4:7">
      <c r="D33" s="297" t="s">
        <v>1118</v>
      </c>
      <c r="E33" s="106">
        <v>1100</v>
      </c>
      <c r="F33" s="106" t="s">
        <v>1175</v>
      </c>
      <c r="G33" s="303">
        <v>45204</v>
      </c>
    </row>
    <row r="34" spans="4:7">
      <c r="D34" s="297" t="s">
        <v>1169</v>
      </c>
      <c r="E34" s="106">
        <v>567</v>
      </c>
      <c r="F34" s="106" t="s">
        <v>1175</v>
      </c>
      <c r="G34" s="303">
        <v>45205</v>
      </c>
    </row>
    <row r="35" spans="4:7">
      <c r="D35" s="297" t="s">
        <v>1180</v>
      </c>
      <c r="E35" s="106">
        <v>240</v>
      </c>
      <c r="F35" s="106" t="s">
        <v>1175</v>
      </c>
      <c r="G35" s="303">
        <v>45210</v>
      </c>
    </row>
    <row r="36" spans="4:7">
      <c r="D36" s="297" t="s">
        <v>1119</v>
      </c>
      <c r="E36" s="106">
        <v>550</v>
      </c>
      <c r="F36" s="106" t="s">
        <v>1175</v>
      </c>
      <c r="G36" s="303">
        <v>45215</v>
      </c>
    </row>
    <row r="37" spans="4:7">
      <c r="D37" s="297" t="s">
        <v>1118</v>
      </c>
      <c r="E37" s="106">
        <v>1200</v>
      </c>
      <c r="F37" s="106" t="s">
        <v>1175</v>
      </c>
      <c r="G37" s="303">
        <v>45229</v>
      </c>
    </row>
    <row r="38" spans="4:7">
      <c r="D38" s="297" t="s">
        <v>941</v>
      </c>
      <c r="E38" s="106">
        <v>690</v>
      </c>
      <c r="F38" s="106" t="s">
        <v>1175</v>
      </c>
      <c r="G38" s="303">
        <v>45229</v>
      </c>
    </row>
    <row r="39" spans="4:7">
      <c r="D39" s="297" t="s">
        <v>1274</v>
      </c>
      <c r="E39" s="106">
        <v>300</v>
      </c>
      <c r="F39" s="106" t="s">
        <v>1175</v>
      </c>
      <c r="G39" s="303">
        <v>45233</v>
      </c>
    </row>
    <row r="40" spans="4:7">
      <c r="D40" s="297" t="s">
        <v>1244</v>
      </c>
      <c r="E40" s="106">
        <v>2942</v>
      </c>
      <c r="F40" s="106" t="s">
        <v>1176</v>
      </c>
      <c r="G40" s="303">
        <v>45239</v>
      </c>
    </row>
    <row r="41" spans="4:7">
      <c r="D41" s="297" t="s">
        <v>1245</v>
      </c>
      <c r="E41" s="106">
        <v>4050</v>
      </c>
      <c r="F41" s="106" t="s">
        <v>1176</v>
      </c>
      <c r="G41" s="303">
        <v>45239</v>
      </c>
    </row>
    <row r="42" spans="4:7">
      <c r="D42" s="297" t="s">
        <v>1169</v>
      </c>
      <c r="E42" s="106">
        <v>588</v>
      </c>
      <c r="F42" s="106" t="s">
        <v>1175</v>
      </c>
      <c r="G42" s="303">
        <v>45239</v>
      </c>
    </row>
    <row r="43" spans="4:7">
      <c r="D43" s="297" t="s">
        <v>1119</v>
      </c>
      <c r="E43" s="106">
        <v>550</v>
      </c>
      <c r="F43" s="106" t="s">
        <v>1175</v>
      </c>
      <c r="G43" s="303">
        <v>45247</v>
      </c>
    </row>
    <row r="44" spans="4:7">
      <c r="D44" s="297" t="s">
        <v>780</v>
      </c>
      <c r="E44" s="106">
        <v>350</v>
      </c>
      <c r="F44" s="106" t="s">
        <v>1175</v>
      </c>
      <c r="G44" s="303">
        <v>45258</v>
      </c>
    </row>
    <row r="45" spans="4:7">
      <c r="D45" s="297" t="s">
        <v>1180</v>
      </c>
      <c r="E45" s="106">
        <v>240</v>
      </c>
      <c r="F45" s="106" t="s">
        <v>1175</v>
      </c>
      <c r="G45" s="303">
        <v>45258</v>
      </c>
    </row>
    <row r="46" spans="4:7">
      <c r="D46" s="297" t="s">
        <v>1259</v>
      </c>
      <c r="E46" s="106">
        <v>800</v>
      </c>
      <c r="F46" s="106" t="s">
        <v>1175</v>
      </c>
      <c r="G46" s="303">
        <v>45258</v>
      </c>
    </row>
    <row r="47" spans="4:7">
      <c r="D47" s="297" t="s">
        <v>941</v>
      </c>
      <c r="E47" s="106">
        <v>690</v>
      </c>
      <c r="F47" s="106" t="s">
        <v>1175</v>
      </c>
      <c r="G47" s="303">
        <v>45260</v>
      </c>
    </row>
    <row r="48" spans="4:7">
      <c r="D48" s="297" t="s">
        <v>1118</v>
      </c>
      <c r="E48" s="106">
        <v>1200</v>
      </c>
      <c r="F48" s="106" t="s">
        <v>1175</v>
      </c>
      <c r="G48" s="303">
        <v>45260</v>
      </c>
    </row>
    <row r="49" spans="4:7">
      <c r="D49" s="297" t="s">
        <v>1260</v>
      </c>
      <c r="E49" s="106">
        <v>930</v>
      </c>
      <c r="F49" s="106" t="s">
        <v>1175</v>
      </c>
      <c r="G49" s="303">
        <v>45260</v>
      </c>
    </row>
    <row r="50" spans="4:7">
      <c r="D50" s="297" t="s">
        <v>1261</v>
      </c>
      <c r="E50" s="106">
        <v>350</v>
      </c>
      <c r="F50" s="106" t="s">
        <v>1175</v>
      </c>
      <c r="G50" s="303">
        <v>45261</v>
      </c>
    </row>
    <row r="51" spans="4:7">
      <c r="D51" s="297" t="s">
        <v>1169</v>
      </c>
      <c r="E51" s="106">
        <v>724</v>
      </c>
      <c r="F51" s="106" t="s">
        <v>1175</v>
      </c>
      <c r="G51" s="303"/>
    </row>
    <row r="52" spans="4:7">
      <c r="D52" s="297" t="s">
        <v>324</v>
      </c>
      <c r="E52" s="106">
        <v>4743.29</v>
      </c>
      <c r="F52" s="106" t="s">
        <v>1175</v>
      </c>
      <c r="G52" s="303"/>
    </row>
    <row r="53" spans="4:7">
      <c r="D53" s="297" t="s">
        <v>1274</v>
      </c>
      <c r="E53" s="106">
        <v>300</v>
      </c>
      <c r="F53" s="106" t="s">
        <v>1175</v>
      </c>
      <c r="G53" s="303">
        <v>45280</v>
      </c>
    </row>
    <row r="54" spans="4:7">
      <c r="D54" s="297" t="s">
        <v>189</v>
      </c>
      <c r="E54" s="106">
        <v>830</v>
      </c>
      <c r="F54" s="106" t="s">
        <v>1175</v>
      </c>
      <c r="G54" s="303">
        <v>45280</v>
      </c>
    </row>
    <row r="55" spans="4:7">
      <c r="D55" s="297" t="s">
        <v>1119</v>
      </c>
      <c r="E55" s="106">
        <v>550</v>
      </c>
      <c r="F55" s="106" t="s">
        <v>1175</v>
      </c>
      <c r="G55" s="303">
        <v>45280</v>
      </c>
    </row>
    <row r="56" spans="4:7">
      <c r="D56" s="297" t="s">
        <v>1259</v>
      </c>
      <c r="E56" s="106">
        <v>800</v>
      </c>
      <c r="F56" s="106" t="s">
        <v>1175</v>
      </c>
      <c r="G56" s="303">
        <v>45280</v>
      </c>
    </row>
    <row r="57" spans="4:7">
      <c r="D57" s="297" t="s">
        <v>134</v>
      </c>
      <c r="E57" s="106">
        <v>2620</v>
      </c>
      <c r="F57" s="106" t="s">
        <v>1175</v>
      </c>
      <c r="G57" s="303">
        <v>45280</v>
      </c>
    </row>
    <row r="58" spans="4:7">
      <c r="D58" s="297" t="s">
        <v>324</v>
      </c>
      <c r="E58" s="106">
        <v>789</v>
      </c>
      <c r="F58" s="106" t="s">
        <v>1175</v>
      </c>
      <c r="G58" s="303">
        <v>45282</v>
      </c>
    </row>
    <row r="59" spans="4:7">
      <c r="D59" s="297" t="s">
        <v>1275</v>
      </c>
      <c r="E59" s="106">
        <v>1170</v>
      </c>
      <c r="F59" s="106" t="s">
        <v>1175</v>
      </c>
      <c r="G59" s="303">
        <v>45282</v>
      </c>
    </row>
    <row r="60" spans="4:7">
      <c r="D60" s="297" t="s">
        <v>780</v>
      </c>
      <c r="E60" s="106">
        <v>700</v>
      </c>
      <c r="F60" s="106" t="s">
        <v>1175</v>
      </c>
      <c r="G60" s="303">
        <v>45282</v>
      </c>
    </row>
    <row r="61" spans="4:7">
      <c r="D61" s="297" t="s">
        <v>1276</v>
      </c>
      <c r="E61" s="106">
        <v>855.75</v>
      </c>
      <c r="F61" s="106" t="s">
        <v>1175</v>
      </c>
      <c r="G61" s="303">
        <v>45286</v>
      </c>
    </row>
    <row r="62" spans="4:7">
      <c r="D62" s="297" t="s">
        <v>1119</v>
      </c>
      <c r="E62" s="106">
        <v>550</v>
      </c>
      <c r="F62" s="106" t="s">
        <v>1175</v>
      </c>
      <c r="G62" s="303">
        <v>45286</v>
      </c>
    </row>
    <row r="63" spans="4:7">
      <c r="D63" s="297" t="s">
        <v>1280</v>
      </c>
      <c r="E63" s="106">
        <v>229</v>
      </c>
      <c r="F63" s="106" t="s">
        <v>1175</v>
      </c>
      <c r="G63" s="303">
        <v>45288</v>
      </c>
    </row>
    <row r="64" spans="4:7">
      <c r="D64" s="297" t="s">
        <v>941</v>
      </c>
      <c r="E64" s="106">
        <v>1380</v>
      </c>
      <c r="F64" s="106" t="s">
        <v>1175</v>
      </c>
      <c r="G64" s="303">
        <v>45289</v>
      </c>
    </row>
    <row r="65" spans="4:7">
      <c r="D65" s="297" t="s">
        <v>1169</v>
      </c>
      <c r="E65" s="106">
        <v>836.1</v>
      </c>
      <c r="F65" s="106" t="s">
        <v>1175</v>
      </c>
      <c r="G65" s="303">
        <v>45296</v>
      </c>
    </row>
    <row r="66" spans="4:7">
      <c r="D66" s="297" t="s">
        <v>1274</v>
      </c>
      <c r="E66" s="106">
        <v>300</v>
      </c>
      <c r="F66" s="106" t="s">
        <v>1175</v>
      </c>
      <c r="G66" s="303">
        <v>45296</v>
      </c>
    </row>
    <row r="67" spans="4:7">
      <c r="D67" s="297" t="s">
        <v>1180</v>
      </c>
      <c r="E67" s="106">
        <v>240</v>
      </c>
      <c r="F67" s="106" t="s">
        <v>1175</v>
      </c>
      <c r="G67" s="303">
        <v>45302</v>
      </c>
    </row>
    <row r="68" spans="4:7">
      <c r="D68" s="297" t="s">
        <v>42</v>
      </c>
      <c r="E68" s="106">
        <v>6900</v>
      </c>
      <c r="F68" s="106" t="s">
        <v>1175</v>
      </c>
      <c r="G68" s="303">
        <v>45303</v>
      </c>
    </row>
    <row r="69" spans="4:7">
      <c r="D69" s="297" t="s">
        <v>1309</v>
      </c>
      <c r="E69" s="106">
        <v>1053</v>
      </c>
      <c r="F69" s="106" t="s">
        <v>1175</v>
      </c>
      <c r="G69" s="303">
        <v>45306</v>
      </c>
    </row>
    <row r="70" spans="4:7">
      <c r="D70" s="297" t="s">
        <v>1310</v>
      </c>
      <c r="E70" s="106">
        <v>707</v>
      </c>
      <c r="F70" s="106" t="s">
        <v>1175</v>
      </c>
      <c r="G70" s="303">
        <v>45306</v>
      </c>
    </row>
    <row r="71" spans="4:7">
      <c r="D71" s="297" t="s">
        <v>1315</v>
      </c>
      <c r="E71" s="106">
        <v>3640</v>
      </c>
      <c r="F71" s="106" t="s">
        <v>1175</v>
      </c>
      <c r="G71" s="303">
        <v>45314</v>
      </c>
    </row>
    <row r="72" spans="4:7">
      <c r="D72" s="297" t="s">
        <v>1276</v>
      </c>
      <c r="E72" s="106">
        <v>930</v>
      </c>
      <c r="F72" s="106" t="s">
        <v>1175</v>
      </c>
      <c r="G72" s="303">
        <v>45314</v>
      </c>
    </row>
    <row r="73" spans="4:7">
      <c r="D73" s="297" t="s">
        <v>189</v>
      </c>
      <c r="E73" s="106">
        <v>415</v>
      </c>
      <c r="F73" s="106" t="s">
        <v>1175</v>
      </c>
      <c r="G73" s="303">
        <v>45314</v>
      </c>
    </row>
    <row r="74" spans="4:7">
      <c r="D74" s="297" t="s">
        <v>1244</v>
      </c>
      <c r="E74" s="106">
        <v>2942</v>
      </c>
      <c r="F74" s="106" t="s">
        <v>1175</v>
      </c>
      <c r="G74" s="303">
        <v>45314</v>
      </c>
    </row>
    <row r="75" spans="4:7">
      <c r="D75" s="297" t="s">
        <v>1245</v>
      </c>
      <c r="E75" s="106">
        <v>3960</v>
      </c>
      <c r="F75" s="106" t="s">
        <v>1175</v>
      </c>
      <c r="G75" s="303">
        <v>45314</v>
      </c>
    </row>
    <row r="76" spans="4:7">
      <c r="D76" s="297" t="s">
        <v>324</v>
      </c>
      <c r="E76" s="106">
        <v>3450</v>
      </c>
      <c r="F76" s="106" t="s">
        <v>1175</v>
      </c>
      <c r="G76" s="303">
        <v>45317</v>
      </c>
    </row>
    <row r="77" spans="4:7">
      <c r="D77" s="297" t="s">
        <v>780</v>
      </c>
      <c r="E77" s="106">
        <v>350</v>
      </c>
      <c r="F77" s="106" t="s">
        <v>1175</v>
      </c>
      <c r="G77" s="303">
        <v>45323</v>
      </c>
    </row>
    <row r="78" spans="4:7">
      <c r="D78" s="297" t="s">
        <v>941</v>
      </c>
      <c r="E78" s="106">
        <v>690</v>
      </c>
      <c r="F78" s="106" t="s">
        <v>1175</v>
      </c>
      <c r="G78" s="303">
        <v>45327</v>
      </c>
    </row>
    <row r="79" spans="4:7">
      <c r="D79" s="297" t="s">
        <v>1118</v>
      </c>
      <c r="E79" s="106">
        <v>1200</v>
      </c>
      <c r="F79" s="106" t="s">
        <v>1175</v>
      </c>
      <c r="G79" s="303">
        <v>45327</v>
      </c>
    </row>
    <row r="80" spans="4:7">
      <c r="D80" s="297" t="s">
        <v>1274</v>
      </c>
      <c r="E80" s="106">
        <v>300</v>
      </c>
      <c r="F80" s="106" t="s">
        <v>1175</v>
      </c>
      <c r="G80" s="303">
        <v>45327</v>
      </c>
    </row>
    <row r="81" spans="4:7">
      <c r="D81" s="297" t="s">
        <v>1276</v>
      </c>
      <c r="E81" s="106">
        <v>1395</v>
      </c>
      <c r="F81" s="106" t="s">
        <v>1175</v>
      </c>
      <c r="G81" s="303">
        <v>45343</v>
      </c>
    </row>
    <row r="82" spans="4:7">
      <c r="D82" s="297" t="s">
        <v>941</v>
      </c>
      <c r="E82" s="106">
        <v>690</v>
      </c>
      <c r="F82" s="106" t="s">
        <v>1175</v>
      </c>
      <c r="G82" s="303">
        <v>45350</v>
      </c>
    </row>
    <row r="83" spans="4:7">
      <c r="D83" s="297" t="s">
        <v>140</v>
      </c>
      <c r="E83" s="106">
        <v>350</v>
      </c>
      <c r="F83" s="106" t="s">
        <v>1175</v>
      </c>
      <c r="G83" s="303">
        <v>45351</v>
      </c>
    </row>
    <row r="84" spans="4:7">
      <c r="D84" s="297" t="s">
        <v>1169</v>
      </c>
      <c r="E84" s="106">
        <v>650</v>
      </c>
      <c r="F84" s="106" t="s">
        <v>1175</v>
      </c>
      <c r="G84" s="303">
        <v>45358</v>
      </c>
    </row>
    <row r="85" spans="4:7">
      <c r="D85" s="297" t="s">
        <v>1260</v>
      </c>
      <c r="E85" s="106">
        <v>995</v>
      </c>
      <c r="F85" s="106" t="s">
        <v>1175</v>
      </c>
      <c r="G85" s="303">
        <v>45365</v>
      </c>
    </row>
    <row r="86" spans="4:7">
      <c r="D86" s="297"/>
      <c r="E86" s="106"/>
      <c r="F86" s="106"/>
      <c r="G86" s="303"/>
    </row>
    <row r="87" spans="4:7">
      <c r="D87" s="297" t="s">
        <v>1464</v>
      </c>
      <c r="E87" s="106">
        <v>260</v>
      </c>
      <c r="F87" s="106" t="s">
        <v>1175</v>
      </c>
      <c r="G87" s="303">
        <v>45385</v>
      </c>
    </row>
    <row r="88" spans="4:7">
      <c r="D88" s="297" t="s">
        <v>1259</v>
      </c>
      <c r="E88" s="106">
        <v>850</v>
      </c>
      <c r="F88" s="106" t="s">
        <v>1175</v>
      </c>
      <c r="G88" s="303">
        <v>45387</v>
      </c>
    </row>
    <row r="89" spans="4:7">
      <c r="D89" s="297" t="s">
        <v>1482</v>
      </c>
      <c r="E89" s="106">
        <v>1170</v>
      </c>
      <c r="F89" s="106" t="s">
        <v>1175</v>
      </c>
      <c r="G89" s="303">
        <v>45387</v>
      </c>
    </row>
    <row r="90" spans="4:7">
      <c r="D90" s="297" t="s">
        <v>1483</v>
      </c>
      <c r="E90" s="106">
        <v>200</v>
      </c>
      <c r="F90" s="106" t="s">
        <v>1175</v>
      </c>
      <c r="G90" s="303">
        <v>45387</v>
      </c>
    </row>
    <row r="91" spans="4:7">
      <c r="D91" s="297" t="s">
        <v>1245</v>
      </c>
      <c r="E91" s="106">
        <v>2942</v>
      </c>
      <c r="F91" s="106" t="s">
        <v>1175</v>
      </c>
      <c r="G91" s="303">
        <v>45394</v>
      </c>
    </row>
    <row r="92" spans="4:7">
      <c r="D92" s="297" t="s">
        <v>1245</v>
      </c>
      <c r="E92" s="106">
        <v>3960</v>
      </c>
      <c r="F92" s="106" t="s">
        <v>1175</v>
      </c>
      <c r="G92" s="303">
        <v>45394</v>
      </c>
    </row>
    <row r="93" spans="4:7">
      <c r="D93" s="297" t="s">
        <v>1276</v>
      </c>
      <c r="E93" s="106">
        <v>995</v>
      </c>
      <c r="F93" s="106" t="s">
        <v>1175</v>
      </c>
      <c r="G93" s="303">
        <v>45411</v>
      </c>
    </row>
    <row r="94" spans="4:7">
      <c r="D94" s="297" t="s">
        <v>780</v>
      </c>
      <c r="E94" s="106">
        <v>350</v>
      </c>
      <c r="F94" s="106" t="s">
        <v>1175</v>
      </c>
      <c r="G94" s="303">
        <v>45411</v>
      </c>
    </row>
    <row r="95" spans="4:7">
      <c r="D95" s="297" t="s">
        <v>1274</v>
      </c>
      <c r="E95" s="106">
        <v>300</v>
      </c>
      <c r="F95" s="106" t="s">
        <v>1175</v>
      </c>
      <c r="G95" s="303">
        <v>45411</v>
      </c>
    </row>
    <row r="96" spans="4:7">
      <c r="D96" s="297" t="s">
        <v>1504</v>
      </c>
      <c r="E96" s="106">
        <v>900</v>
      </c>
      <c r="F96" s="106" t="s">
        <v>1175</v>
      </c>
      <c r="G96" s="303">
        <v>45411</v>
      </c>
    </row>
    <row r="97" spans="4:7">
      <c r="D97" s="297" t="s">
        <v>189</v>
      </c>
      <c r="E97" s="106">
        <v>450</v>
      </c>
      <c r="F97" s="106" t="s">
        <v>1175</v>
      </c>
      <c r="G97" s="303">
        <v>45411</v>
      </c>
    </row>
    <row r="98" spans="4:7">
      <c r="D98" s="297" t="s">
        <v>1310</v>
      </c>
      <c r="E98" s="106">
        <v>544</v>
      </c>
      <c r="F98" s="106" t="s">
        <v>1175</v>
      </c>
      <c r="G98" s="303">
        <v>45415</v>
      </c>
    </row>
    <row r="99" spans="4:7">
      <c r="D99" s="297" t="s">
        <v>134</v>
      </c>
      <c r="E99" s="106">
        <v>2115</v>
      </c>
      <c r="F99" s="106" t="s">
        <v>1175</v>
      </c>
      <c r="G99" s="303">
        <v>45429</v>
      </c>
    </row>
    <row r="100" spans="4:7">
      <c r="D100" s="297" t="s">
        <v>1260</v>
      </c>
      <c r="E100" s="106">
        <v>995</v>
      </c>
      <c r="F100" s="106" t="s">
        <v>1175</v>
      </c>
      <c r="G100" s="303">
        <v>45429</v>
      </c>
    </row>
    <row r="101" spans="4:7">
      <c r="D101" s="297" t="s">
        <v>189</v>
      </c>
      <c r="E101" s="106">
        <v>450</v>
      </c>
      <c r="F101" s="106" t="s">
        <v>1175</v>
      </c>
      <c r="G101" s="303">
        <v>45432</v>
      </c>
    </row>
    <row r="102" spans="4:7">
      <c r="D102" s="297" t="s">
        <v>1274</v>
      </c>
      <c r="E102" s="106">
        <v>600</v>
      </c>
      <c r="F102" s="106" t="s">
        <v>1175</v>
      </c>
      <c r="G102" s="303">
        <v>45432</v>
      </c>
    </row>
    <row r="103" spans="4:7">
      <c r="D103" s="297" t="s">
        <v>780</v>
      </c>
      <c r="E103" s="106">
        <v>350</v>
      </c>
      <c r="F103" s="106" t="s">
        <v>1175</v>
      </c>
      <c r="G103" s="303">
        <v>45447</v>
      </c>
    </row>
    <row r="104" spans="4:7">
      <c r="D104" s="297" t="s">
        <v>1169</v>
      </c>
      <c r="E104" s="106">
        <v>623.29</v>
      </c>
      <c r="F104" s="106" t="s">
        <v>1175</v>
      </c>
      <c r="G104" s="303">
        <v>45449</v>
      </c>
    </row>
    <row r="105" spans="4:7">
      <c r="D105" s="297" t="s">
        <v>1310</v>
      </c>
      <c r="E105" s="106">
        <v>449</v>
      </c>
      <c r="F105" s="106" t="s">
        <v>1175</v>
      </c>
      <c r="G105" s="303">
        <v>45449</v>
      </c>
    </row>
    <row r="106" spans="4:7">
      <c r="D106" s="297" t="s">
        <v>893</v>
      </c>
      <c r="E106" s="106">
        <v>889</v>
      </c>
      <c r="F106" s="106" t="s">
        <v>1175</v>
      </c>
      <c r="G106" s="303">
        <v>45449</v>
      </c>
    </row>
    <row r="107" spans="4:7">
      <c r="D107" s="297" t="s">
        <v>1180</v>
      </c>
      <c r="E107" s="106">
        <v>260</v>
      </c>
      <c r="F107" s="106" t="s">
        <v>1175</v>
      </c>
      <c r="G107" s="303">
        <v>45457</v>
      </c>
    </row>
    <row r="108" spans="4:7">
      <c r="D108" s="297" t="s">
        <v>1274</v>
      </c>
      <c r="E108" s="106">
        <v>300</v>
      </c>
      <c r="F108" s="106" t="s">
        <v>1175</v>
      </c>
      <c r="G108" s="303">
        <v>45474</v>
      </c>
    </row>
    <row r="109" spans="4:7">
      <c r="D109" s="297" t="s">
        <v>941</v>
      </c>
      <c r="E109" s="106">
        <v>740</v>
      </c>
      <c r="F109" s="106" t="s">
        <v>1175</v>
      </c>
      <c r="G109" s="303">
        <v>45474</v>
      </c>
    </row>
    <row r="110" spans="4:7">
      <c r="D110" s="297" t="s">
        <v>30</v>
      </c>
      <c r="E110" s="106">
        <v>2633.86</v>
      </c>
      <c r="F110" s="106" t="s">
        <v>1175</v>
      </c>
      <c r="G110" s="303">
        <v>45474</v>
      </c>
    </row>
    <row r="111" spans="4:7">
      <c r="D111" s="297" t="s">
        <v>134</v>
      </c>
      <c r="E111" s="106">
        <v>1410</v>
      </c>
      <c r="F111" s="106" t="s">
        <v>1175</v>
      </c>
      <c r="G111" s="303">
        <v>45474</v>
      </c>
    </row>
    <row r="112" spans="4:7">
      <c r="D112" s="297" t="s">
        <v>1556</v>
      </c>
      <c r="E112" s="106">
        <v>250</v>
      </c>
      <c r="F112" s="106" t="s">
        <v>1175</v>
      </c>
      <c r="G112" s="303">
        <v>45474</v>
      </c>
    </row>
    <row r="113" spans="4:7">
      <c r="D113" s="297" t="s">
        <v>1274</v>
      </c>
      <c r="E113" s="106">
        <v>320</v>
      </c>
      <c r="F113" s="106" t="s">
        <v>1175</v>
      </c>
      <c r="G113" s="303">
        <v>45478</v>
      </c>
    </row>
    <row r="114" spans="4:7">
      <c r="D114" s="297" t="s">
        <v>1169</v>
      </c>
      <c r="E114" s="106">
        <v>637</v>
      </c>
      <c r="F114" s="106" t="s">
        <v>1175</v>
      </c>
      <c r="G114" s="303">
        <v>45478</v>
      </c>
    </row>
    <row r="115" spans="4:7">
      <c r="D115" s="297" t="s">
        <v>1310</v>
      </c>
      <c r="E115" s="106">
        <v>449</v>
      </c>
      <c r="F115" s="106" t="s">
        <v>1175</v>
      </c>
      <c r="G115" s="303">
        <v>45477</v>
      </c>
    </row>
    <row r="116" spans="4:7">
      <c r="D116" s="297" t="s">
        <v>1180</v>
      </c>
      <c r="E116" s="106">
        <v>260</v>
      </c>
      <c r="F116" s="106" t="s">
        <v>1175</v>
      </c>
      <c r="G116" s="303">
        <v>45483</v>
      </c>
    </row>
    <row r="117" spans="4:7">
      <c r="D117" s="297" t="s">
        <v>1118</v>
      </c>
      <c r="E117" s="106">
        <v>1200</v>
      </c>
      <c r="F117" s="106" t="s">
        <v>1175</v>
      </c>
      <c r="G117" s="303" t="s">
        <v>1563</v>
      </c>
    </row>
    <row r="118" spans="4:7">
      <c r="D118" s="297" t="s">
        <v>1274</v>
      </c>
      <c r="E118" s="106">
        <v>320</v>
      </c>
      <c r="F118" s="106" t="s">
        <v>1175</v>
      </c>
      <c r="G118" s="303" t="s">
        <v>1563</v>
      </c>
    </row>
    <row r="119" spans="4:7">
      <c r="D119" s="297" t="s">
        <v>1119</v>
      </c>
      <c r="E119" s="106">
        <v>480</v>
      </c>
      <c r="F119" s="106" t="s">
        <v>1175</v>
      </c>
      <c r="G119" s="303" t="s">
        <v>1563</v>
      </c>
    </row>
    <row r="120" spans="4:7">
      <c r="D120" s="297" t="s">
        <v>1564</v>
      </c>
      <c r="E120" s="106">
        <v>539.9</v>
      </c>
      <c r="F120" s="106" t="s">
        <v>1175</v>
      </c>
      <c r="G120" s="303">
        <v>45490</v>
      </c>
    </row>
    <row r="121" spans="4:7">
      <c r="D121" s="297" t="s">
        <v>1565</v>
      </c>
      <c r="E121" s="106">
        <v>540</v>
      </c>
      <c r="F121" s="106" t="s">
        <v>1175</v>
      </c>
      <c r="G121" s="303">
        <v>45490</v>
      </c>
    </row>
    <row r="122" spans="4:7">
      <c r="D122" s="297" t="s">
        <v>1244</v>
      </c>
      <c r="E122" s="106">
        <v>2942</v>
      </c>
      <c r="F122" s="106" t="s">
        <v>1175</v>
      </c>
      <c r="G122" s="303">
        <v>45497</v>
      </c>
    </row>
    <row r="123" spans="4:7">
      <c r="D123" s="297" t="s">
        <v>1245</v>
      </c>
      <c r="E123" s="106">
        <v>3960</v>
      </c>
      <c r="F123" s="106" t="s">
        <v>1175</v>
      </c>
      <c r="G123" s="303">
        <v>45497</v>
      </c>
    </row>
    <row r="124" spans="4:7">
      <c r="D124" s="297" t="s">
        <v>1567</v>
      </c>
      <c r="E124" s="106">
        <v>1640</v>
      </c>
      <c r="F124" s="106" t="s">
        <v>1175</v>
      </c>
      <c r="G124" s="303" t="s">
        <v>1568</v>
      </c>
    </row>
    <row r="125" spans="4:7">
      <c r="D125" s="297" t="s">
        <v>780</v>
      </c>
      <c r="E125" s="106">
        <v>350</v>
      </c>
      <c r="F125" s="106" t="s">
        <v>1175</v>
      </c>
      <c r="G125" s="303">
        <v>45509</v>
      </c>
    </row>
    <row r="126" spans="4:7">
      <c r="D126" s="297" t="s">
        <v>1581</v>
      </c>
      <c r="E126" s="106">
        <v>1950</v>
      </c>
      <c r="F126" s="106" t="s">
        <v>1175</v>
      </c>
      <c r="G126" s="303">
        <v>45509</v>
      </c>
    </row>
    <row r="127" spans="4:7">
      <c r="D127" s="297" t="s">
        <v>634</v>
      </c>
      <c r="E127" s="106">
        <v>449</v>
      </c>
      <c r="F127" s="106" t="s">
        <v>1175</v>
      </c>
      <c r="G127" s="303">
        <v>45511</v>
      </c>
    </row>
    <row r="128" spans="4:7">
      <c r="D128" s="297" t="s">
        <v>1169</v>
      </c>
      <c r="E128" s="106">
        <v>637.29999999999995</v>
      </c>
      <c r="F128" s="106" t="s">
        <v>1175</v>
      </c>
      <c r="G128" s="303">
        <v>45511</v>
      </c>
    </row>
    <row r="129" spans="4:7">
      <c r="D129" s="297" t="s">
        <v>1180</v>
      </c>
      <c r="E129" s="106">
        <v>260</v>
      </c>
      <c r="F129" s="106" t="s">
        <v>1175</v>
      </c>
      <c r="G129" s="303">
        <v>45513</v>
      </c>
    </row>
    <row r="130" spans="4:7">
      <c r="D130" s="297" t="s">
        <v>941</v>
      </c>
      <c r="E130" s="106">
        <v>1060</v>
      </c>
      <c r="F130" s="106" t="s">
        <v>1175</v>
      </c>
      <c r="G130" s="303">
        <v>45513</v>
      </c>
    </row>
    <row r="131" spans="4:7">
      <c r="D131" s="297" t="s">
        <v>893</v>
      </c>
      <c r="E131" s="106">
        <v>629</v>
      </c>
      <c r="F131" s="106" t="s">
        <v>1175</v>
      </c>
      <c r="G131" s="303">
        <v>45520</v>
      </c>
    </row>
    <row r="132" spans="4:7">
      <c r="D132" s="297" t="s">
        <v>1595</v>
      </c>
      <c r="E132" s="106">
        <v>350</v>
      </c>
      <c r="F132" s="106" t="s">
        <v>1175</v>
      </c>
      <c r="G132" s="303">
        <v>45555</v>
      </c>
    </row>
    <row r="133" spans="4:7">
      <c r="D133" s="297" t="s">
        <v>1310</v>
      </c>
      <c r="E133" s="106">
        <v>449</v>
      </c>
      <c r="F133" s="106" t="s">
        <v>1175</v>
      </c>
      <c r="G133" s="303">
        <v>45569</v>
      </c>
    </row>
    <row r="134" spans="4:7">
      <c r="D134" s="297" t="s">
        <v>116</v>
      </c>
      <c r="E134" s="106">
        <v>540</v>
      </c>
      <c r="F134" s="106" t="s">
        <v>1175</v>
      </c>
      <c r="G134" s="303">
        <v>45572</v>
      </c>
    </row>
    <row r="135" spans="4:7">
      <c r="D135" s="297" t="s">
        <v>116</v>
      </c>
      <c r="E135" s="106">
        <v>540</v>
      </c>
      <c r="F135" s="106" t="s">
        <v>1175</v>
      </c>
      <c r="G135" s="303">
        <v>45572</v>
      </c>
    </row>
    <row r="136" spans="4:7">
      <c r="D136" s="297" t="s">
        <v>116</v>
      </c>
      <c r="E136" s="106">
        <v>539.9</v>
      </c>
      <c r="F136" s="358" t="s">
        <v>1175</v>
      </c>
      <c r="G136" s="303">
        <v>45572</v>
      </c>
    </row>
    <row r="137" spans="4:7">
      <c r="D137" s="297" t="s">
        <v>1119</v>
      </c>
      <c r="E137" s="106">
        <v>480</v>
      </c>
      <c r="F137" s="358" t="s">
        <v>1175</v>
      </c>
      <c r="G137" s="303">
        <v>45576</v>
      </c>
    </row>
    <row r="138" spans="4:7">
      <c r="D138" s="297" t="s">
        <v>189</v>
      </c>
      <c r="E138" s="106">
        <v>450</v>
      </c>
      <c r="F138" s="358" t="s">
        <v>1175</v>
      </c>
      <c r="G138" s="303">
        <v>45586</v>
      </c>
    </row>
    <row r="139" spans="4:7">
      <c r="D139" s="297" t="s">
        <v>780</v>
      </c>
      <c r="E139" s="106">
        <v>350</v>
      </c>
      <c r="F139" s="358" t="s">
        <v>1175</v>
      </c>
      <c r="G139" s="303">
        <v>45597</v>
      </c>
    </row>
    <row r="140" spans="4:7">
      <c r="D140" s="297" t="s">
        <v>1622</v>
      </c>
      <c r="E140" s="106">
        <v>260</v>
      </c>
      <c r="F140" s="358" t="s">
        <v>1175</v>
      </c>
      <c r="G140" s="303">
        <v>45602</v>
      </c>
    </row>
    <row r="141" spans="4:7">
      <c r="D141" s="297" t="s">
        <v>1169</v>
      </c>
      <c r="E141" s="106">
        <v>613.29999999999995</v>
      </c>
      <c r="F141" s="358" t="s">
        <v>1175</v>
      </c>
      <c r="G141" s="303">
        <v>45602</v>
      </c>
    </row>
    <row r="142" spans="4:7">
      <c r="D142" s="297" t="s">
        <v>1245</v>
      </c>
      <c r="E142" s="106">
        <v>3960</v>
      </c>
      <c r="F142" s="106" t="s">
        <v>1175</v>
      </c>
      <c r="G142" s="303">
        <v>45603</v>
      </c>
    </row>
    <row r="143" spans="4:7">
      <c r="D143" s="297" t="s">
        <v>1244</v>
      </c>
      <c r="E143" s="106">
        <v>2942</v>
      </c>
      <c r="F143" s="106" t="s">
        <v>1175</v>
      </c>
      <c r="G143" s="303">
        <v>45603</v>
      </c>
    </row>
    <row r="144" spans="4:7">
      <c r="D144" s="297" t="s">
        <v>122</v>
      </c>
      <c r="E144" s="106">
        <v>320</v>
      </c>
      <c r="F144" s="358" t="s">
        <v>1175</v>
      </c>
      <c r="G144" s="303">
        <v>45604</v>
      </c>
    </row>
    <row r="145" spans="4:7">
      <c r="D145" s="297" t="s">
        <v>634</v>
      </c>
      <c r="E145" s="106">
        <v>573</v>
      </c>
      <c r="F145" s="358" t="s">
        <v>1175</v>
      </c>
      <c r="G145" s="303">
        <v>45604</v>
      </c>
    </row>
    <row r="146" spans="4:7">
      <c r="D146" s="297" t="s">
        <v>136</v>
      </c>
      <c r="E146" s="106">
        <v>150</v>
      </c>
      <c r="F146" s="358" t="s">
        <v>1175</v>
      </c>
      <c r="G146" s="303">
        <v>45607</v>
      </c>
    </row>
    <row r="147" spans="4:7">
      <c r="D147" s="297" t="s">
        <v>1119</v>
      </c>
      <c r="E147" s="106">
        <v>480</v>
      </c>
      <c r="F147" s="106" t="s">
        <v>1175</v>
      </c>
      <c r="G147" s="303">
        <v>45618</v>
      </c>
    </row>
    <row r="148" spans="4:7">
      <c r="D148" s="297" t="s">
        <v>189</v>
      </c>
      <c r="E148" s="106">
        <v>450</v>
      </c>
      <c r="F148" s="106" t="s">
        <v>1175</v>
      </c>
      <c r="G148" s="303">
        <v>45618</v>
      </c>
    </row>
    <row r="149" spans="4:7">
      <c r="D149" s="297" t="s">
        <v>1259</v>
      </c>
      <c r="E149" s="106">
        <v>450</v>
      </c>
      <c r="F149" s="106" t="s">
        <v>1175</v>
      </c>
      <c r="G149" s="303">
        <v>45618</v>
      </c>
    </row>
    <row r="150" spans="4:7">
      <c r="D150" s="297" t="s">
        <v>893</v>
      </c>
      <c r="E150" s="106">
        <v>1279</v>
      </c>
      <c r="F150" s="106" t="s">
        <v>1175</v>
      </c>
      <c r="G150" s="303">
        <v>45621</v>
      </c>
    </row>
    <row r="151" spans="4:7">
      <c r="D151" s="297" t="s">
        <v>941</v>
      </c>
      <c r="E151" s="106">
        <v>790</v>
      </c>
      <c r="F151" s="106" t="s">
        <v>1175</v>
      </c>
      <c r="G151" s="303">
        <v>45623</v>
      </c>
    </row>
    <row r="152" spans="4:7">
      <c r="D152" s="297" t="s">
        <v>780</v>
      </c>
      <c r="E152" s="106">
        <v>1150</v>
      </c>
      <c r="F152" s="106" t="s">
        <v>1175</v>
      </c>
      <c r="G152" s="303">
        <v>45625</v>
      </c>
    </row>
    <row r="153" spans="4:7">
      <c r="D153" s="297" t="s">
        <v>1169</v>
      </c>
      <c r="E153" s="106">
        <v>762.4</v>
      </c>
      <c r="F153" s="106" t="s">
        <v>1175</v>
      </c>
      <c r="G153" s="303">
        <v>45630</v>
      </c>
    </row>
    <row r="154" spans="4:7">
      <c r="D154" s="297" t="s">
        <v>634</v>
      </c>
      <c r="E154" s="106">
        <v>610</v>
      </c>
      <c r="F154" s="106" t="s">
        <v>1175</v>
      </c>
      <c r="G154" s="303">
        <v>45630</v>
      </c>
    </row>
    <row r="155" spans="4:7">
      <c r="D155" s="297" t="s">
        <v>1274</v>
      </c>
      <c r="E155" s="106">
        <v>320</v>
      </c>
      <c r="F155" s="106" t="s">
        <v>1175</v>
      </c>
      <c r="G155" s="303">
        <v>45635</v>
      </c>
    </row>
    <row r="156" spans="4:7">
      <c r="D156" s="297" t="s">
        <v>134</v>
      </c>
      <c r="E156" s="106">
        <v>4230</v>
      </c>
      <c r="F156" s="106" t="s">
        <v>1175</v>
      </c>
      <c r="G156" s="303">
        <v>45642</v>
      </c>
    </row>
    <row r="157" spans="4:7">
      <c r="D157" s="297" t="s">
        <v>189</v>
      </c>
      <c r="E157" s="106">
        <v>900</v>
      </c>
      <c r="F157" s="106" t="s">
        <v>1175</v>
      </c>
      <c r="G157" s="303">
        <v>45642</v>
      </c>
    </row>
    <row r="158" spans="4:7">
      <c r="D158" s="297" t="s">
        <v>1245</v>
      </c>
      <c r="E158" s="106">
        <v>4350</v>
      </c>
      <c r="F158" s="106" t="s">
        <v>1175</v>
      </c>
      <c r="G158" s="303">
        <v>45643</v>
      </c>
    </row>
    <row r="159" spans="4:7">
      <c r="D159" s="297" t="s">
        <v>1245</v>
      </c>
      <c r="E159" s="106">
        <v>3210</v>
      </c>
      <c r="F159" s="106" t="s">
        <v>1175</v>
      </c>
      <c r="G159" s="303">
        <v>45644</v>
      </c>
    </row>
    <row r="160" spans="4:7">
      <c r="D160" s="297" t="s">
        <v>1245</v>
      </c>
      <c r="E160" s="106">
        <v>4350</v>
      </c>
      <c r="F160" s="106" t="s">
        <v>1175</v>
      </c>
      <c r="G160" s="303">
        <v>45645</v>
      </c>
    </row>
    <row r="161" spans="4:7">
      <c r="D161" s="297" t="s">
        <v>1245</v>
      </c>
      <c r="E161" s="106">
        <v>3210</v>
      </c>
      <c r="F161" s="106" t="s">
        <v>1175</v>
      </c>
      <c r="G161" s="303">
        <v>45646</v>
      </c>
    </row>
    <row r="162" spans="4:7">
      <c r="D162" s="297" t="s">
        <v>1180</v>
      </c>
      <c r="E162" s="106">
        <v>520</v>
      </c>
      <c r="F162" s="106" t="s">
        <v>1175</v>
      </c>
      <c r="G162" s="303">
        <v>45649</v>
      </c>
    </row>
    <row r="163" spans="4:7">
      <c r="D163" s="297" t="s">
        <v>1274</v>
      </c>
      <c r="E163" s="106">
        <v>320</v>
      </c>
      <c r="F163" s="106" t="s">
        <v>1175</v>
      </c>
      <c r="G163" s="303">
        <v>45649</v>
      </c>
    </row>
    <row r="164" spans="4:7">
      <c r="D164" s="297" t="s">
        <v>1259</v>
      </c>
      <c r="E164" s="106">
        <v>900</v>
      </c>
      <c r="F164" s="106" t="s">
        <v>1175</v>
      </c>
      <c r="G164" s="303">
        <v>45652</v>
      </c>
    </row>
    <row r="165" spans="4:7">
      <c r="D165" s="297" t="s">
        <v>1581</v>
      </c>
      <c r="E165" s="106">
        <v>900</v>
      </c>
      <c r="F165" s="106" t="s">
        <v>1175</v>
      </c>
      <c r="G165" s="303">
        <v>45653</v>
      </c>
    </row>
    <row r="166" spans="4:7">
      <c r="D166" s="297" t="s">
        <v>941</v>
      </c>
      <c r="E166" s="106">
        <v>1560</v>
      </c>
      <c r="F166" s="106" t="s">
        <v>1175</v>
      </c>
      <c r="G166" s="303">
        <v>45660</v>
      </c>
    </row>
    <row r="167" spans="4:7">
      <c r="D167" s="297" t="s">
        <v>1119</v>
      </c>
      <c r="E167" s="106">
        <v>480</v>
      </c>
      <c r="F167" s="106" t="s">
        <v>1175</v>
      </c>
      <c r="G167" s="303">
        <v>45660</v>
      </c>
    </row>
    <row r="168" spans="4:7">
      <c r="D168" s="297" t="s">
        <v>95</v>
      </c>
      <c r="E168" s="106">
        <v>300</v>
      </c>
      <c r="F168" s="106" t="s">
        <v>1175</v>
      </c>
      <c r="G168" s="303">
        <v>45660</v>
      </c>
    </row>
    <row r="169" spans="4:7">
      <c r="D169" s="297" t="s">
        <v>1169</v>
      </c>
      <c r="E169" s="106">
        <v>757</v>
      </c>
      <c r="F169" s="106" t="s">
        <v>1175</v>
      </c>
      <c r="G169" s="303">
        <v>45660</v>
      </c>
    </row>
    <row r="170" spans="4:7">
      <c r="D170" s="297" t="s">
        <v>634</v>
      </c>
      <c r="E170" s="106">
        <v>757.5</v>
      </c>
      <c r="F170" s="106" t="s">
        <v>1175</v>
      </c>
      <c r="G170" s="303">
        <v>45663</v>
      </c>
    </row>
    <row r="171" spans="4:7">
      <c r="D171" s="297" t="s">
        <v>1564</v>
      </c>
      <c r="E171" s="106">
        <v>539.9</v>
      </c>
      <c r="F171" s="106" t="s">
        <v>1175</v>
      </c>
      <c r="G171" s="303">
        <v>45997</v>
      </c>
    </row>
    <row r="172" spans="4:7">
      <c r="D172" s="297" t="s">
        <v>1180</v>
      </c>
      <c r="E172" s="106">
        <v>260</v>
      </c>
      <c r="F172" s="106" t="s">
        <v>1175</v>
      </c>
      <c r="G172" s="303">
        <v>45667</v>
      </c>
    </row>
    <row r="173" spans="4:7">
      <c r="D173" s="297" t="s">
        <v>1119</v>
      </c>
      <c r="E173" s="106">
        <v>480</v>
      </c>
      <c r="F173" s="106" t="s">
        <v>1175</v>
      </c>
      <c r="G173" s="303">
        <v>45672</v>
      </c>
    </row>
    <row r="174" spans="4:7">
      <c r="D174" s="297" t="s">
        <v>1567</v>
      </c>
      <c r="E174" s="106">
        <v>1800</v>
      </c>
      <c r="F174" s="106" t="s">
        <v>1175</v>
      </c>
      <c r="G174" s="303">
        <v>45672</v>
      </c>
    </row>
    <row r="175" spans="4:7">
      <c r="D175" s="297" t="s">
        <v>1245</v>
      </c>
      <c r="E175" s="106">
        <v>350</v>
      </c>
      <c r="F175" s="106" t="s">
        <v>1175</v>
      </c>
      <c r="G175" s="303">
        <v>45684</v>
      </c>
    </row>
    <row r="176" spans="4:7">
      <c r="D176" s="297" t="s">
        <v>1244</v>
      </c>
      <c r="E176" s="106">
        <v>3210</v>
      </c>
      <c r="F176" s="106" t="s">
        <v>1175</v>
      </c>
      <c r="G176" s="303">
        <v>45684</v>
      </c>
    </row>
    <row r="177" spans="4:7">
      <c r="D177" s="297" t="s">
        <v>780</v>
      </c>
      <c r="E177" s="106">
        <v>1050</v>
      </c>
      <c r="F177" s="106" t="s">
        <v>1175</v>
      </c>
      <c r="G177" s="303">
        <v>45684</v>
      </c>
    </row>
    <row r="178" spans="4:7">
      <c r="D178" s="297" t="s">
        <v>1118</v>
      </c>
      <c r="E178" s="106">
        <v>2000</v>
      </c>
      <c r="F178" s="106" t="s">
        <v>1175</v>
      </c>
      <c r="G178" s="303">
        <v>45685</v>
      </c>
    </row>
    <row r="179" spans="4:7">
      <c r="D179" s="297" t="s">
        <v>941</v>
      </c>
      <c r="E179" s="106">
        <v>1500</v>
      </c>
      <c r="F179" s="106" t="s">
        <v>1175</v>
      </c>
      <c r="G179" s="303">
        <v>45685</v>
      </c>
    </row>
    <row r="180" spans="4:7">
      <c r="D180" s="297" t="s">
        <v>941</v>
      </c>
      <c r="E180" s="106">
        <v>790</v>
      </c>
      <c r="F180" s="106" t="s">
        <v>1175</v>
      </c>
      <c r="G180" s="303">
        <v>45685</v>
      </c>
    </row>
    <row r="181" spans="4:7">
      <c r="D181" s="297" t="s">
        <v>1274</v>
      </c>
      <c r="E181" s="106">
        <v>320</v>
      </c>
      <c r="F181" s="106" t="s">
        <v>1175</v>
      </c>
      <c r="G181" s="303">
        <v>45685</v>
      </c>
    </row>
    <row r="182" spans="4:7">
      <c r="D182" s="297" t="s">
        <v>1274</v>
      </c>
      <c r="E182" s="106">
        <v>320</v>
      </c>
      <c r="F182" s="106" t="s">
        <v>1175</v>
      </c>
      <c r="G182" s="303">
        <v>45685</v>
      </c>
    </row>
    <row r="183" spans="4:7">
      <c r="D183" s="297" t="s">
        <v>634</v>
      </c>
      <c r="E183" s="106">
        <v>448</v>
      </c>
      <c r="F183" s="106" t="s">
        <v>1175</v>
      </c>
      <c r="G183" s="303">
        <v>45693</v>
      </c>
    </row>
    <row r="184" spans="4:7">
      <c r="D184" s="297" t="s">
        <v>893</v>
      </c>
      <c r="E184" s="106">
        <v>1209</v>
      </c>
      <c r="F184" s="106" t="s">
        <v>1175</v>
      </c>
      <c r="G184" s="303">
        <v>45698</v>
      </c>
    </row>
    <row r="185" spans="4:7">
      <c r="D185" s="297" t="s">
        <v>893</v>
      </c>
      <c r="E185" s="106">
        <v>949</v>
      </c>
      <c r="F185" s="106" t="s">
        <v>1175</v>
      </c>
      <c r="G185" s="303">
        <v>45698</v>
      </c>
    </row>
    <row r="186" spans="4:7">
      <c r="D186" s="297" t="s">
        <v>1245</v>
      </c>
      <c r="E186" s="106">
        <v>4350</v>
      </c>
      <c r="F186" s="106" t="s">
        <v>1175</v>
      </c>
      <c r="G186" s="303">
        <v>45700</v>
      </c>
    </row>
    <row r="187" spans="4:7">
      <c r="D187" s="297" t="s">
        <v>1244</v>
      </c>
      <c r="E187" s="106">
        <v>3210</v>
      </c>
      <c r="F187" s="106" t="s">
        <v>1175</v>
      </c>
      <c r="G187" s="303">
        <v>45700</v>
      </c>
    </row>
    <row r="188" spans="4:7">
      <c r="D188" s="297" t="s">
        <v>189</v>
      </c>
      <c r="E188" s="106">
        <v>485</v>
      </c>
      <c r="F188" s="106" t="s">
        <v>1175</v>
      </c>
      <c r="G188" s="303">
        <v>45709</v>
      </c>
    </row>
    <row r="189" spans="4:7">
      <c r="D189" s="297" t="s">
        <v>1707</v>
      </c>
      <c r="E189" s="106">
        <v>250</v>
      </c>
      <c r="F189" s="106" t="s">
        <v>1175</v>
      </c>
      <c r="G189" s="303">
        <v>45716</v>
      </c>
    </row>
    <row r="190" spans="4:7">
      <c r="D190" s="297" t="s">
        <v>780</v>
      </c>
      <c r="E190" s="106">
        <v>375</v>
      </c>
      <c r="F190" s="106" t="s">
        <v>1175</v>
      </c>
      <c r="G190" s="303">
        <v>45716</v>
      </c>
    </row>
    <row r="191" spans="4:7">
      <c r="D191" s="297" t="s">
        <v>1118</v>
      </c>
      <c r="E191" s="106">
        <v>2000</v>
      </c>
      <c r="F191" s="106" t="s">
        <v>1175</v>
      </c>
      <c r="G191" s="303">
        <v>45721</v>
      </c>
    </row>
    <row r="192" spans="4:7">
      <c r="D192" s="297" t="s">
        <v>941</v>
      </c>
      <c r="E192" s="106">
        <v>790</v>
      </c>
      <c r="F192" s="106" t="s">
        <v>1175</v>
      </c>
      <c r="G192" s="303">
        <v>45721</v>
      </c>
    </row>
    <row r="193" spans="4:7">
      <c r="D193" s="297" t="s">
        <v>1310</v>
      </c>
      <c r="E193" s="106">
        <v>488</v>
      </c>
      <c r="F193" s="106" t="s">
        <v>1175</v>
      </c>
      <c r="G193" s="303">
        <v>45723</v>
      </c>
    </row>
    <row r="194" spans="4:7">
      <c r="D194" s="297" t="s">
        <v>1169</v>
      </c>
      <c r="E194" s="106">
        <v>678</v>
      </c>
      <c r="F194" s="106" t="s">
        <v>1175</v>
      </c>
      <c r="G194" s="303">
        <v>45723</v>
      </c>
    </row>
    <row r="195" spans="4:7">
      <c r="D195" s="297" t="s">
        <v>1716</v>
      </c>
      <c r="E195" s="106">
        <v>300</v>
      </c>
      <c r="F195" s="106" t="s">
        <v>1175</v>
      </c>
      <c r="G195" s="303">
        <v>45728</v>
      </c>
    </row>
    <row r="196" spans="4:7">
      <c r="D196" s="297" t="s">
        <v>1622</v>
      </c>
      <c r="E196" s="106">
        <v>250</v>
      </c>
      <c r="F196" s="106" t="s">
        <v>1175</v>
      </c>
      <c r="G196" s="303">
        <v>45728</v>
      </c>
    </row>
    <row r="197" spans="4:7">
      <c r="D197" s="297" t="s">
        <v>1717</v>
      </c>
      <c r="E197" s="106">
        <v>15100</v>
      </c>
      <c r="F197" s="358"/>
      <c r="G197" s="303"/>
    </row>
    <row r="198" spans="4:7">
      <c r="D198" s="297" t="s">
        <v>189</v>
      </c>
      <c r="E198" s="106">
        <v>485</v>
      </c>
      <c r="F198" s="106" t="s">
        <v>1175</v>
      </c>
      <c r="G198" s="303">
        <v>45744</v>
      </c>
    </row>
    <row r="199" spans="4:7">
      <c r="D199" s="297" t="s">
        <v>1169</v>
      </c>
      <c r="E199" s="106">
        <v>656</v>
      </c>
      <c r="F199" s="106" t="s">
        <v>1175</v>
      </c>
      <c r="G199" s="303">
        <v>45751</v>
      </c>
    </row>
    <row r="200" spans="4:7">
      <c r="D200" s="297" t="s">
        <v>1707</v>
      </c>
      <c r="E200" s="106">
        <v>250</v>
      </c>
      <c r="F200" s="106" t="s">
        <v>1175</v>
      </c>
      <c r="G200" s="303">
        <v>45751</v>
      </c>
    </row>
    <row r="201" spans="4:7">
      <c r="D201" s="297" t="s">
        <v>1274</v>
      </c>
      <c r="E201" s="106">
        <v>640</v>
      </c>
      <c r="F201" s="106" t="s">
        <v>1175</v>
      </c>
      <c r="G201" s="303">
        <v>45763</v>
      </c>
    </row>
    <row r="202" spans="4:7">
      <c r="D202" s="297" t="s">
        <v>1718</v>
      </c>
      <c r="E202" s="106">
        <v>1000</v>
      </c>
      <c r="F202" s="106" t="s">
        <v>1175</v>
      </c>
      <c r="G202" s="303">
        <v>45763</v>
      </c>
    </row>
    <row r="203" spans="4:7">
      <c r="D203" s="297" t="s">
        <v>1118</v>
      </c>
      <c r="E203" s="106">
        <v>2400</v>
      </c>
      <c r="F203" s="106" t="s">
        <v>1175</v>
      </c>
      <c r="G203" s="303">
        <v>45763</v>
      </c>
    </row>
    <row r="204" spans="4:7">
      <c r="D204" s="297" t="s">
        <v>634</v>
      </c>
      <c r="E204" s="106">
        <v>708</v>
      </c>
      <c r="F204" s="106" t="s">
        <v>1175</v>
      </c>
      <c r="G204" s="303">
        <v>45782</v>
      </c>
    </row>
    <row r="205" spans="4:7">
      <c r="D205" s="297" t="s">
        <v>1169</v>
      </c>
      <c r="E205" s="106">
        <v>670</v>
      </c>
      <c r="F205" s="106" t="s">
        <v>1175</v>
      </c>
      <c r="G205" s="303">
        <v>45784</v>
      </c>
    </row>
    <row r="206" spans="4:7">
      <c r="D206" s="297" t="s">
        <v>1716</v>
      </c>
      <c r="E206" s="106">
        <v>300</v>
      </c>
      <c r="F206" s="106" t="s">
        <v>1175</v>
      </c>
      <c r="G206" s="303">
        <v>45786</v>
      </c>
    </row>
    <row r="207" spans="4:7">
      <c r="D207" s="297" t="s">
        <v>1274</v>
      </c>
      <c r="E207" s="106">
        <v>340</v>
      </c>
      <c r="F207" s="106" t="s">
        <v>1175</v>
      </c>
      <c r="G207" s="303">
        <v>45791</v>
      </c>
    </row>
    <row r="208" spans="4:7">
      <c r="D208" s="297" t="s">
        <v>130</v>
      </c>
      <c r="E208" s="106">
        <v>250</v>
      </c>
      <c r="F208" s="106" t="s">
        <v>1175</v>
      </c>
      <c r="G208" s="303">
        <v>45791</v>
      </c>
    </row>
    <row r="209" spans="4:7">
      <c r="D209" s="297" t="s">
        <v>1244</v>
      </c>
      <c r="E209" s="106">
        <v>3310</v>
      </c>
      <c r="F209" s="106" t="s">
        <v>1175</v>
      </c>
      <c r="G209" s="303">
        <v>45793</v>
      </c>
    </row>
    <row r="210" spans="4:7">
      <c r="D210" s="297" t="s">
        <v>1245</v>
      </c>
      <c r="E210" s="106">
        <v>4350</v>
      </c>
      <c r="F210" s="106" t="s">
        <v>1175</v>
      </c>
      <c r="G210" s="303">
        <v>45793</v>
      </c>
    </row>
    <row r="211" spans="4:7">
      <c r="D211" s="297" t="s">
        <v>276</v>
      </c>
      <c r="E211" s="106">
        <v>1650</v>
      </c>
      <c r="F211" s="106" t="s">
        <v>1175</v>
      </c>
      <c r="G211" s="303">
        <v>45796</v>
      </c>
    </row>
    <row r="212" spans="4:7">
      <c r="D212" s="297" t="s">
        <v>1274</v>
      </c>
      <c r="E212" s="106">
        <v>340</v>
      </c>
      <c r="F212" s="106" t="s">
        <v>1175</v>
      </c>
      <c r="G212" s="303">
        <v>45798</v>
      </c>
    </row>
    <row r="213" spans="4:7">
      <c r="D213" s="297" t="s">
        <v>189</v>
      </c>
      <c r="E213" s="106">
        <v>635</v>
      </c>
      <c r="F213" s="106" t="s">
        <v>1175</v>
      </c>
      <c r="G213" s="303">
        <v>45798</v>
      </c>
    </row>
    <row r="214" spans="4:7">
      <c r="D214" s="297" t="s">
        <v>780</v>
      </c>
      <c r="E214" s="106">
        <v>375</v>
      </c>
      <c r="F214" s="106" t="s">
        <v>1175</v>
      </c>
      <c r="G214" s="303">
        <v>45800</v>
      </c>
    </row>
    <row r="215" spans="4:7">
      <c r="D215" s="297" t="s">
        <v>941</v>
      </c>
      <c r="E215" s="106">
        <v>790</v>
      </c>
      <c r="F215" s="106" t="s">
        <v>1175</v>
      </c>
      <c r="G215" s="303">
        <v>45812</v>
      </c>
    </row>
    <row r="216" spans="4:7">
      <c r="D216" s="297" t="s">
        <v>634</v>
      </c>
      <c r="E216" s="106">
        <v>448</v>
      </c>
      <c r="F216" s="106" t="s">
        <v>1175</v>
      </c>
      <c r="G216" s="303">
        <v>45814</v>
      </c>
    </row>
    <row r="217" spans="4:7">
      <c r="D217" s="297" t="s">
        <v>1274</v>
      </c>
      <c r="E217" s="106">
        <v>340</v>
      </c>
      <c r="F217" s="106" t="s">
        <v>1175</v>
      </c>
      <c r="G217" s="303">
        <v>45814</v>
      </c>
    </row>
    <row r="218" spans="4:7">
      <c r="D218" s="297" t="s">
        <v>361</v>
      </c>
      <c r="E218" s="106">
        <v>250</v>
      </c>
      <c r="F218" s="106" t="s">
        <v>1175</v>
      </c>
      <c r="G218" s="303">
        <v>45814</v>
      </c>
    </row>
    <row r="219" spans="4:7">
      <c r="D219" s="297" t="s">
        <v>1716</v>
      </c>
      <c r="E219" s="106">
        <v>300</v>
      </c>
      <c r="F219" s="106" t="s">
        <v>1175</v>
      </c>
      <c r="G219" s="303">
        <v>45814</v>
      </c>
    </row>
    <row r="220" spans="4:7">
      <c r="D220" s="297" t="s">
        <v>1169</v>
      </c>
      <c r="E220" s="106">
        <v>656</v>
      </c>
      <c r="F220" s="106" t="s">
        <v>1175</v>
      </c>
      <c r="G220" s="303">
        <v>45817</v>
      </c>
    </row>
    <row r="221" spans="4:7">
      <c r="D221" s="297" t="s">
        <v>189</v>
      </c>
      <c r="E221" s="106">
        <v>465</v>
      </c>
      <c r="F221" s="106" t="s">
        <v>1175</v>
      </c>
      <c r="G221" s="303">
        <v>45838</v>
      </c>
    </row>
    <row r="222" spans="4:7">
      <c r="D222" s="297" t="s">
        <v>1776</v>
      </c>
      <c r="E222" s="106">
        <v>790</v>
      </c>
      <c r="F222" s="106" t="s">
        <v>1175</v>
      </c>
      <c r="G222" s="303">
        <v>45838</v>
      </c>
    </row>
    <row r="223" spans="4:7">
      <c r="D223" s="297" t="s">
        <v>1169</v>
      </c>
      <c r="E223" s="106">
        <v>677</v>
      </c>
      <c r="F223" s="106" t="s">
        <v>1175</v>
      </c>
      <c r="G223" s="303">
        <v>45842</v>
      </c>
    </row>
    <row r="224" spans="4:7">
      <c r="D224" s="297" t="s">
        <v>634</v>
      </c>
      <c r="E224" s="106">
        <v>488</v>
      </c>
      <c r="F224" s="106" t="s">
        <v>1175</v>
      </c>
      <c r="G224" s="303">
        <v>45845</v>
      </c>
    </row>
    <row r="225" spans="4:7">
      <c r="D225" s="297" t="s">
        <v>1825</v>
      </c>
      <c r="E225" s="106">
        <v>520</v>
      </c>
      <c r="F225" s="106" t="s">
        <v>1175</v>
      </c>
      <c r="G225" s="303">
        <v>45847</v>
      </c>
    </row>
    <row r="226" spans="4:7">
      <c r="D226" s="297" t="s">
        <v>130</v>
      </c>
      <c r="E226" s="106">
        <v>250</v>
      </c>
      <c r="F226" s="106" t="s">
        <v>1175</v>
      </c>
      <c r="G226" s="303">
        <v>45756</v>
      </c>
    </row>
    <row r="227" spans="4:7">
      <c r="D227" s="297" t="s">
        <v>1716</v>
      </c>
      <c r="E227" s="106">
        <v>300</v>
      </c>
      <c r="F227" s="106" t="s">
        <v>1175</v>
      </c>
      <c r="G227" s="303">
        <v>45852</v>
      </c>
    </row>
    <row r="228" spans="4:7">
      <c r="D228" s="297" t="s">
        <v>134</v>
      </c>
      <c r="E228" s="106">
        <v>3020</v>
      </c>
      <c r="F228" s="106" t="s">
        <v>1175</v>
      </c>
      <c r="G228" s="303">
        <v>45854</v>
      </c>
    </row>
    <row r="229" spans="4:7">
      <c r="D229" s="297" t="s">
        <v>189</v>
      </c>
      <c r="E229" s="106">
        <v>465</v>
      </c>
      <c r="F229" s="106" t="s">
        <v>1175</v>
      </c>
      <c r="G229" s="303">
        <v>45859</v>
      </c>
    </row>
    <row r="230" spans="4:7">
      <c r="D230" s="297" t="s">
        <v>1776</v>
      </c>
      <c r="E230" s="106">
        <v>790</v>
      </c>
      <c r="F230" s="106" t="s">
        <v>1175</v>
      </c>
      <c r="G230" s="303">
        <v>45868</v>
      </c>
    </row>
    <row r="231" spans="4:7">
      <c r="D231" s="297" t="s">
        <v>634</v>
      </c>
      <c r="E231" s="106">
        <v>488</v>
      </c>
      <c r="F231" s="106" t="s">
        <v>1175</v>
      </c>
      <c r="G231" s="303">
        <v>45875</v>
      </c>
    </row>
    <row r="232" spans="4:7">
      <c r="D232" s="297" t="s">
        <v>1169</v>
      </c>
      <c r="E232" s="106">
        <v>673</v>
      </c>
      <c r="F232" s="106" t="s">
        <v>1175</v>
      </c>
      <c r="G232" s="303">
        <v>45877</v>
      </c>
    </row>
    <row r="233" spans="4:7">
      <c r="D233" s="297" t="s">
        <v>1876</v>
      </c>
      <c r="E233" s="106">
        <v>350</v>
      </c>
      <c r="F233" s="106" t="s">
        <v>1175</v>
      </c>
      <c r="G233" s="303">
        <v>45882</v>
      </c>
    </row>
    <row r="234" spans="4:7">
      <c r="D234" s="297" t="s">
        <v>361</v>
      </c>
      <c r="E234" s="106">
        <v>250</v>
      </c>
      <c r="F234" s="106" t="s">
        <v>1175</v>
      </c>
      <c r="G234" s="303">
        <v>45884</v>
      </c>
    </row>
    <row r="235" spans="4:7">
      <c r="D235" s="297" t="s">
        <v>1118</v>
      </c>
      <c r="E235" s="106">
        <v>1800</v>
      </c>
      <c r="F235" s="106" t="s">
        <v>1175</v>
      </c>
      <c r="G235" s="303">
        <v>45887</v>
      </c>
    </row>
    <row r="236" spans="4:7">
      <c r="D236" s="297" t="s">
        <v>189</v>
      </c>
      <c r="E236" s="106">
        <v>575</v>
      </c>
      <c r="F236" s="106" t="s">
        <v>1175</v>
      </c>
      <c r="G236" s="303">
        <v>45889</v>
      </c>
    </row>
    <row r="237" spans="4:7">
      <c r="D237" s="297" t="s">
        <v>1274</v>
      </c>
      <c r="E237" s="106">
        <v>340</v>
      </c>
      <c r="F237" s="106" t="s">
        <v>1175</v>
      </c>
      <c r="G237" s="303">
        <v>45894</v>
      </c>
    </row>
    <row r="238" spans="4:7">
      <c r="D238" s="297" t="s">
        <v>1776</v>
      </c>
      <c r="E238" s="106">
        <v>790</v>
      </c>
      <c r="F238" s="106" t="s">
        <v>1175</v>
      </c>
      <c r="G238" s="303">
        <v>45898</v>
      </c>
    </row>
    <row r="239" spans="4:7">
      <c r="D239" s="297" t="s">
        <v>780</v>
      </c>
      <c r="E239" s="106">
        <v>1375</v>
      </c>
      <c r="F239" s="106" t="s">
        <v>1175</v>
      </c>
      <c r="G239" s="303">
        <v>45898</v>
      </c>
    </row>
    <row r="240" spans="4:7">
      <c r="D240" s="297" t="s">
        <v>1310</v>
      </c>
      <c r="E240" s="106">
        <v>488</v>
      </c>
      <c r="F240" s="106" t="s">
        <v>1175</v>
      </c>
      <c r="G240" s="303">
        <v>45908</v>
      </c>
    </row>
    <row r="241" spans="4:7">
      <c r="D241" s="297" t="s">
        <v>1274</v>
      </c>
      <c r="E241" s="106">
        <v>340</v>
      </c>
      <c r="F241" s="106" t="s">
        <v>1175</v>
      </c>
      <c r="G241" s="303">
        <v>45910</v>
      </c>
    </row>
    <row r="242" spans="4:7">
      <c r="D242" s="297" t="s">
        <v>361</v>
      </c>
      <c r="E242" s="106">
        <v>250</v>
      </c>
      <c r="F242" s="106" t="s">
        <v>1175</v>
      </c>
      <c r="G242" s="303">
        <v>45912</v>
      </c>
    </row>
    <row r="243" spans="4:7">
      <c r="D243" s="297" t="s">
        <v>1169</v>
      </c>
      <c r="E243" s="106">
        <v>673</v>
      </c>
      <c r="F243" s="106" t="s">
        <v>1175</v>
      </c>
      <c r="G243" s="303">
        <v>45915</v>
      </c>
    </row>
    <row r="244" spans="4:7">
      <c r="D244" s="297" t="s">
        <v>1274</v>
      </c>
      <c r="E244" s="106">
        <v>340</v>
      </c>
      <c r="F244" s="106" t="s">
        <v>1175</v>
      </c>
      <c r="G244" s="303">
        <v>45915</v>
      </c>
    </row>
    <row r="245" spans="4:7">
      <c r="D245" s="297" t="s">
        <v>189</v>
      </c>
      <c r="E245" s="106">
        <v>845</v>
      </c>
      <c r="F245" s="106" t="s">
        <v>1175</v>
      </c>
      <c r="G245" s="303">
        <v>45922</v>
      </c>
    </row>
    <row r="246" spans="4:7">
      <c r="D246" s="297" t="s">
        <v>1245</v>
      </c>
      <c r="E246" s="106">
        <v>4350</v>
      </c>
      <c r="F246" s="106" t="s">
        <v>1175</v>
      </c>
      <c r="G246" s="303">
        <v>45926</v>
      </c>
    </row>
    <row r="247" spans="4:7">
      <c r="D247" s="297" t="s">
        <v>1244</v>
      </c>
      <c r="E247" s="106">
        <v>3210</v>
      </c>
      <c r="F247" s="106" t="s">
        <v>1175</v>
      </c>
      <c r="G247" s="303">
        <v>45926</v>
      </c>
    </row>
    <row r="248" spans="4:7">
      <c r="D248" s="297" t="s">
        <v>1776</v>
      </c>
      <c r="E248" s="106">
        <v>790</v>
      </c>
      <c r="F248" s="106" t="s">
        <v>1175</v>
      </c>
      <c r="G248" s="303">
        <v>45931</v>
      </c>
    </row>
    <row r="249" spans="4:7">
      <c r="D249" s="297" t="s">
        <v>1118</v>
      </c>
      <c r="E249" s="106">
        <v>1800</v>
      </c>
      <c r="F249" s="106" t="s">
        <v>1175</v>
      </c>
      <c r="G249" s="303">
        <v>45931</v>
      </c>
    </row>
    <row r="250" spans="4:7">
      <c r="D250" s="297" t="s">
        <v>634</v>
      </c>
      <c r="E250" s="106">
        <v>448</v>
      </c>
      <c r="F250" s="106" t="s">
        <v>1175</v>
      </c>
      <c r="G250" s="303">
        <v>45938</v>
      </c>
    </row>
    <row r="251" spans="4:7">
      <c r="D251" s="297" t="s">
        <v>1622</v>
      </c>
      <c r="E251" s="106">
        <v>250</v>
      </c>
      <c r="F251" s="106" t="s">
        <v>1175</v>
      </c>
      <c r="G251" s="303">
        <v>45938</v>
      </c>
    </row>
    <row r="252" spans="4:7">
      <c r="D252" s="297" t="s">
        <v>1169</v>
      </c>
      <c r="E252" s="106">
        <v>670</v>
      </c>
      <c r="F252" s="106" t="s">
        <v>1175</v>
      </c>
      <c r="G252" s="303">
        <v>45938</v>
      </c>
    </row>
    <row r="253" spans="4:7">
      <c r="D253" s="297" t="s">
        <v>1716</v>
      </c>
      <c r="E253" s="106">
        <v>300</v>
      </c>
      <c r="F253" s="106" t="s">
        <v>1175</v>
      </c>
      <c r="G253" s="303">
        <v>45943</v>
      </c>
    </row>
    <row r="254" spans="4:7">
      <c r="D254" s="297" t="s">
        <v>189</v>
      </c>
      <c r="E254" s="106">
        <v>635</v>
      </c>
      <c r="F254" s="106" t="s">
        <v>1175</v>
      </c>
      <c r="G254" s="303">
        <v>45954</v>
      </c>
    </row>
    <row r="255" spans="4:7">
      <c r="D255" s="297" t="s">
        <v>780</v>
      </c>
      <c r="E255" s="106">
        <v>1120</v>
      </c>
      <c r="F255" s="106" t="s">
        <v>1175</v>
      </c>
      <c r="G255" s="303">
        <v>45960</v>
      </c>
    </row>
    <row r="256" spans="4:7">
      <c r="D256" s="297" t="s">
        <v>1776</v>
      </c>
      <c r="E256" s="106">
        <v>790</v>
      </c>
      <c r="F256" s="106" t="s">
        <v>1175</v>
      </c>
      <c r="G256" s="303">
        <v>45964</v>
      </c>
    </row>
    <row r="257" spans="4:7">
      <c r="D257" s="297" t="s">
        <v>634</v>
      </c>
      <c r="E257" s="106">
        <v>515</v>
      </c>
      <c r="F257" s="106" t="s">
        <v>1175</v>
      </c>
      <c r="G257" s="303">
        <v>45968</v>
      </c>
    </row>
    <row r="258" spans="4:7">
      <c r="D258" s="297" t="s">
        <v>130</v>
      </c>
      <c r="E258" s="106">
        <v>250</v>
      </c>
      <c r="F258" s="106" t="s">
        <v>1175</v>
      </c>
      <c r="G258" s="303">
        <v>45968</v>
      </c>
    </row>
    <row r="259" spans="4:7">
      <c r="D259" s="297" t="s">
        <v>1244</v>
      </c>
      <c r="E259" s="106">
        <v>3210</v>
      </c>
      <c r="F259" s="106" t="s">
        <v>1175</v>
      </c>
      <c r="G259" s="303">
        <v>45975</v>
      </c>
    </row>
    <row r="260" spans="4:7">
      <c r="D260" s="297" t="s">
        <v>1245</v>
      </c>
      <c r="E260" s="106">
        <v>4350</v>
      </c>
      <c r="F260" s="106" t="s">
        <v>1175</v>
      </c>
      <c r="G260" s="303">
        <v>45975</v>
      </c>
    </row>
    <row r="261" spans="4:7">
      <c r="D261" s="297" t="s">
        <v>1716</v>
      </c>
      <c r="E261" s="106">
        <v>168</v>
      </c>
      <c r="F261" s="106" t="s">
        <v>1175</v>
      </c>
      <c r="G261" s="303">
        <v>45975</v>
      </c>
    </row>
    <row r="262" spans="4:7">
      <c r="D262" s="297" t="s">
        <v>1776</v>
      </c>
      <c r="E262" s="106">
        <v>790</v>
      </c>
      <c r="F262" s="106" t="s">
        <v>1175</v>
      </c>
      <c r="G262" s="303">
        <v>45975</v>
      </c>
    </row>
    <row r="263" spans="4:7">
      <c r="D263" s="297" t="s">
        <v>1169</v>
      </c>
      <c r="E263" s="106">
        <v>650</v>
      </c>
      <c r="F263" s="106" t="s">
        <v>1175</v>
      </c>
      <c r="G263" s="303">
        <v>45975</v>
      </c>
    </row>
    <row r="264" spans="4:7">
      <c r="D264" s="297" t="s">
        <v>189</v>
      </c>
      <c r="E264" s="106">
        <v>465</v>
      </c>
      <c r="F264" s="106" t="s">
        <v>1175</v>
      </c>
      <c r="G264" s="303">
        <v>45980</v>
      </c>
    </row>
    <row r="265" spans="4:7">
      <c r="D265" s="297" t="s">
        <v>780</v>
      </c>
      <c r="E265" s="106">
        <v>870</v>
      </c>
      <c r="F265" s="106" t="s">
        <v>1175</v>
      </c>
      <c r="G265" s="303">
        <v>45989</v>
      </c>
    </row>
    <row r="266" spans="4:7">
      <c r="D266" s="297" t="s">
        <v>1169</v>
      </c>
      <c r="E266" s="106">
        <v>825</v>
      </c>
      <c r="F266" s="106" t="s">
        <v>1175</v>
      </c>
      <c r="G266" s="303">
        <v>45992</v>
      </c>
    </row>
    <row r="267" spans="4:7">
      <c r="D267" s="297" t="s">
        <v>1310</v>
      </c>
      <c r="E267" s="106">
        <v>765</v>
      </c>
      <c r="F267" s="106" t="s">
        <v>1175</v>
      </c>
      <c r="G267" s="303">
        <v>46000</v>
      </c>
    </row>
    <row r="268" spans="4:7">
      <c r="D268" s="297" t="s">
        <v>2235</v>
      </c>
      <c r="E268" s="106">
        <v>3247</v>
      </c>
      <c r="F268" s="106" t="s">
        <v>1175</v>
      </c>
      <c r="G268" s="303">
        <v>46006</v>
      </c>
    </row>
    <row r="269" spans="4:7">
      <c r="D269" s="297" t="s">
        <v>130</v>
      </c>
      <c r="E269" s="106">
        <v>500</v>
      </c>
      <c r="F269" s="106" t="s">
        <v>1175</v>
      </c>
      <c r="G269" s="303">
        <v>46008</v>
      </c>
    </row>
    <row r="270" spans="4:7">
      <c r="D270" s="297" t="s">
        <v>134</v>
      </c>
      <c r="E270" s="106">
        <v>1510</v>
      </c>
      <c r="F270" s="106" t="s">
        <v>1175</v>
      </c>
      <c r="G270" s="303">
        <v>46010</v>
      </c>
    </row>
    <row r="271" spans="4:7">
      <c r="D271" s="297" t="s">
        <v>189</v>
      </c>
      <c r="E271" s="106">
        <v>930</v>
      </c>
      <c r="F271" s="106" t="s">
        <v>1175</v>
      </c>
      <c r="G271" s="303">
        <v>46013</v>
      </c>
    </row>
    <row r="272" spans="4:7">
      <c r="D272" s="297" t="s">
        <v>1274</v>
      </c>
      <c r="E272" s="106">
        <v>680</v>
      </c>
      <c r="F272" s="106" t="s">
        <v>1175</v>
      </c>
      <c r="G272" s="303">
        <v>46020</v>
      </c>
    </row>
  </sheetData>
  <mergeCells count="3">
    <mergeCell ref="E1:F1"/>
    <mergeCell ref="D4:G6"/>
    <mergeCell ref="B5:B6"/>
  </mergeCells>
  <hyperlinks>
    <hyperlink ref="E1" location="dashboard!A1" display="RETONAR AO DASHBOARD" xr:uid="{00000000-0004-0000-0B00-000000000000}"/>
  </hyperlinks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2"/>
  <dimension ref="A1:M9"/>
  <sheetViews>
    <sheetView workbookViewId="0">
      <selection sqref="A1:C1"/>
    </sheetView>
  </sheetViews>
  <sheetFormatPr defaultRowHeight="15"/>
  <cols>
    <col min="2" max="2" width="10.7109375" bestFit="1" customWidth="1"/>
  </cols>
  <sheetData>
    <row r="1" spans="1:13" s="139" customFormat="1" ht="22.5" customHeight="1" thickBot="1">
      <c r="A1" s="620" t="s">
        <v>406</v>
      </c>
      <c r="B1" s="620"/>
      <c r="C1" s="620"/>
      <c r="D1" s="137"/>
      <c r="E1" s="138">
        <v>2021</v>
      </c>
      <c r="G1" s="621">
        <v>2022</v>
      </c>
      <c r="H1" s="621"/>
      <c r="I1" s="621"/>
      <c r="K1" s="621">
        <v>2023</v>
      </c>
      <c r="L1" s="621"/>
      <c r="M1" s="621"/>
    </row>
    <row r="2" spans="1:13">
      <c r="A2">
        <v>150.34</v>
      </c>
      <c r="B2" s="295">
        <v>44931</v>
      </c>
    </row>
    <row r="3" spans="1:13">
      <c r="A3">
        <v>376.25</v>
      </c>
      <c r="B3" s="295">
        <v>44992</v>
      </c>
    </row>
    <row r="4" spans="1:13">
      <c r="A4">
        <v>500</v>
      </c>
      <c r="B4" s="295">
        <v>45000</v>
      </c>
    </row>
    <row r="5" spans="1:13">
      <c r="A5">
        <v>240</v>
      </c>
      <c r="B5" s="295">
        <v>45057</v>
      </c>
    </row>
    <row r="6" spans="1:13">
      <c r="A6">
        <v>258</v>
      </c>
      <c r="B6" s="228">
        <v>45141</v>
      </c>
    </row>
    <row r="7" spans="1:13">
      <c r="A7">
        <v>315</v>
      </c>
      <c r="B7" s="228">
        <v>45141</v>
      </c>
    </row>
    <row r="8" spans="1:13">
      <c r="A8">
        <v>524.5</v>
      </c>
    </row>
    <row r="9" spans="1:13">
      <c r="A9">
        <v>580</v>
      </c>
      <c r="B9" s="228">
        <v>45254</v>
      </c>
    </row>
  </sheetData>
  <mergeCells count="3">
    <mergeCell ref="A1:C1"/>
    <mergeCell ref="G1:I1"/>
    <mergeCell ref="K1:M1"/>
  </mergeCells>
  <hyperlinks>
    <hyperlink ref="A1:C1" location="dashboard!A1" display="RETONAR AO DASHBOARD" xr:uid="{00000000-0004-0000-0C00-000000000000}"/>
    <hyperlink ref="G1:I1" location="'2022'!A1" display="'2022'!A1" xr:uid="{00000000-0004-0000-0C00-000001000000}"/>
    <hyperlink ref="K1:M1" location="'2023'!A1" display="'2023'!A1" xr:uid="{00000000-0004-0000-0C00-000002000000}"/>
    <hyperlink ref="E1" location="'2021'!A1" display="'2021'!A1" xr:uid="{00000000-0004-0000-0C00-000003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8"/>
  <dimension ref="B1:K48"/>
  <sheetViews>
    <sheetView workbookViewId="0">
      <pane ySplit="1" topLeftCell="A2" activePane="bottomLeft" state="frozen"/>
      <selection pane="bottomLeft" activeCell="B1" sqref="B1"/>
    </sheetView>
  </sheetViews>
  <sheetFormatPr defaultRowHeight="15"/>
  <cols>
    <col min="1" max="1" width="2.7109375" customWidth="1"/>
    <col min="2" max="2" width="13.42578125" customWidth="1"/>
    <col min="3" max="3" width="13.5703125" customWidth="1"/>
    <col min="4" max="6" width="11.140625" customWidth="1"/>
    <col min="7" max="7" width="19.28515625" customWidth="1"/>
    <col min="8" max="8" width="11.140625" customWidth="1"/>
    <col min="10" max="10" width="9.140625" customWidth="1"/>
    <col min="11" max="11" width="0.5703125" customWidth="1"/>
  </cols>
  <sheetData>
    <row r="1" spans="2:11" s="131" customFormat="1" ht="36.75" customHeight="1" thickBot="1">
      <c r="B1" s="271" t="s">
        <v>406</v>
      </c>
      <c r="C1" s="135"/>
      <c r="D1" s="136">
        <v>2021</v>
      </c>
      <c r="F1" s="270">
        <v>2022</v>
      </c>
      <c r="H1" s="147">
        <v>2023</v>
      </c>
    </row>
    <row r="4" spans="2:11" ht="18.75">
      <c r="C4" s="622" t="s">
        <v>1001</v>
      </c>
      <c r="D4" s="622"/>
      <c r="E4" s="622"/>
      <c r="F4" s="622"/>
      <c r="G4" s="622"/>
    </row>
    <row r="5" spans="2:11">
      <c r="C5" s="234" t="s">
        <v>301</v>
      </c>
      <c r="D5" s="237" t="s">
        <v>302</v>
      </c>
    </row>
    <row r="6" spans="2:11">
      <c r="C6" s="240" t="s">
        <v>1003</v>
      </c>
      <c r="D6" s="241">
        <v>6120</v>
      </c>
      <c r="G6" s="104" t="s">
        <v>1022</v>
      </c>
    </row>
    <row r="7" spans="2:11">
      <c r="C7" s="235"/>
      <c r="D7" s="238">
        <v>1000</v>
      </c>
      <c r="G7" s="117">
        <f>D6-K12</f>
        <v>5120</v>
      </c>
    </row>
    <row r="8" spans="2:11">
      <c r="C8" s="235"/>
      <c r="D8" s="238"/>
    </row>
    <row r="9" spans="2:11">
      <c r="C9" s="235"/>
      <c r="D9" s="238"/>
    </row>
    <row r="10" spans="2:11">
      <c r="C10" s="235"/>
      <c r="D10" s="238"/>
    </row>
    <row r="11" spans="2:11">
      <c r="C11" s="235"/>
      <c r="D11" s="238"/>
    </row>
    <row r="12" spans="2:11">
      <c r="C12" s="235"/>
      <c r="D12" s="238"/>
      <c r="K12" s="130">
        <f>SUM(D7:D23)</f>
        <v>1000</v>
      </c>
    </row>
    <row r="13" spans="2:11">
      <c r="C13" s="235"/>
      <c r="D13" s="238"/>
    </row>
    <row r="14" spans="2:11">
      <c r="C14" s="235"/>
      <c r="D14" s="238"/>
    </row>
    <row r="15" spans="2:11">
      <c r="C15" s="235"/>
      <c r="D15" s="238"/>
    </row>
    <row r="16" spans="2:11">
      <c r="C16" s="235"/>
      <c r="D16" s="238"/>
    </row>
    <row r="17" spans="3:4">
      <c r="C17" s="235"/>
      <c r="D17" s="238"/>
    </row>
    <row r="18" spans="3:4">
      <c r="C18" s="235"/>
      <c r="D18" s="238"/>
    </row>
    <row r="19" spans="3:4">
      <c r="C19" s="235"/>
      <c r="D19" s="238"/>
    </row>
    <row r="20" spans="3:4">
      <c r="C20" s="235"/>
      <c r="D20" s="238"/>
    </row>
    <row r="21" spans="3:4">
      <c r="C21" s="235"/>
      <c r="D21" s="238"/>
    </row>
    <row r="22" spans="3:4">
      <c r="C22" s="235"/>
      <c r="D22" s="238"/>
    </row>
    <row r="23" spans="3:4">
      <c r="C23" s="236"/>
      <c r="D23" s="238"/>
    </row>
    <row r="48" spans="6:6">
      <c r="F48" s="239"/>
    </row>
  </sheetData>
  <mergeCells count="1">
    <mergeCell ref="C4:G4"/>
  </mergeCells>
  <hyperlinks>
    <hyperlink ref="B1" location="dashboard!A1" display="RETONAR AO DASHBOARD" xr:uid="{00000000-0004-0000-0D00-000000000000}"/>
    <hyperlink ref="F1" location="'2022'!A1" display="'2022'!A1" xr:uid="{00000000-0004-0000-0D00-000001000000}"/>
    <hyperlink ref="H1" location="'2023'!A1" display="'2023'!A1" xr:uid="{00000000-0004-0000-0D00-000002000000}"/>
    <hyperlink ref="D1" location="'2021'!A1" display="'2021'!A1" xr:uid="{00000000-0004-0000-0D00-000003000000}"/>
  </hyperlinks>
  <pageMargins left="0.511811024" right="0.511811024" top="0.78740157499999996" bottom="0.78740157499999996" header="0.31496062000000002" footer="0.31496062000000002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9"/>
  <dimension ref="A1:AT155"/>
  <sheetViews>
    <sheetView showGridLines="0" topLeftCell="B1" zoomScale="90" zoomScaleNormal="90" workbookViewId="0">
      <pane ySplit="1" topLeftCell="A44" activePane="bottomLeft" state="frozen"/>
      <selection pane="bottomLeft" activeCell="D1" sqref="D1"/>
    </sheetView>
  </sheetViews>
  <sheetFormatPr defaultRowHeight="15.75"/>
  <cols>
    <col min="1" max="1" width="9.140625" hidden="1" customWidth="1"/>
    <col min="2" max="2" width="15.5703125" style="296" customWidth="1"/>
    <col min="3" max="3" width="22.28515625" style="321" customWidth="1"/>
    <col min="4" max="4" width="54.42578125" style="356" customWidth="1"/>
    <col min="5" max="5" width="24.28515625" customWidth="1"/>
    <col min="6" max="6" width="22.5703125" style="316" customWidth="1"/>
  </cols>
  <sheetData>
    <row r="1" spans="2:6" s="139" customFormat="1" ht="22.5" customHeight="1" thickBot="1">
      <c r="C1" s="140"/>
      <c r="D1" s="355" t="s">
        <v>406</v>
      </c>
    </row>
    <row r="2" spans="2:6" s="375" customFormat="1" ht="22.5" customHeight="1">
      <c r="C2" s="376"/>
      <c r="D2" s="377"/>
    </row>
    <row r="3" spans="2:6" ht="36" customHeight="1">
      <c r="B3" s="623" t="s">
        <v>1334</v>
      </c>
      <c r="C3" s="623"/>
      <c r="D3" s="623"/>
      <c r="E3" s="623"/>
      <c r="F3" s="623"/>
    </row>
    <row r="5" spans="2:6" s="104" customFormat="1" ht="16.5" thickBot="1">
      <c r="B5" s="384" t="s">
        <v>1092</v>
      </c>
      <c r="C5" s="385" t="s">
        <v>1059</v>
      </c>
      <c r="D5" s="386" t="s">
        <v>776</v>
      </c>
      <c r="E5" s="387" t="s">
        <v>1060</v>
      </c>
      <c r="F5" s="388" t="s">
        <v>1094</v>
      </c>
    </row>
    <row r="6" spans="2:6" ht="16.5" thickBot="1">
      <c r="B6" s="297" t="s">
        <v>1976</v>
      </c>
      <c r="C6" s="404" t="s">
        <v>1925</v>
      </c>
      <c r="D6" s="405" t="s">
        <v>1926</v>
      </c>
      <c r="E6" s="104"/>
      <c r="F6" s="406"/>
    </row>
    <row r="7" spans="2:6">
      <c r="B7" s="297" t="s">
        <v>1791</v>
      </c>
      <c r="C7" s="391" t="s">
        <v>1792</v>
      </c>
      <c r="D7" s="104" t="s">
        <v>1793</v>
      </c>
      <c r="E7" s="104"/>
      <c r="F7" s="407"/>
    </row>
    <row r="8" spans="2:6">
      <c r="B8" s="297" t="s">
        <v>1271</v>
      </c>
      <c r="C8" s="391" t="s">
        <v>1269</v>
      </c>
      <c r="D8" s="104" t="s">
        <v>1205</v>
      </c>
      <c r="E8" s="104"/>
      <c r="F8" s="407" t="s">
        <v>1204</v>
      </c>
    </row>
    <row r="9" spans="2:6">
      <c r="B9" s="297" t="s">
        <v>1977</v>
      </c>
      <c r="C9" s="391" t="s">
        <v>1927</v>
      </c>
      <c r="D9" s="405" t="s">
        <v>1928</v>
      </c>
      <c r="E9" s="104"/>
      <c r="F9" s="406"/>
    </row>
    <row r="10" spans="2:6">
      <c r="B10" s="297"/>
      <c r="C10" s="392" t="s">
        <v>1923</v>
      </c>
      <c r="D10" s="5" t="s">
        <v>1924</v>
      </c>
      <c r="E10" s="104"/>
      <c r="F10" s="407"/>
    </row>
    <row r="11" spans="2:6">
      <c r="B11" s="297" t="s">
        <v>1978</v>
      </c>
      <c r="C11" s="5" t="s">
        <v>1886</v>
      </c>
      <c r="D11" s="5" t="s">
        <v>1887</v>
      </c>
      <c r="E11" s="104"/>
      <c r="F11" s="407"/>
    </row>
    <row r="12" spans="2:6">
      <c r="B12" s="5" t="s">
        <v>2002</v>
      </c>
      <c r="C12" s="392" t="s">
        <v>2003</v>
      </c>
      <c r="D12" s="5" t="s">
        <v>2004</v>
      </c>
      <c r="E12" s="104"/>
      <c r="F12" s="407"/>
    </row>
    <row r="13" spans="2:6">
      <c r="B13" s="297" t="s">
        <v>1794</v>
      </c>
      <c r="C13" s="391" t="s">
        <v>1795</v>
      </c>
      <c r="D13" s="104" t="s">
        <v>1796</v>
      </c>
      <c r="E13" s="104">
        <v>32988172351</v>
      </c>
      <c r="F13" s="407"/>
    </row>
    <row r="14" spans="2:6">
      <c r="B14" s="408" t="s">
        <v>1979</v>
      </c>
      <c r="C14" s="409" t="s">
        <v>1090</v>
      </c>
      <c r="D14" s="104" t="s">
        <v>1995</v>
      </c>
      <c r="E14" s="104"/>
      <c r="F14" s="407"/>
    </row>
    <row r="15" spans="2:6">
      <c r="B15" s="297" t="s">
        <v>2050</v>
      </c>
      <c r="C15" s="392" t="s">
        <v>2051</v>
      </c>
      <c r="D15" s="5" t="s">
        <v>2053</v>
      </c>
      <c r="E15" s="104" t="s">
        <v>2052</v>
      </c>
      <c r="F15" s="407"/>
    </row>
    <row r="16" spans="2:6">
      <c r="B16" s="297" t="s">
        <v>1105</v>
      </c>
      <c r="C16" s="391" t="s">
        <v>1102</v>
      </c>
      <c r="D16" s="104" t="s">
        <v>1103</v>
      </c>
      <c r="E16" s="104"/>
      <c r="F16" s="392" t="s">
        <v>1104</v>
      </c>
    </row>
    <row r="17" spans="2:6">
      <c r="B17" s="297" t="s">
        <v>1980</v>
      </c>
      <c r="C17" s="5" t="s">
        <v>1896</v>
      </c>
      <c r="D17" s="5" t="s">
        <v>1897</v>
      </c>
      <c r="E17" s="104"/>
      <c r="F17" s="407"/>
    </row>
    <row r="18" spans="2:6">
      <c r="B18" s="297" t="s">
        <v>2046</v>
      </c>
      <c r="C18" s="391" t="s">
        <v>2047</v>
      </c>
      <c r="D18" s="104" t="s">
        <v>2048</v>
      </c>
      <c r="E18" s="104" t="s">
        <v>2049</v>
      </c>
      <c r="F18" s="407"/>
    </row>
    <row r="19" spans="2:6">
      <c r="B19" s="297" t="s">
        <v>1786</v>
      </c>
      <c r="C19" s="104" t="s">
        <v>1188</v>
      </c>
      <c r="D19" s="104" t="s">
        <v>1187</v>
      </c>
      <c r="E19" s="104">
        <v>32991320720</v>
      </c>
      <c r="F19" s="407"/>
    </row>
    <row r="20" spans="2:6">
      <c r="B20" s="297" t="s">
        <v>1981</v>
      </c>
      <c r="C20" s="391" t="s">
        <v>1929</v>
      </c>
      <c r="D20" s="405" t="s">
        <v>1930</v>
      </c>
      <c r="E20" s="104"/>
      <c r="F20" s="406"/>
    </row>
    <row r="21" spans="2:6">
      <c r="B21" s="297"/>
      <c r="C21" s="392" t="s">
        <v>1075</v>
      </c>
      <c r="D21" s="5" t="s">
        <v>1074</v>
      </c>
      <c r="E21" s="104"/>
      <c r="F21" s="407"/>
    </row>
    <row r="22" spans="2:6">
      <c r="B22" s="297"/>
      <c r="C22" s="392" t="s">
        <v>1263</v>
      </c>
      <c r="D22" s="5" t="s">
        <v>1922</v>
      </c>
      <c r="E22" s="104"/>
      <c r="F22" s="407"/>
    </row>
    <row r="23" spans="2:6">
      <c r="B23" s="297"/>
      <c r="C23" s="391" t="s">
        <v>1076</v>
      </c>
      <c r="D23" s="104" t="s">
        <v>779</v>
      </c>
      <c r="E23" s="104">
        <v>32988281256</v>
      </c>
      <c r="F23" s="407"/>
    </row>
    <row r="24" spans="2:6">
      <c r="B24" s="410" t="s">
        <v>1126</v>
      </c>
      <c r="C24" s="393" t="s">
        <v>1127</v>
      </c>
      <c r="D24" s="410" t="s">
        <v>1125</v>
      </c>
      <c r="E24" s="104">
        <v>32988016224</v>
      </c>
      <c r="F24" s="407"/>
    </row>
    <row r="25" spans="2:6">
      <c r="B25" s="297"/>
      <c r="C25" s="392" t="s">
        <v>1917</v>
      </c>
      <c r="D25" s="5" t="s">
        <v>1918</v>
      </c>
      <c r="E25" s="104"/>
      <c r="F25" s="407"/>
    </row>
    <row r="26" spans="2:6">
      <c r="B26" s="297" t="s">
        <v>1982</v>
      </c>
      <c r="C26" s="391" t="s">
        <v>1931</v>
      </c>
      <c r="D26" s="405" t="s">
        <v>1932</v>
      </c>
      <c r="E26" s="104"/>
      <c r="F26" s="406"/>
    </row>
    <row r="27" spans="2:6">
      <c r="B27" s="297" t="s">
        <v>2206</v>
      </c>
      <c r="C27" s="391" t="s">
        <v>1072</v>
      </c>
      <c r="D27" s="104" t="s">
        <v>669</v>
      </c>
      <c r="E27" s="104"/>
      <c r="F27" s="433" t="s">
        <v>2205</v>
      </c>
    </row>
    <row r="28" spans="2:6">
      <c r="B28" s="297" t="s">
        <v>2160</v>
      </c>
      <c r="C28" s="391" t="s">
        <v>2161</v>
      </c>
      <c r="D28" s="104" t="s">
        <v>2162</v>
      </c>
      <c r="E28" s="104" t="s">
        <v>2163</v>
      </c>
      <c r="F28" s="407"/>
    </row>
    <row r="29" spans="2:6">
      <c r="B29" s="104" t="s">
        <v>1124</v>
      </c>
      <c r="C29" s="393"/>
      <c r="D29" s="104" t="s">
        <v>1123</v>
      </c>
      <c r="E29" s="104">
        <v>32998702909</v>
      </c>
      <c r="F29" s="407" t="s">
        <v>1562</v>
      </c>
    </row>
    <row r="30" spans="2:6">
      <c r="B30" s="297" t="s">
        <v>1781</v>
      </c>
      <c r="C30" s="391" t="s">
        <v>1783</v>
      </c>
      <c r="D30" s="104" t="s">
        <v>1487</v>
      </c>
      <c r="E30" s="104"/>
      <c r="F30" s="407" t="s">
        <v>1488</v>
      </c>
    </row>
    <row r="31" spans="2:6">
      <c r="B31" s="297"/>
      <c r="C31" s="391" t="s">
        <v>1958</v>
      </c>
      <c r="D31" s="405" t="s">
        <v>1959</v>
      </c>
      <c r="E31" s="104"/>
      <c r="F31" s="406"/>
    </row>
    <row r="32" spans="2:6">
      <c r="B32" s="297"/>
      <c r="C32" s="391" t="s">
        <v>1071</v>
      </c>
      <c r="D32" s="104" t="s">
        <v>1061</v>
      </c>
      <c r="E32" s="104">
        <v>32988934788</v>
      </c>
      <c r="F32" s="407"/>
    </row>
    <row r="33" spans="2:6">
      <c r="B33" s="297"/>
      <c r="C33" s="391" t="s">
        <v>1069</v>
      </c>
      <c r="D33" s="104" t="s">
        <v>1062</v>
      </c>
      <c r="E33" s="104">
        <v>32988293075</v>
      </c>
      <c r="F33" s="407"/>
    </row>
    <row r="34" spans="2:6">
      <c r="B34" s="394" t="s">
        <v>1971</v>
      </c>
      <c r="C34" s="392" t="s">
        <v>1522</v>
      </c>
      <c r="D34" s="5" t="s">
        <v>1904</v>
      </c>
      <c r="E34" s="104"/>
      <c r="F34" s="407"/>
    </row>
    <row r="35" spans="2:6">
      <c r="B35" s="297" t="s">
        <v>1883</v>
      </c>
      <c r="C35" s="391" t="s">
        <v>1884</v>
      </c>
      <c r="D35" s="104" t="s">
        <v>1885</v>
      </c>
      <c r="E35" s="104">
        <v>991152955</v>
      </c>
      <c r="F35" s="407"/>
    </row>
    <row r="36" spans="2:6">
      <c r="B36" s="297" t="s">
        <v>1983</v>
      </c>
      <c r="C36" s="391" t="s">
        <v>1961</v>
      </c>
      <c r="D36" s="405" t="s">
        <v>1962</v>
      </c>
      <c r="E36" s="104"/>
      <c r="F36" s="406"/>
    </row>
    <row r="37" spans="2:6">
      <c r="B37" s="395" t="s">
        <v>1974</v>
      </c>
      <c r="C37" s="5" t="s">
        <v>1892</v>
      </c>
      <c r="D37" s="5" t="s">
        <v>1893</v>
      </c>
      <c r="E37" s="104"/>
      <c r="F37" s="407"/>
    </row>
    <row r="38" spans="2:6">
      <c r="B38" s="297" t="s">
        <v>1787</v>
      </c>
      <c r="C38" s="391" t="s">
        <v>1788</v>
      </c>
      <c r="D38" s="104" t="s">
        <v>1186</v>
      </c>
      <c r="E38" s="104"/>
      <c r="F38" s="411" t="s">
        <v>1185</v>
      </c>
    </row>
    <row r="39" spans="2:6">
      <c r="B39" s="389" t="s">
        <v>1970</v>
      </c>
      <c r="C39" s="392" t="s">
        <v>1919</v>
      </c>
      <c r="D39" s="5" t="s">
        <v>1920</v>
      </c>
      <c r="E39" s="104"/>
      <c r="F39" s="407"/>
    </row>
    <row r="40" spans="2:6">
      <c r="B40" s="297" t="s">
        <v>1984</v>
      </c>
      <c r="C40" s="391" t="s">
        <v>1933</v>
      </c>
      <c r="D40" s="405" t="s">
        <v>1934</v>
      </c>
      <c r="E40" s="104"/>
      <c r="F40" s="406"/>
    </row>
    <row r="41" spans="2:6">
      <c r="B41" s="297"/>
      <c r="C41" s="391" t="s">
        <v>1935</v>
      </c>
      <c r="D41" s="405" t="s">
        <v>1936</v>
      </c>
      <c r="E41" s="104"/>
      <c r="F41" s="406"/>
    </row>
    <row r="42" spans="2:6">
      <c r="B42" s="297" t="s">
        <v>1222</v>
      </c>
      <c r="C42" s="391" t="s">
        <v>1223</v>
      </c>
      <c r="D42" s="104" t="s">
        <v>1221</v>
      </c>
      <c r="E42" s="104"/>
      <c r="F42" s="407" t="s">
        <v>1220</v>
      </c>
    </row>
    <row r="43" spans="2:6">
      <c r="B43" s="297" t="s">
        <v>1780</v>
      </c>
      <c r="C43" s="391" t="s">
        <v>1782</v>
      </c>
      <c r="D43" s="104" t="s">
        <v>1683</v>
      </c>
      <c r="E43" s="104"/>
      <c r="F43" s="407" t="s">
        <v>2207</v>
      </c>
    </row>
    <row r="44" spans="2:6">
      <c r="B44" s="5" t="s">
        <v>2067</v>
      </c>
      <c r="C44" s="392" t="s">
        <v>2068</v>
      </c>
      <c r="D44" s="5" t="s">
        <v>2069</v>
      </c>
      <c r="E44" s="104"/>
      <c r="F44" s="407"/>
    </row>
    <row r="45" spans="2:6">
      <c r="B45" s="297" t="s">
        <v>1985</v>
      </c>
      <c r="C45" s="391" t="s">
        <v>1937</v>
      </c>
      <c r="D45" s="405" t="s">
        <v>1938</v>
      </c>
      <c r="E45" s="104"/>
      <c r="F45" s="407"/>
    </row>
    <row r="46" spans="2:6">
      <c r="B46" s="297" t="s">
        <v>1218</v>
      </c>
      <c r="C46" s="391" t="s">
        <v>1224</v>
      </c>
      <c r="D46" s="104" t="s">
        <v>1216</v>
      </c>
      <c r="E46" s="104"/>
      <c r="F46" s="407" t="s">
        <v>1217</v>
      </c>
    </row>
    <row r="47" spans="2:6">
      <c r="B47" s="297" t="s">
        <v>1337</v>
      </c>
      <c r="C47" s="391" t="s">
        <v>1336</v>
      </c>
      <c r="D47" s="104" t="s">
        <v>1335</v>
      </c>
      <c r="E47" s="104"/>
      <c r="F47" s="407"/>
    </row>
    <row r="48" spans="2:6">
      <c r="B48" s="104" t="s">
        <v>1093</v>
      </c>
      <c r="C48" s="391" t="s">
        <v>1091</v>
      </c>
      <c r="D48" s="104" t="s">
        <v>2139</v>
      </c>
      <c r="E48" s="104">
        <v>32999549230</v>
      </c>
      <c r="F48" s="407" t="s">
        <v>1095</v>
      </c>
    </row>
    <row r="49" spans="2:6">
      <c r="B49" s="297" t="s">
        <v>2065</v>
      </c>
      <c r="C49" s="391" t="s">
        <v>2064</v>
      </c>
      <c r="D49" s="104" t="s">
        <v>2070</v>
      </c>
      <c r="E49" s="104"/>
      <c r="F49" s="407"/>
    </row>
    <row r="50" spans="2:6">
      <c r="B50" s="297" t="s">
        <v>1969</v>
      </c>
      <c r="C50" s="391" t="s">
        <v>1900</v>
      </c>
      <c r="D50" s="405" t="s">
        <v>1901</v>
      </c>
      <c r="E50" s="104"/>
      <c r="F50" s="406"/>
    </row>
    <row r="51" spans="2:6">
      <c r="B51" s="297" t="s">
        <v>1986</v>
      </c>
      <c r="C51" s="391" t="s">
        <v>1939</v>
      </c>
      <c r="D51" s="405" t="s">
        <v>1940</v>
      </c>
      <c r="E51" s="104"/>
      <c r="F51" s="406"/>
    </row>
    <row r="52" spans="2:6">
      <c r="B52" s="297"/>
      <c r="C52" s="391" t="s">
        <v>1941</v>
      </c>
      <c r="D52" s="405" t="s">
        <v>1942</v>
      </c>
      <c r="E52" s="104"/>
      <c r="F52" s="406"/>
    </row>
    <row r="53" spans="2:6">
      <c r="B53" s="297" t="s">
        <v>1987</v>
      </c>
      <c r="C53" s="391" t="s">
        <v>1943</v>
      </c>
      <c r="D53" s="405" t="s">
        <v>1944</v>
      </c>
      <c r="E53" s="104"/>
      <c r="F53" s="406"/>
    </row>
    <row r="54" spans="2:6">
      <c r="B54" s="297"/>
      <c r="C54" s="391" t="s">
        <v>1902</v>
      </c>
      <c r="D54" s="405" t="s">
        <v>1903</v>
      </c>
      <c r="E54" s="104"/>
      <c r="F54" s="406"/>
    </row>
    <row r="55" spans="2:6">
      <c r="B55" s="297" t="s">
        <v>1777</v>
      </c>
      <c r="C55" s="391" t="s">
        <v>1778</v>
      </c>
      <c r="D55" s="104" t="s">
        <v>1779</v>
      </c>
      <c r="E55" s="104"/>
      <c r="F55" s="407"/>
    </row>
    <row r="56" spans="2:6">
      <c r="B56" s="297" t="s">
        <v>1968</v>
      </c>
      <c r="C56" s="391" t="s">
        <v>1907</v>
      </c>
      <c r="D56" s="405" t="s">
        <v>1945</v>
      </c>
      <c r="E56" s="104"/>
      <c r="F56" s="406"/>
    </row>
    <row r="57" spans="2:6">
      <c r="B57" s="396" t="s">
        <v>1967</v>
      </c>
      <c r="C57" s="392" t="s">
        <v>1905</v>
      </c>
      <c r="D57" s="5" t="s">
        <v>1906</v>
      </c>
      <c r="E57" s="104"/>
      <c r="F57" s="407"/>
    </row>
    <row r="58" spans="2:6">
      <c r="B58" s="297" t="s">
        <v>1988</v>
      </c>
      <c r="C58" s="391" t="s">
        <v>1946</v>
      </c>
      <c r="D58" s="405" t="s">
        <v>1947</v>
      </c>
      <c r="E58" s="104"/>
      <c r="F58" s="407"/>
    </row>
    <row r="59" spans="2:6">
      <c r="B59" s="297" t="s">
        <v>1789</v>
      </c>
      <c r="C59" s="391" t="s">
        <v>1790</v>
      </c>
      <c r="D59" s="104" t="s">
        <v>1733</v>
      </c>
      <c r="E59" s="104"/>
      <c r="F59" s="407"/>
    </row>
    <row r="60" spans="2:6">
      <c r="B60" s="297" t="s">
        <v>2215</v>
      </c>
      <c r="C60" s="391" t="s">
        <v>2214</v>
      </c>
      <c r="D60" s="104" t="s">
        <v>2213</v>
      </c>
      <c r="E60" s="104" t="s">
        <v>2216</v>
      </c>
      <c r="F60" s="407"/>
    </row>
    <row r="61" spans="2:6">
      <c r="B61" s="104" t="s">
        <v>1551</v>
      </c>
      <c r="C61" s="391" t="s">
        <v>1077</v>
      </c>
      <c r="D61" s="104" t="s">
        <v>1063</v>
      </c>
      <c r="E61" s="104">
        <v>32988414753</v>
      </c>
      <c r="F61" s="407" t="s">
        <v>1552</v>
      </c>
    </row>
    <row r="62" spans="2:6">
      <c r="B62" s="297"/>
      <c r="C62" s="391" t="s">
        <v>1070</v>
      </c>
      <c r="D62" s="104" t="s">
        <v>788</v>
      </c>
      <c r="E62" s="104">
        <v>32991447135</v>
      </c>
      <c r="F62" s="407"/>
    </row>
    <row r="63" spans="2:6">
      <c r="B63" s="297" t="s">
        <v>1989</v>
      </c>
      <c r="C63" s="391" t="s">
        <v>1948</v>
      </c>
      <c r="D63" s="405" t="s">
        <v>1949</v>
      </c>
      <c r="E63" s="104"/>
      <c r="F63" s="407"/>
    </row>
    <row r="64" spans="2:6">
      <c r="B64" s="297" t="s">
        <v>1990</v>
      </c>
      <c r="C64" s="391" t="s">
        <v>1950</v>
      </c>
      <c r="D64" s="405" t="s">
        <v>1951</v>
      </c>
      <c r="E64" s="104"/>
      <c r="F64" s="407"/>
    </row>
    <row r="65" spans="2:6">
      <c r="B65" s="5" t="s">
        <v>1972</v>
      </c>
      <c r="C65" s="391" t="s">
        <v>1914</v>
      </c>
      <c r="D65" s="405" t="s">
        <v>1952</v>
      </c>
      <c r="E65" s="104"/>
      <c r="F65" s="406"/>
    </row>
    <row r="66" spans="2:6">
      <c r="B66" s="5" t="s">
        <v>1973</v>
      </c>
      <c r="C66" s="392" t="s">
        <v>1910</v>
      </c>
      <c r="D66" s="5" t="s">
        <v>1911</v>
      </c>
      <c r="E66" s="104"/>
      <c r="F66" s="407"/>
    </row>
    <row r="67" spans="2:6">
      <c r="B67" s="297" t="s">
        <v>1284</v>
      </c>
      <c r="C67" s="391" t="s">
        <v>1283</v>
      </c>
      <c r="D67" s="104" t="s">
        <v>1281</v>
      </c>
      <c r="E67" s="104"/>
      <c r="F67" s="407" t="s">
        <v>1282</v>
      </c>
    </row>
    <row r="68" spans="2:6">
      <c r="B68" s="297" t="s">
        <v>2200</v>
      </c>
      <c r="C68" s="391" t="s">
        <v>2201</v>
      </c>
      <c r="D68" s="104" t="s">
        <v>2202</v>
      </c>
      <c r="E68" s="104" t="s">
        <v>2220</v>
      </c>
      <c r="F68" s="407"/>
    </row>
    <row r="69" spans="2:6">
      <c r="B69" s="397" t="s">
        <v>2005</v>
      </c>
      <c r="C69" s="392" t="s">
        <v>2006</v>
      </c>
      <c r="D69" s="5" t="s">
        <v>2007</v>
      </c>
      <c r="E69" s="429" t="s">
        <v>2185</v>
      </c>
      <c r="F69" s="407"/>
    </row>
    <row r="70" spans="2:6">
      <c r="B70" s="297" t="s">
        <v>1991</v>
      </c>
      <c r="C70" s="398" t="s">
        <v>1953</v>
      </c>
      <c r="D70" s="413" t="s">
        <v>1954</v>
      </c>
      <c r="E70" s="104"/>
      <c r="F70" s="407"/>
    </row>
    <row r="71" spans="2:6">
      <c r="B71" s="297"/>
      <c r="C71" s="398" t="s">
        <v>1073</v>
      </c>
      <c r="D71" s="47" t="s">
        <v>1066</v>
      </c>
      <c r="E71" s="104">
        <v>32991281481</v>
      </c>
      <c r="F71" s="407"/>
    </row>
    <row r="72" spans="2:6">
      <c r="B72" s="297" t="s">
        <v>2145</v>
      </c>
      <c r="C72" s="398" t="s">
        <v>2144</v>
      </c>
      <c r="D72" s="47" t="s">
        <v>2154</v>
      </c>
      <c r="E72" s="429" t="s">
        <v>2193</v>
      </c>
      <c r="F72" s="407" t="s">
        <v>2155</v>
      </c>
    </row>
    <row r="73" spans="2:6">
      <c r="B73" s="297" t="s">
        <v>1877</v>
      </c>
      <c r="C73" s="398" t="s">
        <v>1878</v>
      </c>
      <c r="D73" s="47" t="s">
        <v>1879</v>
      </c>
      <c r="E73" s="104">
        <v>32998499422</v>
      </c>
      <c r="F73" s="407"/>
    </row>
    <row r="74" spans="2:6">
      <c r="B74" s="297" t="s">
        <v>1191</v>
      </c>
      <c r="C74" s="398" t="s">
        <v>1785</v>
      </c>
      <c r="D74" s="47" t="s">
        <v>1996</v>
      </c>
      <c r="E74" s="104">
        <v>32998611148</v>
      </c>
      <c r="F74" s="407"/>
    </row>
    <row r="75" spans="2:6">
      <c r="B75" s="412"/>
      <c r="C75" s="403" t="s">
        <v>1089</v>
      </c>
      <c r="D75" s="47" t="s">
        <v>1064</v>
      </c>
      <c r="E75" s="104">
        <v>32991266641</v>
      </c>
      <c r="F75" s="407"/>
    </row>
    <row r="76" spans="2:6">
      <c r="B76" s="297"/>
      <c r="C76" s="398" t="s">
        <v>2203</v>
      </c>
      <c r="D76" s="434" t="s">
        <v>2204</v>
      </c>
      <c r="E76" s="104"/>
      <c r="F76" s="407"/>
    </row>
    <row r="77" spans="2:6">
      <c r="B77" s="297" t="s">
        <v>1194</v>
      </c>
      <c r="C77" s="398" t="s">
        <v>1193</v>
      </c>
      <c r="D77" s="47" t="s">
        <v>1192</v>
      </c>
      <c r="E77" s="104">
        <v>32999218217</v>
      </c>
      <c r="F77" s="407"/>
    </row>
    <row r="78" spans="2:6">
      <c r="B78" s="297" t="s">
        <v>1882</v>
      </c>
      <c r="C78" s="398" t="s">
        <v>1880</v>
      </c>
      <c r="D78" s="47" t="s">
        <v>1173</v>
      </c>
      <c r="E78" s="104"/>
      <c r="F78" s="407" t="s">
        <v>1881</v>
      </c>
    </row>
    <row r="79" spans="2:6">
      <c r="B79" s="297"/>
      <c r="C79" s="398" t="s">
        <v>1955</v>
      </c>
      <c r="D79" s="413" t="s">
        <v>913</v>
      </c>
      <c r="E79" s="104"/>
      <c r="F79" s="406"/>
    </row>
    <row r="80" spans="2:6">
      <c r="B80" s="297" t="s">
        <v>1992</v>
      </c>
      <c r="C80" s="118" t="s">
        <v>1894</v>
      </c>
      <c r="D80" s="54" t="s">
        <v>1895</v>
      </c>
      <c r="E80" s="104"/>
      <c r="F80" s="407"/>
    </row>
    <row r="81" spans="2:6">
      <c r="B81" s="297" t="s">
        <v>2211</v>
      </c>
      <c r="C81" s="398" t="s">
        <v>2209</v>
      </c>
      <c r="D81" s="47" t="s">
        <v>2210</v>
      </c>
      <c r="E81" s="104" t="s">
        <v>2212</v>
      </c>
      <c r="F81" s="407"/>
    </row>
    <row r="82" spans="2:6" ht="16.5">
      <c r="B82" s="414" t="s">
        <v>2010</v>
      </c>
      <c r="C82" s="415" t="s">
        <v>2008</v>
      </c>
      <c r="D82" s="54" t="s">
        <v>2009</v>
      </c>
      <c r="E82" s="414" t="s">
        <v>2062</v>
      </c>
      <c r="F82" s="407"/>
    </row>
    <row r="83" spans="2:6">
      <c r="B83" s="297" t="s">
        <v>2071</v>
      </c>
      <c r="C83" s="398" t="s">
        <v>2072</v>
      </c>
      <c r="D83" s="434" t="s">
        <v>2073</v>
      </c>
      <c r="E83" s="104"/>
      <c r="F83" s="407"/>
    </row>
    <row r="84" spans="2:6">
      <c r="B84" s="395" t="s">
        <v>1975</v>
      </c>
      <c r="C84" s="118" t="s">
        <v>1898</v>
      </c>
      <c r="D84" s="118" t="s">
        <v>1899</v>
      </c>
      <c r="E84" s="104"/>
      <c r="F84" s="407"/>
    </row>
    <row r="85" spans="2:6">
      <c r="B85" s="410" t="s">
        <v>1121</v>
      </c>
      <c r="C85" s="403" t="s">
        <v>1122</v>
      </c>
      <c r="D85" s="434" t="s">
        <v>1120</v>
      </c>
      <c r="E85" s="104"/>
      <c r="F85" s="407"/>
    </row>
    <row r="86" spans="2:6">
      <c r="B86" s="297" t="s">
        <v>1797</v>
      </c>
      <c r="C86" s="398" t="s">
        <v>1798</v>
      </c>
      <c r="D86" s="47" t="s">
        <v>1799</v>
      </c>
      <c r="E86" s="104"/>
      <c r="F86" s="407"/>
    </row>
    <row r="87" spans="2:6">
      <c r="B87" s="297" t="s">
        <v>2217</v>
      </c>
      <c r="C87" s="435" t="s">
        <v>2219</v>
      </c>
      <c r="D87" s="434" t="s">
        <v>2221</v>
      </c>
      <c r="E87" s="104" t="s">
        <v>2218</v>
      </c>
      <c r="F87" s="407"/>
    </row>
    <row r="88" spans="2:6">
      <c r="B88" s="297" t="s">
        <v>1993</v>
      </c>
      <c r="C88" s="398" t="s">
        <v>1956</v>
      </c>
      <c r="D88" s="413" t="s">
        <v>1957</v>
      </c>
      <c r="E88" s="104"/>
      <c r="F88" s="407"/>
    </row>
    <row r="89" spans="2:6">
      <c r="B89" s="297"/>
      <c r="C89" s="398" t="s">
        <v>1065</v>
      </c>
      <c r="D89" s="434" t="s">
        <v>794</v>
      </c>
      <c r="E89" s="104">
        <v>32999114098</v>
      </c>
      <c r="F89" s="407"/>
    </row>
    <row r="90" spans="2:6">
      <c r="B90" s="297" t="s">
        <v>1255</v>
      </c>
      <c r="C90" s="391" t="s">
        <v>1254</v>
      </c>
      <c r="D90" s="413" t="s">
        <v>1253</v>
      </c>
      <c r="E90" s="104"/>
      <c r="F90" s="406"/>
    </row>
    <row r="91" spans="2:6">
      <c r="B91" s="104" t="s">
        <v>1159</v>
      </c>
      <c r="C91" s="403" t="s">
        <v>1313</v>
      </c>
      <c r="D91" s="47" t="s">
        <v>1160</v>
      </c>
      <c r="E91" s="411" t="s">
        <v>1308</v>
      </c>
      <c r="F91" s="416" t="s">
        <v>1247</v>
      </c>
    </row>
    <row r="92" spans="2:6">
      <c r="B92" s="297"/>
      <c r="C92" s="398" t="s">
        <v>1921</v>
      </c>
      <c r="D92" s="413" t="s">
        <v>839</v>
      </c>
      <c r="E92" s="104"/>
      <c r="F92" s="406"/>
    </row>
    <row r="93" spans="2:6">
      <c r="B93" s="390" t="s">
        <v>1966</v>
      </c>
      <c r="C93" s="399" t="s">
        <v>1915</v>
      </c>
      <c r="D93" s="54" t="s">
        <v>1182</v>
      </c>
      <c r="E93" s="104"/>
      <c r="F93" s="407"/>
    </row>
    <row r="94" spans="2:6">
      <c r="B94" s="397" t="s">
        <v>1891</v>
      </c>
      <c r="C94" s="400" t="s">
        <v>1889</v>
      </c>
      <c r="D94" s="54" t="s">
        <v>1890</v>
      </c>
      <c r="E94" s="104"/>
      <c r="F94" s="407"/>
    </row>
    <row r="95" spans="2:6">
      <c r="B95" s="297" t="s">
        <v>1994</v>
      </c>
      <c r="C95" s="398" t="s">
        <v>1960</v>
      </c>
      <c r="D95" s="413" t="s">
        <v>2223</v>
      </c>
      <c r="E95" s="104"/>
      <c r="F95" s="406"/>
    </row>
    <row r="96" spans="2:6">
      <c r="B96" s="395" t="s">
        <v>1207</v>
      </c>
      <c r="C96" s="104" t="s">
        <v>1206</v>
      </c>
      <c r="D96" s="5" t="s">
        <v>1888</v>
      </c>
      <c r="E96" s="104"/>
      <c r="F96" s="407"/>
    </row>
    <row r="97" spans="2:6" ht="15">
      <c r="B97" s="417" t="s">
        <v>1784</v>
      </c>
      <c r="C97" s="104" t="s">
        <v>1319</v>
      </c>
      <c r="D97" s="5" t="s">
        <v>1457</v>
      </c>
      <c r="E97" s="104"/>
      <c r="F97" s="418">
        <v>923924743462</v>
      </c>
    </row>
    <row r="98" spans="2:6">
      <c r="B98" s="297"/>
      <c r="C98" s="391" t="s">
        <v>1068</v>
      </c>
      <c r="D98" s="104" t="s">
        <v>1067</v>
      </c>
      <c r="E98" s="104">
        <v>32999400869</v>
      </c>
      <c r="F98" s="407"/>
    </row>
    <row r="99" spans="2:6">
      <c r="B99" s="297" t="s">
        <v>2187</v>
      </c>
      <c r="C99" s="391" t="s">
        <v>2188</v>
      </c>
      <c r="D99" s="104" t="s">
        <v>2189</v>
      </c>
      <c r="E99" s="104" t="s">
        <v>2190</v>
      </c>
      <c r="F99" s="407"/>
    </row>
    <row r="100" spans="2:6">
      <c r="B100" s="5" t="s">
        <v>1965</v>
      </c>
      <c r="C100" s="392" t="s">
        <v>1908</v>
      </c>
      <c r="D100" s="5" t="s">
        <v>1909</v>
      </c>
      <c r="E100" s="104"/>
      <c r="F100" s="407"/>
    </row>
    <row r="101" spans="2:6">
      <c r="B101" s="5" t="s">
        <v>2027</v>
      </c>
      <c r="C101" s="392" t="s">
        <v>2028</v>
      </c>
      <c r="D101" s="5" t="s">
        <v>2029</v>
      </c>
      <c r="E101" s="104" t="s">
        <v>2030</v>
      </c>
      <c r="F101" s="407"/>
    </row>
    <row r="102" spans="2:6">
      <c r="B102" s="390" t="s">
        <v>1964</v>
      </c>
      <c r="C102" s="392" t="s">
        <v>1916</v>
      </c>
      <c r="D102" s="5" t="s">
        <v>2222</v>
      </c>
      <c r="E102" s="104"/>
      <c r="F102" s="407"/>
    </row>
    <row r="103" spans="2:6">
      <c r="B103" s="5" t="s">
        <v>1963</v>
      </c>
      <c r="C103" s="391" t="s">
        <v>1912</v>
      </c>
      <c r="D103" s="405" t="s">
        <v>1913</v>
      </c>
      <c r="E103" s="104"/>
      <c r="F103" s="406"/>
    </row>
    <row r="104" spans="2:6">
      <c r="B104" s="297" t="s">
        <v>1268</v>
      </c>
      <c r="C104" s="391" t="s">
        <v>1267</v>
      </c>
      <c r="D104" s="104" t="s">
        <v>1183</v>
      </c>
      <c r="E104" s="104"/>
      <c r="F104" s="407"/>
    </row>
    <row r="105" spans="2:6">
      <c r="B105" s="297" t="s">
        <v>2236</v>
      </c>
      <c r="C105" s="391" t="s">
        <v>2237</v>
      </c>
      <c r="D105" s="104" t="s">
        <v>2238</v>
      </c>
      <c r="E105" s="433" t="s">
        <v>2239</v>
      </c>
      <c r="F105" s="407"/>
    </row>
    <row r="106" spans="2:6">
      <c r="B106" s="297" t="s">
        <v>2245</v>
      </c>
      <c r="C106" s="391" t="s">
        <v>2246</v>
      </c>
      <c r="D106" s="104" t="s">
        <v>2247</v>
      </c>
      <c r="E106" s="433" t="s">
        <v>2248</v>
      </c>
      <c r="F106" s="407"/>
    </row>
    <row r="153" spans="45:46">
      <c r="AT153" s="317"/>
    </row>
    <row r="155" spans="45:46">
      <c r="AS155" s="317"/>
    </row>
  </sheetData>
  <mergeCells count="1">
    <mergeCell ref="B3:F3"/>
  </mergeCells>
  <hyperlinks>
    <hyperlink ref="D1" location="dashboard!A1" display="RETONAR AO DASHBOARD" xr:uid="{00000000-0004-0000-0E00-000000000000}"/>
    <hyperlink ref="E69" r:id="rId1" xr:uid="{64381B2F-A1D3-4629-BC40-2C8D20AC47D3}"/>
    <hyperlink ref="E72" r:id="rId2" xr:uid="{C258251C-8AFC-4A8B-9567-D8520D889D60}"/>
    <hyperlink ref="F27" r:id="rId3" xr:uid="{91214C93-3B27-41F8-941F-2FD54AC0A398}"/>
    <hyperlink ref="E105" r:id="rId4" xr:uid="{FAACA0D5-1017-4F4C-AC3C-02D718A849AD}"/>
    <hyperlink ref="E106" r:id="rId5" xr:uid="{4D4C8C4F-367E-4780-BBC9-3CC38DC44EB0}"/>
  </hyperlinks>
  <pageMargins left="0.511811024" right="0.511811024" top="0.78740157499999996" bottom="0.78740157499999996" header="0.31496062000000002" footer="0.31496062000000002"/>
  <pageSetup orientation="portrait" r:id="rId6"/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A1:R155"/>
  <sheetViews>
    <sheetView zoomScale="70" zoomScaleNormal="70" workbookViewId="0">
      <pane ySplit="1" topLeftCell="A25" activePane="bottomLeft" state="frozen"/>
      <selection pane="bottomLeft" activeCell="K1" sqref="K1:M1"/>
    </sheetView>
  </sheetViews>
  <sheetFormatPr defaultColWidth="9.140625" defaultRowHeight="44.25" customHeight="1"/>
  <cols>
    <col min="1" max="1" width="4.28515625" style="1" customWidth="1"/>
    <col min="2" max="2" width="12.28515625" style="3" customWidth="1"/>
    <col min="3" max="4" width="11.42578125" style="1" customWidth="1"/>
    <col min="5" max="5" width="14.28515625" style="1" customWidth="1"/>
    <col min="6" max="6" width="11.42578125" style="1" customWidth="1"/>
    <col min="7" max="7" width="11.140625" style="1" customWidth="1"/>
    <col min="8" max="8" width="10" style="1" customWidth="1"/>
    <col min="9" max="9" width="11.42578125" style="1" bestFit="1" customWidth="1"/>
    <col min="10" max="10" width="11.42578125" style="1" customWidth="1"/>
    <col min="11" max="11" width="11.28515625" style="1" customWidth="1"/>
    <col min="12" max="12" width="11.42578125" style="1" customWidth="1"/>
    <col min="13" max="13" width="11.140625" style="1" customWidth="1"/>
    <col min="14" max="15" width="11.28515625" style="1" customWidth="1"/>
    <col min="16" max="16" width="11.140625" style="1" customWidth="1"/>
    <col min="17" max="17" width="12" style="1" customWidth="1"/>
    <col min="18" max="18" width="14.140625" style="1" bestFit="1" customWidth="1"/>
    <col min="19" max="16384" width="9.140625" style="1"/>
  </cols>
  <sheetData>
    <row r="1" spans="1:18" s="131" customFormat="1" ht="32.25" customHeight="1" thickBot="1">
      <c r="B1" s="132"/>
      <c r="C1" s="627" t="s">
        <v>406</v>
      </c>
      <c r="D1" s="627"/>
      <c r="E1" s="627"/>
      <c r="G1" s="628">
        <v>2022</v>
      </c>
      <c r="H1" s="628"/>
      <c r="I1" s="628"/>
      <c r="K1" s="629">
        <v>2023</v>
      </c>
      <c r="L1" s="629"/>
      <c r="M1" s="629"/>
    </row>
    <row r="2" spans="1:18" ht="44.25" customHeight="1" thickBot="1">
      <c r="A2" s="7" t="s">
        <v>19</v>
      </c>
      <c r="B2" s="8" t="s">
        <v>0</v>
      </c>
      <c r="C2" s="9">
        <v>44197</v>
      </c>
      <c r="D2" s="9">
        <v>44228</v>
      </c>
      <c r="E2" s="10">
        <v>44256</v>
      </c>
      <c r="F2" s="10">
        <v>44287</v>
      </c>
      <c r="G2" s="10">
        <v>44317</v>
      </c>
      <c r="H2" s="10" t="s">
        <v>22</v>
      </c>
      <c r="I2" s="10">
        <v>44348</v>
      </c>
      <c r="J2" s="10">
        <v>44378</v>
      </c>
      <c r="K2" s="10">
        <v>44409</v>
      </c>
      <c r="L2" s="10">
        <v>44440</v>
      </c>
      <c r="M2" s="10">
        <v>44470</v>
      </c>
      <c r="N2" s="10">
        <v>44501</v>
      </c>
      <c r="O2" s="10" t="s">
        <v>145</v>
      </c>
      <c r="P2" s="10">
        <v>44531</v>
      </c>
      <c r="Q2" s="11" t="s">
        <v>3</v>
      </c>
      <c r="R2" s="11" t="s">
        <v>4</v>
      </c>
    </row>
    <row r="3" spans="1:18" ht="44.25" customHeight="1" thickBot="1">
      <c r="A3" s="12">
        <v>2</v>
      </c>
      <c r="B3" s="13" t="s">
        <v>1</v>
      </c>
      <c r="C3" s="14">
        <v>470</v>
      </c>
      <c r="D3" s="14">
        <v>470</v>
      </c>
      <c r="E3" s="15">
        <v>470</v>
      </c>
      <c r="F3" s="15">
        <v>470</v>
      </c>
      <c r="G3" s="15">
        <v>470</v>
      </c>
      <c r="H3" s="16"/>
      <c r="I3" s="15">
        <v>470</v>
      </c>
      <c r="J3" s="16">
        <v>470</v>
      </c>
      <c r="K3" s="16">
        <v>470</v>
      </c>
      <c r="L3" s="16">
        <v>470</v>
      </c>
      <c r="M3" s="16">
        <v>470</v>
      </c>
      <c r="N3" s="16">
        <v>470</v>
      </c>
      <c r="O3" s="16">
        <v>470</v>
      </c>
      <c r="P3" s="16">
        <v>470</v>
      </c>
      <c r="Q3" s="15">
        <f>SUMIFS(C3:P3,C3:P3,"&gt;1")</f>
        <v>6110</v>
      </c>
      <c r="R3" s="17">
        <f>-(SUMIFS(C3:P3,C3:P3,"&lt;1"))</f>
        <v>0</v>
      </c>
    </row>
    <row r="4" spans="1:18" ht="44.25" customHeight="1" thickBot="1">
      <c r="A4" s="18">
        <v>4</v>
      </c>
      <c r="B4" s="19" t="s">
        <v>2</v>
      </c>
      <c r="C4" s="20">
        <v>600</v>
      </c>
      <c r="D4" s="21">
        <v>-600</v>
      </c>
      <c r="E4" s="20">
        <v>600</v>
      </c>
      <c r="F4" s="20">
        <v>600</v>
      </c>
      <c r="G4" s="20">
        <v>600</v>
      </c>
      <c r="H4" s="22"/>
      <c r="I4" s="20">
        <v>600</v>
      </c>
      <c r="J4" s="22">
        <v>600</v>
      </c>
      <c r="K4" s="23">
        <v>600</v>
      </c>
      <c r="L4" s="23">
        <v>600</v>
      </c>
      <c r="M4" s="23">
        <v>600</v>
      </c>
      <c r="N4" s="23">
        <v>600</v>
      </c>
      <c r="O4" s="23">
        <v>600</v>
      </c>
      <c r="P4" s="23">
        <v>600</v>
      </c>
      <c r="Q4" s="15">
        <f>SUMIFS(C4:P4,C4:P4,"&gt;1")</f>
        <v>7200</v>
      </c>
      <c r="R4" s="17">
        <f>-(SUMIFS(C4:P4,C4:P4,"&lt;1"))</f>
        <v>600</v>
      </c>
    </row>
    <row r="5" spans="1:18" ht="44.25" customHeight="1" thickBot="1">
      <c r="A5" s="18">
        <v>5</v>
      </c>
      <c r="B5" s="19" t="s">
        <v>5</v>
      </c>
      <c r="C5" s="20">
        <v>400</v>
      </c>
      <c r="D5" s="20">
        <v>400</v>
      </c>
      <c r="E5" s="20">
        <v>400</v>
      </c>
      <c r="F5" s="20">
        <v>400</v>
      </c>
      <c r="G5" s="20">
        <v>400</v>
      </c>
      <c r="H5" s="22"/>
      <c r="I5" s="21">
        <v>400</v>
      </c>
      <c r="J5" s="22">
        <v>400</v>
      </c>
      <c r="K5" s="23">
        <v>400</v>
      </c>
      <c r="L5" s="23">
        <v>400</v>
      </c>
      <c r="M5" s="23">
        <v>400</v>
      </c>
      <c r="N5" s="23">
        <v>400</v>
      </c>
      <c r="O5" s="23">
        <v>400</v>
      </c>
      <c r="P5" s="23">
        <v>400</v>
      </c>
      <c r="Q5" s="15">
        <f>SUMIFS(C5:P5,C5:P5,"&gt;1")</f>
        <v>5200</v>
      </c>
      <c r="R5" s="17">
        <f>-(SUMIFS(C5:P5,C5:P5,"&lt;1"))</f>
        <v>0</v>
      </c>
    </row>
    <row r="6" spans="1:18" ht="44.25" customHeight="1" thickBot="1">
      <c r="A6" s="18">
        <v>6</v>
      </c>
      <c r="B6" s="19" t="s">
        <v>6</v>
      </c>
      <c r="C6" s="21">
        <v>0</v>
      </c>
      <c r="D6" s="20">
        <v>250</v>
      </c>
      <c r="E6" s="20">
        <v>250</v>
      </c>
      <c r="F6" s="20">
        <v>250</v>
      </c>
      <c r="G6" s="21">
        <v>535</v>
      </c>
      <c r="H6" s="22"/>
      <c r="I6" s="21">
        <v>-250</v>
      </c>
      <c r="J6" s="22">
        <v>250</v>
      </c>
      <c r="K6" s="23">
        <v>250</v>
      </c>
      <c r="L6" s="23">
        <v>250</v>
      </c>
      <c r="M6" s="23">
        <v>250</v>
      </c>
      <c r="N6" s="23">
        <v>250</v>
      </c>
      <c r="O6" s="23">
        <v>250</v>
      </c>
      <c r="P6" s="23">
        <v>250</v>
      </c>
      <c r="Q6" s="15">
        <f t="shared" ref="Q6:Q67" si="0">SUMIFS(C6:P6,C6:P6,"&gt;1")</f>
        <v>3035</v>
      </c>
      <c r="R6" s="17">
        <f t="shared" ref="R6:R67" si="1">-(SUMIFS(C6:P6,C6:P6,"&lt;1"))</f>
        <v>250</v>
      </c>
    </row>
    <row r="7" spans="1:18" ht="44.25" customHeight="1" thickBot="1">
      <c r="A7" s="18">
        <v>7</v>
      </c>
      <c r="B7" s="19" t="s">
        <v>7</v>
      </c>
      <c r="C7" s="20">
        <v>1100</v>
      </c>
      <c r="D7" s="20">
        <v>1100</v>
      </c>
      <c r="E7" s="20">
        <v>1100</v>
      </c>
      <c r="F7" s="20">
        <v>1100</v>
      </c>
      <c r="G7" s="20">
        <v>1100</v>
      </c>
      <c r="H7" s="22">
        <v>-160</v>
      </c>
      <c r="I7" s="20">
        <v>1100</v>
      </c>
      <c r="J7" s="22">
        <v>1100</v>
      </c>
      <c r="K7" s="23">
        <v>1100</v>
      </c>
      <c r="L7" s="23">
        <v>1100</v>
      </c>
      <c r="M7" s="23">
        <v>1100</v>
      </c>
      <c r="N7" s="23">
        <v>1100</v>
      </c>
      <c r="O7" s="23">
        <v>1100</v>
      </c>
      <c r="P7" s="23">
        <v>1100</v>
      </c>
      <c r="Q7" s="15">
        <f t="shared" si="0"/>
        <v>14300</v>
      </c>
      <c r="R7" s="17">
        <f t="shared" si="1"/>
        <v>160</v>
      </c>
    </row>
    <row r="8" spans="1:18" ht="44.25" customHeight="1" thickBot="1">
      <c r="A8" s="18">
        <v>8</v>
      </c>
      <c r="B8" s="19" t="s">
        <v>139</v>
      </c>
      <c r="C8" s="22"/>
      <c r="D8" s="22"/>
      <c r="E8" s="22"/>
      <c r="F8" s="22"/>
      <c r="G8" s="22"/>
      <c r="H8" s="22"/>
      <c r="I8" s="22">
        <v>-3580</v>
      </c>
      <c r="J8" s="22">
        <v>-600</v>
      </c>
      <c r="K8" s="23">
        <v>-500</v>
      </c>
      <c r="L8" s="23">
        <v>-500</v>
      </c>
      <c r="M8" s="23">
        <v>-500</v>
      </c>
      <c r="N8" s="23">
        <v>-500</v>
      </c>
      <c r="O8" s="23">
        <v>-500</v>
      </c>
      <c r="P8" s="23">
        <v>-500</v>
      </c>
      <c r="Q8" s="15">
        <f t="shared" si="0"/>
        <v>0</v>
      </c>
      <c r="R8" s="17">
        <f t="shared" si="1"/>
        <v>7180</v>
      </c>
    </row>
    <row r="9" spans="1:18" ht="44.25" customHeight="1" thickBot="1">
      <c r="A9" s="18">
        <v>9</v>
      </c>
      <c r="B9" s="19" t="s">
        <v>8</v>
      </c>
      <c r="C9" s="20">
        <v>780</v>
      </c>
      <c r="D9" s="21">
        <v>780</v>
      </c>
      <c r="E9" s="20">
        <v>780</v>
      </c>
      <c r="F9" s="21">
        <v>-780</v>
      </c>
      <c r="G9" s="21">
        <v>-780</v>
      </c>
      <c r="H9" s="22">
        <v>-80</v>
      </c>
      <c r="I9" s="20">
        <v>780</v>
      </c>
      <c r="J9" s="22">
        <v>780</v>
      </c>
      <c r="K9" s="23">
        <v>780</v>
      </c>
      <c r="L9" s="23">
        <v>780</v>
      </c>
      <c r="M9" s="23">
        <v>780</v>
      </c>
      <c r="N9" s="23">
        <v>780</v>
      </c>
      <c r="O9" s="23">
        <v>-780</v>
      </c>
      <c r="P9" s="23">
        <v>780</v>
      </c>
      <c r="Q9" s="15">
        <f t="shared" si="0"/>
        <v>7800</v>
      </c>
      <c r="R9" s="17">
        <f t="shared" si="1"/>
        <v>2420</v>
      </c>
    </row>
    <row r="10" spans="1:18" ht="44.25" customHeight="1" thickBot="1">
      <c r="A10" s="18">
        <v>10</v>
      </c>
      <c r="B10" s="19" t="s">
        <v>9</v>
      </c>
      <c r="C10" s="21">
        <v>-585</v>
      </c>
      <c r="D10" s="21">
        <v>-585</v>
      </c>
      <c r="E10" s="21">
        <v>-585</v>
      </c>
      <c r="F10" s="21">
        <v>-585</v>
      </c>
      <c r="G10" s="21">
        <v>-585</v>
      </c>
      <c r="H10" s="22"/>
      <c r="I10" s="21">
        <v>-585</v>
      </c>
      <c r="J10" s="22">
        <v>-585</v>
      </c>
      <c r="K10" s="23">
        <v>-585</v>
      </c>
      <c r="L10" s="23">
        <v>-585</v>
      </c>
      <c r="M10" s="23">
        <v>-585</v>
      </c>
      <c r="N10" s="23">
        <v>-585</v>
      </c>
      <c r="O10" s="23">
        <v>-585</v>
      </c>
      <c r="P10" s="23">
        <v>-585</v>
      </c>
      <c r="Q10" s="15">
        <f t="shared" si="0"/>
        <v>0</v>
      </c>
      <c r="R10" s="17">
        <f t="shared" si="1"/>
        <v>7605</v>
      </c>
    </row>
    <row r="11" spans="1:18" ht="44.25" customHeight="1" thickBot="1">
      <c r="A11" s="18">
        <v>13</v>
      </c>
      <c r="B11" s="19" t="s">
        <v>10</v>
      </c>
      <c r="C11" s="20">
        <v>595</v>
      </c>
      <c r="D11" s="20">
        <v>595</v>
      </c>
      <c r="E11" s="20">
        <v>595</v>
      </c>
      <c r="F11" s="20">
        <v>595</v>
      </c>
      <c r="G11" s="20">
        <v>595</v>
      </c>
      <c r="H11" s="22"/>
      <c r="I11" s="21">
        <v>-595</v>
      </c>
      <c r="J11" s="22">
        <v>595</v>
      </c>
      <c r="K11" s="23">
        <v>595</v>
      </c>
      <c r="L11" s="23">
        <v>595</v>
      </c>
      <c r="M11" s="23">
        <v>595</v>
      </c>
      <c r="N11" s="23">
        <v>595</v>
      </c>
      <c r="O11" s="23">
        <v>-595</v>
      </c>
      <c r="P11" s="23">
        <v>595</v>
      </c>
      <c r="Q11" s="15">
        <f t="shared" si="0"/>
        <v>6545</v>
      </c>
      <c r="R11" s="17">
        <f t="shared" si="1"/>
        <v>1190</v>
      </c>
    </row>
    <row r="12" spans="1:18" ht="44.25" customHeight="1" thickBot="1">
      <c r="A12" s="18">
        <v>16</v>
      </c>
      <c r="B12" s="19" t="s">
        <v>11</v>
      </c>
      <c r="C12" s="21">
        <v>-580</v>
      </c>
      <c r="D12" s="21">
        <v>-580</v>
      </c>
      <c r="E12" s="21">
        <v>-580</v>
      </c>
      <c r="F12" s="21">
        <v>-580</v>
      </c>
      <c r="G12" s="21">
        <v>-580</v>
      </c>
      <c r="H12" s="22"/>
      <c r="I12" s="21">
        <v>-580</v>
      </c>
      <c r="J12" s="22">
        <v>-580</v>
      </c>
      <c r="K12" s="23">
        <v>-580</v>
      </c>
      <c r="L12" s="23">
        <v>-580</v>
      </c>
      <c r="M12" s="23">
        <v>-580</v>
      </c>
      <c r="N12" s="23">
        <v>-580</v>
      </c>
      <c r="O12" s="23">
        <v>-580</v>
      </c>
      <c r="P12" s="23">
        <v>-580</v>
      </c>
      <c r="Q12" s="15">
        <f t="shared" si="0"/>
        <v>0</v>
      </c>
      <c r="R12" s="17">
        <f t="shared" si="1"/>
        <v>7540</v>
      </c>
    </row>
    <row r="13" spans="1:18" ht="44.25" customHeight="1" thickBot="1">
      <c r="A13" s="18">
        <v>17</v>
      </c>
      <c r="B13" s="19" t="s">
        <v>37</v>
      </c>
      <c r="C13" s="20">
        <v>450</v>
      </c>
      <c r="D13" s="20">
        <v>450</v>
      </c>
      <c r="E13" s="20">
        <v>450</v>
      </c>
      <c r="F13" s="20">
        <v>450</v>
      </c>
      <c r="G13" s="20">
        <v>450</v>
      </c>
      <c r="H13" s="22"/>
      <c r="I13" s="20">
        <v>450</v>
      </c>
      <c r="J13" s="22">
        <v>450</v>
      </c>
      <c r="K13" s="23">
        <v>1350</v>
      </c>
      <c r="L13" s="23">
        <v>450</v>
      </c>
      <c r="M13" s="23">
        <v>450</v>
      </c>
      <c r="N13" s="23">
        <v>450</v>
      </c>
      <c r="O13" s="23">
        <v>450</v>
      </c>
      <c r="P13" s="23">
        <v>450</v>
      </c>
      <c r="Q13" s="15">
        <f t="shared" si="0"/>
        <v>6750</v>
      </c>
      <c r="R13" s="17">
        <f t="shared" si="1"/>
        <v>0</v>
      </c>
    </row>
    <row r="14" spans="1:18" ht="44.25" customHeight="1" thickBot="1">
      <c r="A14" s="18">
        <v>18</v>
      </c>
      <c r="B14" s="19" t="s">
        <v>12</v>
      </c>
      <c r="C14" s="21">
        <v>620</v>
      </c>
      <c r="D14" s="20">
        <v>620</v>
      </c>
      <c r="E14" s="20">
        <v>620</v>
      </c>
      <c r="F14" s="21">
        <v>620</v>
      </c>
      <c r="G14" s="20">
        <v>620</v>
      </c>
      <c r="H14" s="22">
        <v>-160</v>
      </c>
      <c r="I14" s="21">
        <v>620</v>
      </c>
      <c r="J14" s="22">
        <v>620</v>
      </c>
      <c r="K14" s="23">
        <v>620</v>
      </c>
      <c r="L14" s="23">
        <v>620</v>
      </c>
      <c r="M14" s="23">
        <v>620</v>
      </c>
      <c r="N14" s="23">
        <v>620</v>
      </c>
      <c r="O14" s="23">
        <v>620</v>
      </c>
      <c r="P14" s="23">
        <v>620</v>
      </c>
      <c r="Q14" s="15">
        <f>SUMIFS(C14:P14,C14:P14,"&gt;1")</f>
        <v>8060</v>
      </c>
      <c r="R14" s="17">
        <f>-(SUMIFS(C14:P14,C14:P14,"&lt;1"))</f>
        <v>160</v>
      </c>
    </row>
    <row r="15" spans="1:18" ht="44.25" customHeight="1" thickBot="1">
      <c r="A15" s="18">
        <v>19</v>
      </c>
      <c r="B15" s="19" t="s">
        <v>13</v>
      </c>
      <c r="C15" s="21">
        <v>-210</v>
      </c>
      <c r="D15" s="21">
        <v>-210</v>
      </c>
      <c r="E15" s="20">
        <v>210</v>
      </c>
      <c r="F15" s="20">
        <v>210</v>
      </c>
      <c r="G15" s="20">
        <v>210</v>
      </c>
      <c r="H15" s="22">
        <v>-320</v>
      </c>
      <c r="I15" s="20">
        <v>210</v>
      </c>
      <c r="J15" s="22">
        <v>210</v>
      </c>
      <c r="K15" s="23">
        <v>210</v>
      </c>
      <c r="L15" s="23">
        <v>210</v>
      </c>
      <c r="M15" s="23">
        <v>210</v>
      </c>
      <c r="N15" s="23">
        <v>-210</v>
      </c>
      <c r="O15" s="23">
        <v>-210</v>
      </c>
      <c r="P15" s="23">
        <v>210</v>
      </c>
      <c r="Q15" s="15">
        <f t="shared" si="0"/>
        <v>1890</v>
      </c>
      <c r="R15" s="17">
        <f t="shared" si="1"/>
        <v>1160</v>
      </c>
    </row>
    <row r="16" spans="1:18" ht="44.25" customHeight="1" thickBot="1">
      <c r="A16" s="18">
        <v>21</v>
      </c>
      <c r="B16" s="19" t="s">
        <v>14</v>
      </c>
      <c r="C16" s="20">
        <v>645</v>
      </c>
      <c r="D16" s="20">
        <v>645</v>
      </c>
      <c r="E16" s="20">
        <v>645</v>
      </c>
      <c r="F16" s="20">
        <v>645</v>
      </c>
      <c r="G16" s="22">
        <v>-645</v>
      </c>
      <c r="H16" s="22"/>
      <c r="I16" s="20">
        <v>645</v>
      </c>
      <c r="J16" s="22">
        <v>645</v>
      </c>
      <c r="K16" s="23">
        <v>645</v>
      </c>
      <c r="L16" s="23">
        <v>645</v>
      </c>
      <c r="M16" s="23">
        <v>645</v>
      </c>
      <c r="N16" s="23">
        <v>645</v>
      </c>
      <c r="O16" s="23">
        <v>-645</v>
      </c>
      <c r="P16" s="23">
        <v>-645</v>
      </c>
      <c r="Q16" s="15">
        <f t="shared" si="0"/>
        <v>6450</v>
      </c>
      <c r="R16" s="17">
        <f t="shared" si="1"/>
        <v>1935</v>
      </c>
    </row>
    <row r="17" spans="1:18" ht="44.25" customHeight="1" thickBot="1">
      <c r="A17" s="18">
        <v>23</v>
      </c>
      <c r="B17" s="19" t="s">
        <v>15</v>
      </c>
      <c r="C17" s="20">
        <v>905</v>
      </c>
      <c r="D17" s="20">
        <v>905</v>
      </c>
      <c r="E17" s="20">
        <v>905</v>
      </c>
      <c r="F17" s="20">
        <v>905</v>
      </c>
      <c r="G17" s="20">
        <v>905</v>
      </c>
      <c r="H17" s="22"/>
      <c r="I17" s="20">
        <v>905</v>
      </c>
      <c r="J17" s="22">
        <v>905</v>
      </c>
      <c r="K17" s="23">
        <v>905</v>
      </c>
      <c r="L17" s="23">
        <v>905</v>
      </c>
      <c r="M17" s="23">
        <v>905</v>
      </c>
      <c r="N17" s="23">
        <v>905</v>
      </c>
      <c r="O17" s="23">
        <v>905</v>
      </c>
      <c r="P17" s="23">
        <v>905</v>
      </c>
      <c r="Q17" s="15">
        <f t="shared" si="0"/>
        <v>11765</v>
      </c>
      <c r="R17" s="17">
        <f t="shared" si="1"/>
        <v>0</v>
      </c>
    </row>
    <row r="18" spans="1:18" ht="44.25" customHeight="1" thickBot="1">
      <c r="A18" s="18">
        <v>25</v>
      </c>
      <c r="B18" s="19" t="s">
        <v>16</v>
      </c>
      <c r="C18" s="21">
        <v>-702</v>
      </c>
      <c r="D18" s="21">
        <v>-702</v>
      </c>
      <c r="E18" s="21">
        <v>-702</v>
      </c>
      <c r="F18" s="21">
        <v>-702</v>
      </c>
      <c r="G18" s="20">
        <v>702</v>
      </c>
      <c r="H18" s="22">
        <v>-320</v>
      </c>
      <c r="I18" s="21">
        <v>-702</v>
      </c>
      <c r="J18" s="22">
        <v>702</v>
      </c>
      <c r="K18" s="23">
        <v>702</v>
      </c>
      <c r="L18" s="23">
        <v>702</v>
      </c>
      <c r="M18" s="23">
        <v>702</v>
      </c>
      <c r="N18" s="23">
        <v>702</v>
      </c>
      <c r="O18" s="23">
        <v>702</v>
      </c>
      <c r="P18" s="23">
        <v>702</v>
      </c>
      <c r="Q18" s="15">
        <f t="shared" si="0"/>
        <v>5616</v>
      </c>
      <c r="R18" s="17">
        <f t="shared" si="1"/>
        <v>3830</v>
      </c>
    </row>
    <row r="19" spans="1:18" ht="44.25" customHeight="1" thickBot="1">
      <c r="A19" s="18">
        <v>26</v>
      </c>
      <c r="B19" s="19" t="s">
        <v>17</v>
      </c>
      <c r="C19" s="20">
        <v>440</v>
      </c>
      <c r="D19" s="20">
        <v>440</v>
      </c>
      <c r="E19" s="20">
        <v>440</v>
      </c>
      <c r="F19" s="20">
        <v>440</v>
      </c>
      <c r="G19" s="20">
        <v>440</v>
      </c>
      <c r="H19" s="22"/>
      <c r="I19" s="20">
        <v>440</v>
      </c>
      <c r="J19" s="22">
        <v>440</v>
      </c>
      <c r="K19" s="23">
        <v>440</v>
      </c>
      <c r="L19" s="23">
        <v>440</v>
      </c>
      <c r="M19" s="23">
        <v>440</v>
      </c>
      <c r="N19" s="23">
        <v>440</v>
      </c>
      <c r="O19" s="23">
        <v>440</v>
      </c>
      <c r="P19" s="23">
        <v>440</v>
      </c>
      <c r="Q19" s="15">
        <f t="shared" si="0"/>
        <v>5720</v>
      </c>
      <c r="R19" s="17">
        <f t="shared" si="1"/>
        <v>0</v>
      </c>
    </row>
    <row r="20" spans="1:18" ht="44.25" customHeight="1" thickBot="1">
      <c r="A20" s="18">
        <v>27</v>
      </c>
      <c r="B20" s="19" t="s">
        <v>18</v>
      </c>
      <c r="C20" s="20">
        <v>710</v>
      </c>
      <c r="D20" s="20">
        <v>710</v>
      </c>
      <c r="E20" s="20">
        <v>710</v>
      </c>
      <c r="F20" s="20">
        <v>710</v>
      </c>
      <c r="G20" s="20">
        <v>710</v>
      </c>
      <c r="H20" s="22"/>
      <c r="I20" s="21">
        <v>710</v>
      </c>
      <c r="J20" s="22">
        <v>710</v>
      </c>
      <c r="K20" s="23">
        <v>-710</v>
      </c>
      <c r="L20" s="23">
        <v>-710</v>
      </c>
      <c r="M20" s="23">
        <v>710</v>
      </c>
      <c r="N20" s="23">
        <v>-710</v>
      </c>
      <c r="O20" s="23">
        <v>-710</v>
      </c>
      <c r="P20" s="23">
        <v>-710</v>
      </c>
      <c r="Q20" s="15">
        <f t="shared" si="0"/>
        <v>5680</v>
      </c>
      <c r="R20" s="17">
        <f t="shared" si="1"/>
        <v>3550</v>
      </c>
    </row>
    <row r="21" spans="1:18" ht="44.25" customHeight="1" thickBot="1">
      <c r="A21" s="24">
        <v>28</v>
      </c>
      <c r="B21" s="25" t="s">
        <v>20</v>
      </c>
      <c r="C21" s="26">
        <v>150</v>
      </c>
      <c r="D21" s="26">
        <v>150</v>
      </c>
      <c r="E21" s="26">
        <v>150</v>
      </c>
      <c r="F21" s="26">
        <v>150</v>
      </c>
      <c r="G21" s="22">
        <v>-150</v>
      </c>
      <c r="H21" s="26"/>
      <c r="I21" s="26">
        <v>150</v>
      </c>
      <c r="J21" s="26"/>
      <c r="K21" s="27"/>
      <c r="L21" s="27"/>
      <c r="M21" s="27"/>
      <c r="N21" s="27"/>
      <c r="O21" s="27"/>
      <c r="P21" s="27"/>
      <c r="Q21" s="15">
        <f t="shared" si="0"/>
        <v>750</v>
      </c>
      <c r="R21" s="17">
        <f t="shared" si="1"/>
        <v>150</v>
      </c>
    </row>
    <row r="22" spans="1:18" ht="44.25" customHeight="1" thickBot="1">
      <c r="A22" s="18">
        <v>30</v>
      </c>
      <c r="B22" s="19" t="s">
        <v>137</v>
      </c>
      <c r="C22" s="22"/>
      <c r="D22" s="22"/>
      <c r="E22" s="22"/>
      <c r="F22" s="22"/>
      <c r="G22" s="22"/>
      <c r="H22" s="22"/>
      <c r="I22" s="22"/>
      <c r="J22" s="22">
        <v>1200</v>
      </c>
      <c r="K22" s="23">
        <v>1100</v>
      </c>
      <c r="L22" s="23">
        <v>1100</v>
      </c>
      <c r="M22" s="23">
        <v>1100</v>
      </c>
      <c r="N22" s="23">
        <v>1100</v>
      </c>
      <c r="O22" s="23">
        <v>1100</v>
      </c>
      <c r="P22" s="23">
        <v>1100</v>
      </c>
      <c r="Q22" s="15">
        <f t="shared" si="0"/>
        <v>7800</v>
      </c>
      <c r="R22" s="17">
        <f t="shared" si="1"/>
        <v>0</v>
      </c>
    </row>
    <row r="23" spans="1:18" ht="44.25" customHeight="1" thickBot="1">
      <c r="A23" s="18">
        <v>31</v>
      </c>
      <c r="B23" s="19" t="s">
        <v>21</v>
      </c>
      <c r="C23" s="21">
        <v>-1290</v>
      </c>
      <c r="D23" s="21">
        <v>-1290</v>
      </c>
      <c r="E23" s="21">
        <v>-1575</v>
      </c>
      <c r="F23" s="21">
        <v>-1290</v>
      </c>
      <c r="G23" s="21">
        <v>1290</v>
      </c>
      <c r="H23" s="22">
        <v>320</v>
      </c>
      <c r="I23" s="21">
        <v>1290</v>
      </c>
      <c r="J23" s="22">
        <v>1290</v>
      </c>
      <c r="K23" s="23">
        <v>1290</v>
      </c>
      <c r="L23" s="23">
        <v>-1290</v>
      </c>
      <c r="M23" s="23">
        <v>-1290</v>
      </c>
      <c r="N23" s="23">
        <v>-1290</v>
      </c>
      <c r="O23" s="23">
        <v>-1290</v>
      </c>
      <c r="P23" s="23">
        <v>-1290</v>
      </c>
      <c r="Q23" s="15">
        <f t="shared" si="0"/>
        <v>5480</v>
      </c>
      <c r="R23" s="17">
        <f t="shared" si="1"/>
        <v>11895</v>
      </c>
    </row>
    <row r="24" spans="1:18" ht="44.25" customHeight="1" thickBot="1">
      <c r="A24" s="18">
        <v>32</v>
      </c>
      <c r="B24" s="19" t="s">
        <v>23</v>
      </c>
      <c r="C24" s="21">
        <v>740</v>
      </c>
      <c r="D24" s="21">
        <v>919</v>
      </c>
      <c r="E24" s="21">
        <v>740</v>
      </c>
      <c r="F24" s="21">
        <v>740</v>
      </c>
      <c r="G24" s="21">
        <v>740</v>
      </c>
      <c r="H24" s="22"/>
      <c r="I24" s="21">
        <v>740</v>
      </c>
      <c r="J24" s="22">
        <v>740</v>
      </c>
      <c r="K24" s="23">
        <v>740</v>
      </c>
      <c r="L24" s="23">
        <v>740</v>
      </c>
      <c r="M24" s="23">
        <v>740</v>
      </c>
      <c r="N24" s="23">
        <v>740</v>
      </c>
      <c r="O24" s="23">
        <v>740</v>
      </c>
      <c r="P24" s="23">
        <v>740</v>
      </c>
      <c r="Q24" s="15">
        <f t="shared" si="0"/>
        <v>9799</v>
      </c>
      <c r="R24" s="17">
        <f t="shared" si="1"/>
        <v>0</v>
      </c>
    </row>
    <row r="25" spans="1:18" ht="44.25" customHeight="1" thickBot="1">
      <c r="A25" s="18">
        <v>33</v>
      </c>
      <c r="B25" s="19" t="s">
        <v>24</v>
      </c>
      <c r="C25" s="21">
        <v>470</v>
      </c>
      <c r="D25" s="21">
        <v>470</v>
      </c>
      <c r="E25" s="21">
        <v>470</v>
      </c>
      <c r="F25" s="21">
        <v>470</v>
      </c>
      <c r="G25" s="21">
        <v>470</v>
      </c>
      <c r="H25" s="21"/>
      <c r="I25" s="21">
        <v>470</v>
      </c>
      <c r="J25" s="22">
        <v>470</v>
      </c>
      <c r="K25" s="23">
        <v>470</v>
      </c>
      <c r="L25" s="23">
        <v>470</v>
      </c>
      <c r="M25" s="23">
        <v>470</v>
      </c>
      <c r="N25" s="23">
        <v>470</v>
      </c>
      <c r="O25" s="23">
        <v>470</v>
      </c>
      <c r="P25" s="23">
        <v>470</v>
      </c>
      <c r="Q25" s="15">
        <f t="shared" si="0"/>
        <v>6110</v>
      </c>
      <c r="R25" s="17">
        <f t="shared" si="1"/>
        <v>0</v>
      </c>
    </row>
    <row r="26" spans="1:18" ht="44.25" customHeight="1" thickBot="1">
      <c r="A26" s="18">
        <v>38</v>
      </c>
      <c r="B26" s="19" t="s">
        <v>25</v>
      </c>
      <c r="C26" s="21">
        <v>510</v>
      </c>
      <c r="D26" s="21">
        <v>510</v>
      </c>
      <c r="E26" s="21">
        <v>510</v>
      </c>
      <c r="F26" s="21">
        <v>510</v>
      </c>
      <c r="G26" s="21">
        <v>510</v>
      </c>
      <c r="H26" s="21"/>
      <c r="I26" s="21">
        <v>510</v>
      </c>
      <c r="J26" s="22">
        <v>510</v>
      </c>
      <c r="K26" s="23">
        <v>510</v>
      </c>
      <c r="L26" s="23">
        <v>-510</v>
      </c>
      <c r="M26" s="23">
        <v>510</v>
      </c>
      <c r="N26" s="23">
        <v>510</v>
      </c>
      <c r="O26" s="23">
        <v>510</v>
      </c>
      <c r="P26" s="23">
        <v>510</v>
      </c>
      <c r="Q26" s="15">
        <f t="shared" si="0"/>
        <v>6120</v>
      </c>
      <c r="R26" s="17">
        <f t="shared" si="1"/>
        <v>510</v>
      </c>
    </row>
    <row r="27" spans="1:18" ht="44.25" customHeight="1" thickBot="1">
      <c r="A27" s="18">
        <v>39</v>
      </c>
      <c r="B27" s="19" t="s">
        <v>26</v>
      </c>
      <c r="C27" s="21">
        <v>567</v>
      </c>
      <c r="D27" s="21">
        <v>567</v>
      </c>
      <c r="E27" s="21">
        <v>567</v>
      </c>
      <c r="F27" s="21">
        <v>567</v>
      </c>
      <c r="G27" s="21">
        <v>567</v>
      </c>
      <c r="H27" s="21"/>
      <c r="I27" s="21">
        <v>567</v>
      </c>
      <c r="J27" s="22">
        <v>567</v>
      </c>
      <c r="K27" s="23">
        <v>567</v>
      </c>
      <c r="L27" s="23">
        <v>567</v>
      </c>
      <c r="M27" s="23">
        <v>567</v>
      </c>
      <c r="N27" s="23">
        <v>567</v>
      </c>
      <c r="O27" s="23">
        <v>567</v>
      </c>
      <c r="P27" s="23">
        <v>567</v>
      </c>
      <c r="Q27" s="15">
        <f t="shared" si="0"/>
        <v>7371</v>
      </c>
      <c r="R27" s="17">
        <f t="shared" si="1"/>
        <v>0</v>
      </c>
    </row>
    <row r="28" spans="1:18" ht="44.25" customHeight="1" thickBot="1">
      <c r="A28" s="18">
        <v>41</v>
      </c>
      <c r="B28" s="19" t="s">
        <v>27</v>
      </c>
      <c r="C28" s="21">
        <v>295</v>
      </c>
      <c r="D28" s="21">
        <v>295</v>
      </c>
      <c r="E28" s="21">
        <v>295</v>
      </c>
      <c r="F28" s="21">
        <v>295</v>
      </c>
      <c r="G28" s="21">
        <v>295</v>
      </c>
      <c r="H28" s="21">
        <v>80</v>
      </c>
      <c r="I28" s="21">
        <v>295</v>
      </c>
      <c r="J28" s="22">
        <v>295</v>
      </c>
      <c r="K28" s="23">
        <v>295</v>
      </c>
      <c r="L28" s="23">
        <v>-295</v>
      </c>
      <c r="M28" s="23">
        <v>295</v>
      </c>
      <c r="N28" s="23">
        <v>-295</v>
      </c>
      <c r="O28" s="23">
        <v>-295</v>
      </c>
      <c r="P28" s="23">
        <v>295</v>
      </c>
      <c r="Q28" s="15">
        <f t="shared" si="0"/>
        <v>3030</v>
      </c>
      <c r="R28" s="17">
        <f t="shared" si="1"/>
        <v>885</v>
      </c>
    </row>
    <row r="29" spans="1:18" ht="44.25" customHeight="1" thickBot="1">
      <c r="A29" s="18">
        <v>43</v>
      </c>
      <c r="B29" s="19" t="s">
        <v>28</v>
      </c>
      <c r="C29" s="21">
        <v>-690</v>
      </c>
      <c r="D29" s="21">
        <v>-690</v>
      </c>
      <c r="E29" s="21">
        <v>-690</v>
      </c>
      <c r="F29" s="21">
        <v>-690</v>
      </c>
      <c r="G29" s="21">
        <v>-690</v>
      </c>
      <c r="H29" s="22">
        <v>-80</v>
      </c>
      <c r="I29" s="21">
        <v>-690</v>
      </c>
      <c r="J29" s="22">
        <v>-690</v>
      </c>
      <c r="K29" s="23">
        <v>-690</v>
      </c>
      <c r="L29" s="23">
        <v>-690</v>
      </c>
      <c r="M29" s="23">
        <v>-690</v>
      </c>
      <c r="N29" s="23">
        <v>-690</v>
      </c>
      <c r="O29" s="23">
        <v>-690</v>
      </c>
      <c r="P29" s="23">
        <v>-690</v>
      </c>
      <c r="Q29" s="15">
        <f t="shared" si="0"/>
        <v>0</v>
      </c>
      <c r="R29" s="17">
        <f t="shared" si="1"/>
        <v>9050</v>
      </c>
    </row>
    <row r="30" spans="1:18" ht="44.25" customHeight="1" thickBot="1">
      <c r="A30" s="18">
        <v>44</v>
      </c>
      <c r="B30" s="19" t="s">
        <v>29</v>
      </c>
      <c r="C30" s="21">
        <v>1100</v>
      </c>
      <c r="D30" s="21">
        <v>1100</v>
      </c>
      <c r="E30" s="21">
        <v>1100</v>
      </c>
      <c r="F30" s="21">
        <v>1100</v>
      </c>
      <c r="G30" s="21">
        <v>1100</v>
      </c>
      <c r="H30" s="22"/>
      <c r="I30" s="21">
        <v>1100</v>
      </c>
      <c r="J30" s="22">
        <v>1100</v>
      </c>
      <c r="K30" s="23">
        <v>1100</v>
      </c>
      <c r="L30" s="23">
        <v>1100</v>
      </c>
      <c r="M30" s="23">
        <v>1100</v>
      </c>
      <c r="N30" s="23">
        <v>1100</v>
      </c>
      <c r="O30" s="23">
        <v>-1100</v>
      </c>
      <c r="P30" s="23">
        <v>1100</v>
      </c>
      <c r="Q30" s="15">
        <f t="shared" si="0"/>
        <v>13200</v>
      </c>
      <c r="R30" s="17">
        <f t="shared" si="1"/>
        <v>1100</v>
      </c>
    </row>
    <row r="31" spans="1:18" ht="44.25" customHeight="1" thickBot="1">
      <c r="A31" s="18">
        <v>45</v>
      </c>
      <c r="B31" s="19" t="s">
        <v>30</v>
      </c>
      <c r="C31" s="21">
        <v>660</v>
      </c>
      <c r="D31" s="21">
        <v>660</v>
      </c>
      <c r="E31" s="21">
        <v>660</v>
      </c>
      <c r="F31" s="21">
        <v>660</v>
      </c>
      <c r="G31" s="21">
        <v>660</v>
      </c>
      <c r="H31" s="22">
        <v>80</v>
      </c>
      <c r="I31" s="21">
        <v>660</v>
      </c>
      <c r="J31" s="22">
        <v>660</v>
      </c>
      <c r="K31" s="23">
        <v>660</v>
      </c>
      <c r="L31" s="23">
        <v>660</v>
      </c>
      <c r="M31" s="23">
        <v>660</v>
      </c>
      <c r="N31" s="23">
        <v>660</v>
      </c>
      <c r="O31" s="23">
        <v>660</v>
      </c>
      <c r="P31" s="23">
        <v>660</v>
      </c>
      <c r="Q31" s="15">
        <f t="shared" si="0"/>
        <v>8660</v>
      </c>
      <c r="R31" s="17">
        <f t="shared" si="1"/>
        <v>0</v>
      </c>
    </row>
    <row r="32" spans="1:18" ht="44.25" customHeight="1" thickBot="1">
      <c r="A32" s="18">
        <v>46</v>
      </c>
      <c r="B32" s="19" t="s">
        <v>31</v>
      </c>
      <c r="C32" s="21">
        <v>265</v>
      </c>
      <c r="D32" s="21">
        <v>-265</v>
      </c>
      <c r="E32" s="21">
        <v>265</v>
      </c>
      <c r="F32" s="21">
        <v>265</v>
      </c>
      <c r="G32" s="21">
        <v>265</v>
      </c>
      <c r="H32" s="22"/>
      <c r="I32" s="21">
        <v>265</v>
      </c>
      <c r="J32" s="22">
        <v>265</v>
      </c>
      <c r="K32" s="23">
        <v>265</v>
      </c>
      <c r="L32" s="23">
        <v>265</v>
      </c>
      <c r="M32" s="23">
        <v>265</v>
      </c>
      <c r="N32" s="23">
        <v>265</v>
      </c>
      <c r="O32" s="23">
        <v>-265</v>
      </c>
      <c r="P32" s="23">
        <v>265</v>
      </c>
      <c r="Q32" s="15">
        <f t="shared" si="0"/>
        <v>2915</v>
      </c>
      <c r="R32" s="17">
        <f t="shared" si="1"/>
        <v>530</v>
      </c>
    </row>
    <row r="33" spans="1:18" ht="44.25" customHeight="1" thickBot="1">
      <c r="A33" s="18">
        <v>47</v>
      </c>
      <c r="B33" s="19" t="s">
        <v>32</v>
      </c>
      <c r="C33" s="21">
        <v>475</v>
      </c>
      <c r="D33" s="21">
        <v>475</v>
      </c>
      <c r="E33" s="21">
        <v>475</v>
      </c>
      <c r="F33" s="21">
        <v>475</v>
      </c>
      <c r="G33" s="21">
        <v>475</v>
      </c>
      <c r="H33" s="21"/>
      <c r="I33" s="21">
        <v>-475</v>
      </c>
      <c r="J33" s="22">
        <v>475</v>
      </c>
      <c r="K33" s="23">
        <v>475</v>
      </c>
      <c r="L33" s="23">
        <v>475</v>
      </c>
      <c r="M33" s="23">
        <v>475</v>
      </c>
      <c r="N33" s="23">
        <v>475</v>
      </c>
      <c r="O33" s="23">
        <v>475</v>
      </c>
      <c r="P33" s="23">
        <v>475</v>
      </c>
      <c r="Q33" s="15">
        <f t="shared" si="0"/>
        <v>5700</v>
      </c>
      <c r="R33" s="17">
        <f t="shared" si="1"/>
        <v>475</v>
      </c>
    </row>
    <row r="34" spans="1:18" ht="44.25" customHeight="1" thickBot="1">
      <c r="A34" s="18">
        <v>49</v>
      </c>
      <c r="B34" s="19" t="s">
        <v>38</v>
      </c>
      <c r="C34" s="21">
        <v>-950</v>
      </c>
      <c r="D34" s="21">
        <v>-950</v>
      </c>
      <c r="E34" s="21">
        <v>-950</v>
      </c>
      <c r="F34" s="21">
        <v>-950</v>
      </c>
      <c r="G34" s="21">
        <v>-950</v>
      </c>
      <c r="H34" s="22"/>
      <c r="I34" s="21">
        <v>-950</v>
      </c>
      <c r="J34" s="22">
        <v>-950</v>
      </c>
      <c r="K34" s="23">
        <v>-950</v>
      </c>
      <c r="L34" s="23">
        <v>-950</v>
      </c>
      <c r="M34" s="23">
        <v>-950</v>
      </c>
      <c r="N34" s="23">
        <v>-950</v>
      </c>
      <c r="O34" s="23">
        <v>-950</v>
      </c>
      <c r="P34" s="23">
        <v>-950</v>
      </c>
      <c r="Q34" s="15">
        <f t="shared" si="0"/>
        <v>0</v>
      </c>
      <c r="R34" s="17">
        <f t="shared" si="1"/>
        <v>12350</v>
      </c>
    </row>
    <row r="35" spans="1:18" ht="44.25" customHeight="1" thickBot="1">
      <c r="A35" s="18">
        <v>50</v>
      </c>
      <c r="B35" s="19" t="s">
        <v>53</v>
      </c>
      <c r="C35" s="21">
        <v>660</v>
      </c>
      <c r="D35" s="21">
        <v>660</v>
      </c>
      <c r="E35" s="21">
        <v>660</v>
      </c>
      <c r="F35" s="21">
        <v>660</v>
      </c>
      <c r="G35" s="21">
        <v>660</v>
      </c>
      <c r="H35" s="22"/>
      <c r="I35" s="21">
        <v>660</v>
      </c>
      <c r="J35" s="22">
        <v>660</v>
      </c>
      <c r="K35" s="23">
        <v>660</v>
      </c>
      <c r="L35" s="23">
        <v>660</v>
      </c>
      <c r="M35" s="23">
        <v>660</v>
      </c>
      <c r="N35" s="23">
        <v>-660</v>
      </c>
      <c r="O35" s="23">
        <v>-660</v>
      </c>
      <c r="P35" s="23">
        <v>-660</v>
      </c>
      <c r="Q35" s="15">
        <f t="shared" si="0"/>
        <v>6600</v>
      </c>
      <c r="R35" s="17">
        <f t="shared" si="1"/>
        <v>1980</v>
      </c>
    </row>
    <row r="36" spans="1:18" ht="44.25" customHeight="1" thickBot="1">
      <c r="A36" s="18">
        <v>51</v>
      </c>
      <c r="B36" s="19" t="s">
        <v>33</v>
      </c>
      <c r="C36" s="21"/>
      <c r="D36" s="21"/>
      <c r="E36" s="21"/>
      <c r="F36" s="21"/>
      <c r="G36" s="21"/>
      <c r="H36" s="22"/>
      <c r="I36" s="21">
        <v>3300</v>
      </c>
      <c r="J36" s="22">
        <v>-600</v>
      </c>
      <c r="K36" s="23">
        <v>-885</v>
      </c>
      <c r="L36" s="23">
        <v>-600</v>
      </c>
      <c r="M36" s="23">
        <v>-600</v>
      </c>
      <c r="N36" s="23">
        <v>-600</v>
      </c>
      <c r="O36" s="23">
        <v>-600</v>
      </c>
      <c r="P36" s="23">
        <v>-600</v>
      </c>
      <c r="Q36" s="15">
        <f t="shared" si="0"/>
        <v>3300</v>
      </c>
      <c r="R36" s="17">
        <f t="shared" si="1"/>
        <v>4485</v>
      </c>
    </row>
    <row r="37" spans="1:18" ht="44.25" customHeight="1" thickBot="1">
      <c r="A37" s="18">
        <v>52</v>
      </c>
      <c r="B37" s="19" t="s">
        <v>34</v>
      </c>
      <c r="C37" s="21">
        <v>-475</v>
      </c>
      <c r="D37" s="21">
        <v>-475</v>
      </c>
      <c r="E37" s="21">
        <v>-475</v>
      </c>
      <c r="F37" s="21">
        <v>-475</v>
      </c>
      <c r="G37" s="21">
        <v>-475</v>
      </c>
      <c r="H37" s="22"/>
      <c r="I37" s="21">
        <v>-475</v>
      </c>
      <c r="J37" s="22">
        <v>-475</v>
      </c>
      <c r="K37" s="23">
        <v>-475</v>
      </c>
      <c r="L37" s="23">
        <v>-475</v>
      </c>
      <c r="M37" s="23">
        <v>475</v>
      </c>
      <c r="N37" s="23">
        <v>-475</v>
      </c>
      <c r="O37" s="23">
        <v>-475</v>
      </c>
      <c r="P37" s="23">
        <v>-475</v>
      </c>
      <c r="Q37" s="15">
        <f t="shared" si="0"/>
        <v>475</v>
      </c>
      <c r="R37" s="17">
        <f t="shared" si="1"/>
        <v>5700</v>
      </c>
    </row>
    <row r="38" spans="1:18" ht="44.25" customHeight="1" thickBot="1">
      <c r="A38" s="18">
        <v>53</v>
      </c>
      <c r="B38" s="19" t="s">
        <v>35</v>
      </c>
      <c r="C38" s="21">
        <v>-740</v>
      </c>
      <c r="D38" s="21">
        <v>-740</v>
      </c>
      <c r="E38" s="21">
        <v>-740</v>
      </c>
      <c r="F38" s="21">
        <v>-740</v>
      </c>
      <c r="G38" s="21">
        <v>-740</v>
      </c>
      <c r="H38" s="21">
        <v>-80</v>
      </c>
      <c r="I38" s="21">
        <v>-740</v>
      </c>
      <c r="J38" s="22">
        <v>-740</v>
      </c>
      <c r="K38" s="23">
        <v>-740</v>
      </c>
      <c r="L38" s="23">
        <v>-740</v>
      </c>
      <c r="M38" s="23">
        <v>-740</v>
      </c>
      <c r="N38" s="23">
        <v>-740</v>
      </c>
      <c r="O38" s="23">
        <v>-740</v>
      </c>
      <c r="P38" s="23">
        <v>-740</v>
      </c>
      <c r="Q38" s="15">
        <f t="shared" si="0"/>
        <v>0</v>
      </c>
      <c r="R38" s="17">
        <f t="shared" si="1"/>
        <v>9700</v>
      </c>
    </row>
    <row r="39" spans="1:18" ht="44.25" customHeight="1" thickBot="1">
      <c r="A39" s="18">
        <v>55</v>
      </c>
      <c r="B39" s="19" t="s">
        <v>36</v>
      </c>
      <c r="C39" s="21">
        <v>610</v>
      </c>
      <c r="D39" s="21">
        <v>610</v>
      </c>
      <c r="E39" s="21">
        <v>-610</v>
      </c>
      <c r="F39" s="21">
        <v>-610</v>
      </c>
      <c r="G39" s="21">
        <v>-610</v>
      </c>
      <c r="H39" s="22"/>
      <c r="I39" s="21">
        <v>-610</v>
      </c>
      <c r="J39" s="22">
        <v>-610</v>
      </c>
      <c r="K39" s="23">
        <v>-610</v>
      </c>
      <c r="L39" s="23">
        <v>-610</v>
      </c>
      <c r="M39" s="23">
        <v>-610</v>
      </c>
      <c r="N39" s="23">
        <v>-610</v>
      </c>
      <c r="O39" s="23">
        <v>-610</v>
      </c>
      <c r="P39" s="23">
        <v>-610</v>
      </c>
      <c r="Q39" s="15">
        <f t="shared" si="0"/>
        <v>1220</v>
      </c>
      <c r="R39" s="17">
        <f t="shared" si="1"/>
        <v>6710</v>
      </c>
    </row>
    <row r="40" spans="1:18" ht="44.25" customHeight="1" thickBot="1">
      <c r="A40" s="18">
        <v>57</v>
      </c>
      <c r="B40" s="19" t="s">
        <v>39</v>
      </c>
      <c r="C40" s="21">
        <v>350</v>
      </c>
      <c r="D40" s="21">
        <v>350</v>
      </c>
      <c r="E40" s="21">
        <v>-350</v>
      </c>
      <c r="F40" s="21">
        <v>350</v>
      </c>
      <c r="G40" s="21">
        <v>350</v>
      </c>
      <c r="H40" s="21">
        <v>-80</v>
      </c>
      <c r="I40" s="21">
        <v>350</v>
      </c>
      <c r="J40" s="22">
        <v>350</v>
      </c>
      <c r="K40" s="23">
        <v>350</v>
      </c>
      <c r="L40" s="23">
        <v>350</v>
      </c>
      <c r="M40" s="23">
        <v>350</v>
      </c>
      <c r="N40" s="23">
        <v>350</v>
      </c>
      <c r="O40" s="23">
        <v>350</v>
      </c>
      <c r="P40" s="23">
        <v>350</v>
      </c>
      <c r="Q40" s="15">
        <f t="shared" si="0"/>
        <v>4200</v>
      </c>
      <c r="R40" s="17">
        <f t="shared" si="1"/>
        <v>430</v>
      </c>
    </row>
    <row r="41" spans="1:18" ht="44.25" customHeight="1" thickBot="1">
      <c r="A41" s="18">
        <v>60</v>
      </c>
      <c r="B41" s="19" t="s">
        <v>140</v>
      </c>
      <c r="C41" s="21"/>
      <c r="D41" s="21"/>
      <c r="E41" s="21"/>
      <c r="F41" s="21"/>
      <c r="G41" s="21"/>
      <c r="H41" s="21"/>
      <c r="I41" s="21"/>
      <c r="J41" s="22"/>
      <c r="K41" s="23">
        <v>546</v>
      </c>
      <c r="L41" s="23">
        <v>546</v>
      </c>
      <c r="M41" s="23">
        <v>546</v>
      </c>
      <c r="N41" s="23">
        <v>546</v>
      </c>
      <c r="O41" s="23">
        <v>546</v>
      </c>
      <c r="P41" s="23">
        <v>546</v>
      </c>
      <c r="Q41" s="15">
        <f t="shared" si="0"/>
        <v>3276</v>
      </c>
      <c r="R41" s="17">
        <f t="shared" si="1"/>
        <v>0</v>
      </c>
    </row>
    <row r="42" spans="1:18" ht="44.25" customHeight="1" thickBot="1">
      <c r="A42" s="18">
        <v>61</v>
      </c>
      <c r="B42" s="19" t="s">
        <v>40</v>
      </c>
      <c r="C42" s="21">
        <v>-560</v>
      </c>
      <c r="D42" s="21">
        <v>-560</v>
      </c>
      <c r="E42" s="21">
        <v>560</v>
      </c>
      <c r="F42" s="21">
        <v>560</v>
      </c>
      <c r="G42" s="21">
        <v>560</v>
      </c>
      <c r="H42" s="22"/>
      <c r="I42" s="21">
        <v>560</v>
      </c>
      <c r="J42" s="22">
        <v>595</v>
      </c>
      <c r="K42" s="23">
        <v>560</v>
      </c>
      <c r="L42" s="23">
        <v>560</v>
      </c>
      <c r="M42" s="23">
        <v>560</v>
      </c>
      <c r="N42" s="23">
        <v>560</v>
      </c>
      <c r="O42" s="23">
        <v>560</v>
      </c>
      <c r="P42" s="23">
        <v>560</v>
      </c>
      <c r="Q42" s="15">
        <f t="shared" si="0"/>
        <v>6195</v>
      </c>
      <c r="R42" s="17">
        <f t="shared" si="1"/>
        <v>1120</v>
      </c>
    </row>
    <row r="43" spans="1:18" ht="44.25" customHeight="1" thickBot="1">
      <c r="A43" s="18">
        <v>64</v>
      </c>
      <c r="B43" s="19" t="s">
        <v>41</v>
      </c>
      <c r="C43" s="21">
        <v>1180</v>
      </c>
      <c r="D43" s="21">
        <v>1180</v>
      </c>
      <c r="E43" s="21">
        <v>1180</v>
      </c>
      <c r="F43" s="21">
        <v>1180</v>
      </c>
      <c r="G43" s="21">
        <v>-1180</v>
      </c>
      <c r="H43" s="22">
        <v>-160</v>
      </c>
      <c r="I43" s="21">
        <v>1180</v>
      </c>
      <c r="J43" s="22">
        <v>-1180</v>
      </c>
      <c r="K43" s="23">
        <v>-1180</v>
      </c>
      <c r="L43" s="23">
        <v>-1180</v>
      </c>
      <c r="M43" s="23">
        <v>-1180</v>
      </c>
      <c r="N43" s="23">
        <v>-1180</v>
      </c>
      <c r="O43" s="23">
        <v>-1180</v>
      </c>
      <c r="P43" s="23">
        <v>1180</v>
      </c>
      <c r="Q43" s="15">
        <f t="shared" si="0"/>
        <v>7080</v>
      </c>
      <c r="R43" s="17">
        <f t="shared" si="1"/>
        <v>8420</v>
      </c>
    </row>
    <row r="44" spans="1:18" ht="44.25" customHeight="1" thickBot="1">
      <c r="A44" s="18">
        <v>65</v>
      </c>
      <c r="B44" s="19" t="s">
        <v>42</v>
      </c>
      <c r="C44" s="21">
        <v>2900</v>
      </c>
      <c r="D44" s="21">
        <v>-2900</v>
      </c>
      <c r="E44" s="21">
        <v>2900</v>
      </c>
      <c r="F44" s="21">
        <v>2900</v>
      </c>
      <c r="G44" s="21">
        <v>2900</v>
      </c>
      <c r="H44" s="21">
        <v>160</v>
      </c>
      <c r="I44" s="21">
        <v>2900</v>
      </c>
      <c r="J44" s="22">
        <v>2900</v>
      </c>
      <c r="K44" s="23">
        <v>2900</v>
      </c>
      <c r="L44" s="23">
        <v>2900</v>
      </c>
      <c r="M44" s="23">
        <v>2900</v>
      </c>
      <c r="N44" s="23">
        <v>2900</v>
      </c>
      <c r="O44" s="23">
        <v>2900</v>
      </c>
      <c r="P44" s="23">
        <v>2900</v>
      </c>
      <c r="Q44" s="15">
        <f t="shared" si="0"/>
        <v>34960</v>
      </c>
      <c r="R44" s="17">
        <f t="shared" si="1"/>
        <v>2900</v>
      </c>
    </row>
    <row r="45" spans="1:18" ht="44.25" customHeight="1" thickBot="1">
      <c r="A45" s="18">
        <v>66</v>
      </c>
      <c r="B45" s="19" t="s">
        <v>43</v>
      </c>
      <c r="C45" s="21">
        <v>-1150</v>
      </c>
      <c r="D45" s="21">
        <v>-1150</v>
      </c>
      <c r="E45" s="21">
        <v>-1150</v>
      </c>
      <c r="F45" s="21">
        <v>-1150</v>
      </c>
      <c r="G45" s="21">
        <v>-1150</v>
      </c>
      <c r="H45" s="21">
        <v>-160</v>
      </c>
      <c r="I45" s="21">
        <v>-1150</v>
      </c>
      <c r="J45" s="22">
        <v>-1150</v>
      </c>
      <c r="K45" s="23">
        <v>-1150</v>
      </c>
      <c r="L45" s="23">
        <v>-1150</v>
      </c>
      <c r="M45" s="23">
        <v>-1150</v>
      </c>
      <c r="N45" s="23">
        <v>-1150</v>
      </c>
      <c r="O45" s="23">
        <v>-1150</v>
      </c>
      <c r="P45" s="23">
        <v>-1150</v>
      </c>
      <c r="Q45" s="15">
        <f t="shared" si="0"/>
        <v>0</v>
      </c>
      <c r="R45" s="17">
        <f t="shared" si="1"/>
        <v>15110</v>
      </c>
    </row>
    <row r="46" spans="1:18" ht="44.25" customHeight="1" thickBot="1">
      <c r="A46" s="18">
        <v>69</v>
      </c>
      <c r="B46" s="19" t="s">
        <v>44</v>
      </c>
      <c r="C46" s="21">
        <v>-1150</v>
      </c>
      <c r="D46" s="21">
        <v>1450</v>
      </c>
      <c r="E46" s="21">
        <v>1150</v>
      </c>
      <c r="F46" s="21">
        <v>1150</v>
      </c>
      <c r="G46" s="21">
        <v>1150</v>
      </c>
      <c r="H46" s="22">
        <v>160</v>
      </c>
      <c r="I46" s="21">
        <v>1150</v>
      </c>
      <c r="J46" s="22">
        <v>1150</v>
      </c>
      <c r="K46" s="23">
        <v>1150</v>
      </c>
      <c r="L46" s="23">
        <v>1150</v>
      </c>
      <c r="M46" s="23">
        <v>1150</v>
      </c>
      <c r="N46" s="23">
        <v>-1150</v>
      </c>
      <c r="O46" s="23">
        <v>-1150</v>
      </c>
      <c r="P46" s="23">
        <v>1150</v>
      </c>
      <c r="Q46" s="15">
        <f t="shared" si="0"/>
        <v>11960</v>
      </c>
      <c r="R46" s="17">
        <f t="shared" si="1"/>
        <v>3450</v>
      </c>
    </row>
    <row r="47" spans="1:18" ht="44.25" customHeight="1" thickBot="1">
      <c r="A47" s="18">
        <v>72</v>
      </c>
      <c r="B47" s="19" t="s">
        <v>45</v>
      </c>
      <c r="C47" s="21">
        <v>-430</v>
      </c>
      <c r="D47" s="21">
        <v>430</v>
      </c>
      <c r="E47" s="21">
        <v>430</v>
      </c>
      <c r="F47" s="21">
        <v>430</v>
      </c>
      <c r="G47" s="21">
        <v>430</v>
      </c>
      <c r="H47" s="21">
        <v>160</v>
      </c>
      <c r="I47" s="21">
        <v>430</v>
      </c>
      <c r="J47" s="22">
        <v>430</v>
      </c>
      <c r="K47" s="23">
        <v>430</v>
      </c>
      <c r="L47" s="23">
        <v>430</v>
      </c>
      <c r="M47" s="23">
        <v>430</v>
      </c>
      <c r="N47" s="23">
        <v>430</v>
      </c>
      <c r="O47" s="23">
        <v>430</v>
      </c>
      <c r="P47" s="23">
        <v>430</v>
      </c>
      <c r="Q47" s="15">
        <f t="shared" si="0"/>
        <v>5320</v>
      </c>
      <c r="R47" s="17">
        <f t="shared" si="1"/>
        <v>430</v>
      </c>
    </row>
    <row r="48" spans="1:18" ht="44.25" customHeight="1" thickBot="1">
      <c r="A48" s="18">
        <v>74</v>
      </c>
      <c r="B48" s="19" t="s">
        <v>46</v>
      </c>
      <c r="C48" s="21">
        <v>740</v>
      </c>
      <c r="D48" s="21">
        <v>1025</v>
      </c>
      <c r="E48" s="21">
        <v>740</v>
      </c>
      <c r="F48" s="21">
        <v>740</v>
      </c>
      <c r="G48" s="21">
        <v>740</v>
      </c>
      <c r="H48" s="21">
        <v>160</v>
      </c>
      <c r="I48" s="21">
        <v>-740</v>
      </c>
      <c r="J48" s="22">
        <v>740</v>
      </c>
      <c r="K48" s="23">
        <v>740</v>
      </c>
      <c r="L48" s="23">
        <v>740</v>
      </c>
      <c r="M48" s="23">
        <v>740</v>
      </c>
      <c r="N48" s="23">
        <v>740</v>
      </c>
      <c r="O48" s="23">
        <v>740</v>
      </c>
      <c r="P48" s="23">
        <v>740</v>
      </c>
      <c r="Q48" s="15">
        <f t="shared" si="0"/>
        <v>9325</v>
      </c>
      <c r="R48" s="17">
        <f t="shared" si="1"/>
        <v>740</v>
      </c>
    </row>
    <row r="49" spans="1:18" ht="44.25" customHeight="1" thickBot="1">
      <c r="A49" s="18">
        <v>75</v>
      </c>
      <c r="B49" s="19" t="s">
        <v>47</v>
      </c>
      <c r="C49" s="21">
        <v>200</v>
      </c>
      <c r="D49" s="21">
        <v>200</v>
      </c>
      <c r="E49" s="21">
        <v>200</v>
      </c>
      <c r="F49" s="21">
        <v>200</v>
      </c>
      <c r="G49" s="21">
        <v>200</v>
      </c>
      <c r="H49" s="21"/>
      <c r="I49" s="21">
        <v>200</v>
      </c>
      <c r="J49" s="22">
        <v>200</v>
      </c>
      <c r="K49" s="23">
        <v>200</v>
      </c>
      <c r="L49" s="23">
        <v>200</v>
      </c>
      <c r="M49" s="23">
        <v>200</v>
      </c>
      <c r="N49" s="23">
        <v>200</v>
      </c>
      <c r="O49" s="23"/>
      <c r="P49" s="23">
        <v>200</v>
      </c>
      <c r="Q49" s="15">
        <f t="shared" si="0"/>
        <v>2400</v>
      </c>
      <c r="R49" s="17">
        <f t="shared" si="1"/>
        <v>0</v>
      </c>
    </row>
    <row r="50" spans="1:18" ht="44.25" customHeight="1" thickBot="1">
      <c r="A50" s="18">
        <v>76</v>
      </c>
      <c r="B50" s="19" t="s">
        <v>132</v>
      </c>
      <c r="C50" s="21">
        <v>305</v>
      </c>
      <c r="D50" s="21">
        <v>305</v>
      </c>
      <c r="E50" s="21">
        <v>305</v>
      </c>
      <c r="F50" s="21">
        <v>305</v>
      </c>
      <c r="G50" s="21">
        <v>305</v>
      </c>
      <c r="H50" s="21">
        <v>-80</v>
      </c>
      <c r="I50" s="21">
        <v>305</v>
      </c>
      <c r="J50" s="22">
        <v>305</v>
      </c>
      <c r="K50" s="23">
        <v>305</v>
      </c>
      <c r="L50" s="23"/>
      <c r="M50" s="23"/>
      <c r="N50" s="23"/>
      <c r="O50" s="23"/>
      <c r="P50" s="23"/>
      <c r="Q50" s="15">
        <f t="shared" si="0"/>
        <v>2440</v>
      </c>
      <c r="R50" s="17">
        <f t="shared" si="1"/>
        <v>80</v>
      </c>
    </row>
    <row r="51" spans="1:18" ht="44.25" customHeight="1" thickBot="1">
      <c r="A51" s="319">
        <v>77</v>
      </c>
      <c r="B51" s="318" t="s">
        <v>48</v>
      </c>
      <c r="C51" s="21">
        <v>550</v>
      </c>
      <c r="D51" s="21">
        <v>550</v>
      </c>
      <c r="E51" s="21">
        <v>550</v>
      </c>
      <c r="F51" s="21">
        <v>550</v>
      </c>
      <c r="G51" s="21">
        <v>550</v>
      </c>
      <c r="H51" s="22"/>
      <c r="I51" s="21">
        <v>550</v>
      </c>
      <c r="J51" s="22">
        <v>550</v>
      </c>
      <c r="K51" s="23">
        <v>550</v>
      </c>
      <c r="L51" s="23">
        <v>550</v>
      </c>
      <c r="M51" s="23">
        <v>550</v>
      </c>
      <c r="N51" s="23">
        <v>550</v>
      </c>
      <c r="O51" s="23">
        <v>550</v>
      </c>
      <c r="P51" s="23">
        <v>550</v>
      </c>
      <c r="Q51" s="15">
        <f t="shared" si="0"/>
        <v>7150</v>
      </c>
      <c r="R51" s="17">
        <f t="shared" si="1"/>
        <v>0</v>
      </c>
    </row>
    <row r="52" spans="1:18" ht="44.25" customHeight="1" thickBot="1">
      <c r="A52" s="18">
        <v>79</v>
      </c>
      <c r="B52" s="19" t="s">
        <v>49</v>
      </c>
      <c r="C52" s="21">
        <v>-1575</v>
      </c>
      <c r="D52" s="21">
        <v>1575</v>
      </c>
      <c r="E52" s="21">
        <v>-1575</v>
      </c>
      <c r="F52" s="21">
        <v>1575</v>
      </c>
      <c r="G52" s="21">
        <v>1575</v>
      </c>
      <c r="H52" s="22"/>
      <c r="I52" s="21">
        <v>1575</v>
      </c>
      <c r="J52" s="22">
        <v>1575</v>
      </c>
      <c r="K52" s="23">
        <v>1575</v>
      </c>
      <c r="L52" s="23">
        <v>1575</v>
      </c>
      <c r="M52" s="23">
        <v>1575</v>
      </c>
      <c r="N52" s="23">
        <v>1575</v>
      </c>
      <c r="O52" s="23">
        <v>1575</v>
      </c>
      <c r="P52" s="23">
        <v>1575</v>
      </c>
      <c r="Q52" s="15">
        <f t="shared" si="0"/>
        <v>17325</v>
      </c>
      <c r="R52" s="17">
        <f t="shared" si="1"/>
        <v>3150</v>
      </c>
    </row>
    <row r="53" spans="1:18" ht="44.25" customHeight="1" thickBot="1">
      <c r="A53" s="18">
        <v>80</v>
      </c>
      <c r="B53" s="19" t="s">
        <v>50</v>
      </c>
      <c r="C53" s="21">
        <v>-560</v>
      </c>
      <c r="D53" s="21">
        <v>-845</v>
      </c>
      <c r="E53" s="21">
        <v>560</v>
      </c>
      <c r="F53" s="21">
        <v>560</v>
      </c>
      <c r="G53" s="21">
        <v>560</v>
      </c>
      <c r="H53" s="22"/>
      <c r="I53" s="21">
        <v>560</v>
      </c>
      <c r="J53" s="22">
        <v>560</v>
      </c>
      <c r="K53" s="23">
        <v>560</v>
      </c>
      <c r="L53" s="23">
        <v>560</v>
      </c>
      <c r="M53" s="23">
        <v>560</v>
      </c>
      <c r="N53" s="23">
        <v>560</v>
      </c>
      <c r="O53" s="23">
        <v>560</v>
      </c>
      <c r="P53" s="23">
        <v>560</v>
      </c>
      <c r="Q53" s="15">
        <f t="shared" si="0"/>
        <v>6160</v>
      </c>
      <c r="R53" s="17">
        <f t="shared" si="1"/>
        <v>1405</v>
      </c>
    </row>
    <row r="54" spans="1:18" ht="44.25" customHeight="1" thickBot="1">
      <c r="A54" s="18">
        <v>82</v>
      </c>
      <c r="B54" s="19" t="s">
        <v>51</v>
      </c>
      <c r="C54" s="21">
        <v>460</v>
      </c>
      <c r="D54" s="21">
        <v>460</v>
      </c>
      <c r="E54" s="21">
        <v>460</v>
      </c>
      <c r="F54" s="21">
        <v>460</v>
      </c>
      <c r="G54" s="21">
        <v>460</v>
      </c>
      <c r="H54" s="21"/>
      <c r="I54" s="21">
        <v>460</v>
      </c>
      <c r="J54" s="22">
        <v>460</v>
      </c>
      <c r="K54" s="23">
        <v>460</v>
      </c>
      <c r="L54" s="23">
        <v>460</v>
      </c>
      <c r="M54" s="23">
        <v>460</v>
      </c>
      <c r="N54" s="23">
        <v>460</v>
      </c>
      <c r="O54" s="23">
        <v>460</v>
      </c>
      <c r="P54" s="23">
        <v>460</v>
      </c>
      <c r="Q54" s="15">
        <f t="shared" si="0"/>
        <v>5980</v>
      </c>
      <c r="R54" s="17">
        <f t="shared" si="1"/>
        <v>0</v>
      </c>
    </row>
    <row r="55" spans="1:18" ht="44.25" customHeight="1" thickBot="1">
      <c r="A55" s="18">
        <v>85</v>
      </c>
      <c r="B55" s="19" t="s">
        <v>52</v>
      </c>
      <c r="C55" s="21">
        <v>3300</v>
      </c>
      <c r="D55" s="21">
        <v>3300</v>
      </c>
      <c r="E55" s="21">
        <v>3600</v>
      </c>
      <c r="F55" s="21">
        <v>3600</v>
      </c>
      <c r="G55" s="21">
        <v>3600</v>
      </c>
      <c r="H55" s="22">
        <v>-80</v>
      </c>
      <c r="I55" s="21">
        <v>3600</v>
      </c>
      <c r="J55" s="22">
        <v>3600</v>
      </c>
      <c r="K55" s="23">
        <v>3600</v>
      </c>
      <c r="L55" s="23">
        <v>3600</v>
      </c>
      <c r="M55" s="23">
        <v>3600</v>
      </c>
      <c r="N55" s="23">
        <v>3600</v>
      </c>
      <c r="O55" s="23"/>
      <c r="P55" s="23">
        <v>3600</v>
      </c>
      <c r="Q55" s="15">
        <f t="shared" si="0"/>
        <v>42600</v>
      </c>
      <c r="R55" s="17">
        <f t="shared" si="1"/>
        <v>80</v>
      </c>
    </row>
    <row r="56" spans="1:18" ht="44.25" customHeight="1" thickBot="1">
      <c r="A56" s="18">
        <v>87</v>
      </c>
      <c r="B56" s="19" t="s">
        <v>54</v>
      </c>
      <c r="C56" s="21">
        <v>460</v>
      </c>
      <c r="D56" s="21">
        <v>460</v>
      </c>
      <c r="E56" s="21">
        <v>460</v>
      </c>
      <c r="F56" s="21">
        <v>-460</v>
      </c>
      <c r="G56" s="21">
        <v>-460</v>
      </c>
      <c r="H56" s="21">
        <v>-80</v>
      </c>
      <c r="I56" s="21">
        <v>460</v>
      </c>
      <c r="J56" s="22">
        <v>460</v>
      </c>
      <c r="K56" s="23">
        <v>1260</v>
      </c>
      <c r="L56" s="23">
        <v>460</v>
      </c>
      <c r="M56" s="23">
        <v>460</v>
      </c>
      <c r="N56" s="23">
        <v>460</v>
      </c>
      <c r="O56" s="23">
        <v>460</v>
      </c>
      <c r="P56" s="23">
        <v>-460</v>
      </c>
      <c r="Q56" s="15">
        <f t="shared" si="0"/>
        <v>5400</v>
      </c>
      <c r="R56" s="17">
        <f t="shared" si="1"/>
        <v>1460</v>
      </c>
    </row>
    <row r="57" spans="1:18" ht="44.25" customHeight="1" thickBot="1">
      <c r="A57" s="18">
        <v>92</v>
      </c>
      <c r="B57" s="19" t="s">
        <v>55</v>
      </c>
      <c r="C57" s="21">
        <v>-395</v>
      </c>
      <c r="D57" s="21">
        <v>395</v>
      </c>
      <c r="E57" s="21">
        <v>-395</v>
      </c>
      <c r="F57" s="21">
        <v>-395</v>
      </c>
      <c r="G57" s="21">
        <v>-395</v>
      </c>
      <c r="H57" s="21"/>
      <c r="I57" s="21">
        <v>395</v>
      </c>
      <c r="J57" s="22">
        <v>-395</v>
      </c>
      <c r="K57" s="23">
        <v>395</v>
      </c>
      <c r="L57" s="23">
        <v>-395</v>
      </c>
      <c r="M57" s="23">
        <v>-395</v>
      </c>
      <c r="N57" s="23">
        <v>395</v>
      </c>
      <c r="O57" s="23">
        <v>395</v>
      </c>
      <c r="P57" s="23">
        <v>395</v>
      </c>
      <c r="Q57" s="15">
        <f t="shared" si="0"/>
        <v>2370</v>
      </c>
      <c r="R57" s="17">
        <f t="shared" si="1"/>
        <v>2765</v>
      </c>
    </row>
    <row r="58" spans="1:18" ht="44.25" customHeight="1" thickBot="1">
      <c r="A58" s="18">
        <v>93</v>
      </c>
      <c r="B58" s="19" t="s">
        <v>56</v>
      </c>
      <c r="C58" s="21">
        <v>-1155</v>
      </c>
      <c r="D58" s="21">
        <v>-1155</v>
      </c>
      <c r="E58" s="21">
        <v>-1155</v>
      </c>
      <c r="F58" s="21">
        <v>-1155</v>
      </c>
      <c r="G58" s="21">
        <v>-1155</v>
      </c>
      <c r="H58" s="21"/>
      <c r="I58" s="21">
        <v>-1155</v>
      </c>
      <c r="J58" s="22">
        <v>-1155</v>
      </c>
      <c r="K58" s="23">
        <v>-1155</v>
      </c>
      <c r="L58" s="23">
        <v>-1155</v>
      </c>
      <c r="M58" s="23">
        <v>-1155</v>
      </c>
      <c r="N58" s="23">
        <v>-1155</v>
      </c>
      <c r="O58" s="23">
        <v>-1155</v>
      </c>
      <c r="P58" s="23">
        <v>-1155</v>
      </c>
      <c r="Q58" s="15">
        <f t="shared" si="0"/>
        <v>0</v>
      </c>
      <c r="R58" s="17">
        <f t="shared" si="1"/>
        <v>15015</v>
      </c>
    </row>
    <row r="59" spans="1:18" ht="44.25" customHeight="1" thickBot="1">
      <c r="A59" s="24">
        <v>94</v>
      </c>
      <c r="B59" s="25" t="s">
        <v>57</v>
      </c>
      <c r="C59" s="45" t="s">
        <v>280</v>
      </c>
      <c r="D59" s="21">
        <v>-1365</v>
      </c>
      <c r="E59" s="21">
        <v>-1365</v>
      </c>
      <c r="F59" s="21">
        <v>-1365</v>
      </c>
      <c r="G59" s="21">
        <v>1365</v>
      </c>
      <c r="H59" s="21">
        <v>80</v>
      </c>
      <c r="I59" s="21">
        <v>-1365</v>
      </c>
      <c r="J59" s="22">
        <v>-1365</v>
      </c>
      <c r="K59" s="23">
        <v>-1365</v>
      </c>
      <c r="L59" s="23">
        <v>-1365</v>
      </c>
      <c r="M59" s="23">
        <v>-1365</v>
      </c>
      <c r="N59" s="23">
        <v>-1365</v>
      </c>
      <c r="O59" s="23">
        <v>-1365</v>
      </c>
      <c r="P59" s="23">
        <v>-1365</v>
      </c>
      <c r="Q59" s="15">
        <f t="shared" si="0"/>
        <v>1445</v>
      </c>
      <c r="R59" s="17">
        <f t="shared" si="1"/>
        <v>15015</v>
      </c>
    </row>
    <row r="60" spans="1:18" ht="44.25" customHeight="1" thickBot="1">
      <c r="A60" s="18">
        <v>101</v>
      </c>
      <c r="B60" s="19" t="s">
        <v>58</v>
      </c>
      <c r="C60" s="21">
        <v>-715</v>
      </c>
      <c r="D60" s="21">
        <v>-715</v>
      </c>
      <c r="E60" s="21">
        <v>-715</v>
      </c>
      <c r="F60" s="21">
        <v>-715</v>
      </c>
      <c r="G60" s="21">
        <v>-715</v>
      </c>
      <c r="H60" s="21"/>
      <c r="I60" s="21">
        <v>-715</v>
      </c>
      <c r="J60" s="22">
        <v>-715</v>
      </c>
      <c r="K60" s="23">
        <v>-715</v>
      </c>
      <c r="L60" s="23">
        <v>-715</v>
      </c>
      <c r="M60" s="23">
        <v>-715</v>
      </c>
      <c r="N60" s="23">
        <v>-715</v>
      </c>
      <c r="O60" s="23">
        <v>-715</v>
      </c>
      <c r="P60" s="23">
        <v>-715</v>
      </c>
      <c r="Q60" s="15">
        <f t="shared" si="0"/>
        <v>0</v>
      </c>
      <c r="R60" s="17">
        <f t="shared" si="1"/>
        <v>9295</v>
      </c>
    </row>
    <row r="61" spans="1:18" ht="44.25" customHeight="1" thickBot="1">
      <c r="A61" s="18">
        <v>103</v>
      </c>
      <c r="B61" s="19" t="s">
        <v>59</v>
      </c>
      <c r="C61" s="21">
        <v>2800</v>
      </c>
      <c r="D61" s="21">
        <v>2800</v>
      </c>
      <c r="E61" s="21">
        <v>2800</v>
      </c>
      <c r="F61" s="21">
        <v>2800</v>
      </c>
      <c r="G61" s="21">
        <v>2800</v>
      </c>
      <c r="H61" s="21">
        <v>80</v>
      </c>
      <c r="I61" s="21">
        <v>2800</v>
      </c>
      <c r="J61" s="22">
        <v>2800</v>
      </c>
      <c r="K61" s="23">
        <v>2800</v>
      </c>
      <c r="L61" s="23">
        <v>2800</v>
      </c>
      <c r="M61" s="23">
        <v>2800</v>
      </c>
      <c r="N61" s="23">
        <v>-2800</v>
      </c>
      <c r="O61" s="23">
        <v>-2800</v>
      </c>
      <c r="P61" s="23">
        <v>2800</v>
      </c>
      <c r="Q61" s="15">
        <f t="shared" si="0"/>
        <v>30880</v>
      </c>
      <c r="R61" s="17">
        <f t="shared" si="1"/>
        <v>5600</v>
      </c>
    </row>
    <row r="62" spans="1:18" ht="44.25" customHeight="1" thickBot="1">
      <c r="A62" s="18">
        <v>104</v>
      </c>
      <c r="B62" s="19" t="s">
        <v>60</v>
      </c>
      <c r="C62" s="21">
        <v>685</v>
      </c>
      <c r="D62" s="21">
        <v>685</v>
      </c>
      <c r="E62" s="21">
        <v>685</v>
      </c>
      <c r="F62" s="21">
        <v>685</v>
      </c>
      <c r="G62" s="21">
        <v>685</v>
      </c>
      <c r="H62" s="21">
        <v>80</v>
      </c>
      <c r="I62" s="21">
        <v>970</v>
      </c>
      <c r="J62" s="22">
        <v>685</v>
      </c>
      <c r="K62" s="23">
        <v>685</v>
      </c>
      <c r="L62" s="23">
        <v>685</v>
      </c>
      <c r="M62" s="23">
        <v>685</v>
      </c>
      <c r="N62" s="23">
        <v>685</v>
      </c>
      <c r="O62" s="23">
        <v>685</v>
      </c>
      <c r="P62" s="23">
        <v>685</v>
      </c>
      <c r="Q62" s="15">
        <f t="shared" si="0"/>
        <v>9270</v>
      </c>
      <c r="R62" s="17">
        <f t="shared" si="1"/>
        <v>0</v>
      </c>
    </row>
    <row r="63" spans="1:18" ht="44.25" customHeight="1" thickBot="1">
      <c r="A63" s="18">
        <v>107</v>
      </c>
      <c r="B63" s="19" t="s">
        <v>61</v>
      </c>
      <c r="C63" s="21">
        <v>-420</v>
      </c>
      <c r="D63" s="21">
        <v>-420</v>
      </c>
      <c r="E63" s="21">
        <v>-420</v>
      </c>
      <c r="F63" s="21">
        <v>-420</v>
      </c>
      <c r="G63" s="21">
        <v>-420</v>
      </c>
      <c r="H63" s="21"/>
      <c r="I63" s="21">
        <v>-420</v>
      </c>
      <c r="J63" s="22">
        <v>-420</v>
      </c>
      <c r="K63" s="23">
        <v>-420</v>
      </c>
      <c r="L63" s="23">
        <v>-420</v>
      </c>
      <c r="M63" s="23">
        <v>-420</v>
      </c>
      <c r="N63" s="23">
        <v>-420</v>
      </c>
      <c r="O63" s="23">
        <v>-420</v>
      </c>
      <c r="P63" s="23">
        <v>-420</v>
      </c>
      <c r="Q63" s="15">
        <f t="shared" si="0"/>
        <v>0</v>
      </c>
      <c r="R63" s="17">
        <f t="shared" si="1"/>
        <v>5460</v>
      </c>
    </row>
    <row r="64" spans="1:18" ht="44.25" customHeight="1" thickBot="1">
      <c r="A64" s="18">
        <v>108</v>
      </c>
      <c r="B64" s="19" t="s">
        <v>62</v>
      </c>
      <c r="C64" s="21">
        <v>-2005</v>
      </c>
      <c r="D64" s="21">
        <v>-2025</v>
      </c>
      <c r="E64" s="21">
        <v>-2025</v>
      </c>
      <c r="F64" s="21">
        <v>-2025</v>
      </c>
      <c r="G64" s="21">
        <v>-2025</v>
      </c>
      <c r="H64" s="21">
        <v>-80</v>
      </c>
      <c r="I64" s="21">
        <v>-2025</v>
      </c>
      <c r="J64" s="22">
        <v>-2025</v>
      </c>
      <c r="K64" s="23">
        <v>-2025</v>
      </c>
      <c r="L64" s="23">
        <v>-2025</v>
      </c>
      <c r="M64" s="23">
        <v>-2025</v>
      </c>
      <c r="N64" s="23">
        <v>-2025</v>
      </c>
      <c r="O64" s="23">
        <v>-495</v>
      </c>
      <c r="P64" s="23">
        <v>-2025</v>
      </c>
      <c r="Q64" s="15">
        <f t="shared" si="0"/>
        <v>0</v>
      </c>
      <c r="R64" s="17">
        <f t="shared" si="1"/>
        <v>24855</v>
      </c>
    </row>
    <row r="65" spans="1:18" ht="44.25" customHeight="1" thickBot="1">
      <c r="A65" s="18">
        <v>109</v>
      </c>
      <c r="B65" s="19" t="s">
        <v>63</v>
      </c>
      <c r="C65" s="21">
        <v>260</v>
      </c>
      <c r="D65" s="21">
        <v>260</v>
      </c>
      <c r="E65" s="21">
        <v>260</v>
      </c>
      <c r="F65" s="21">
        <v>260</v>
      </c>
      <c r="G65" s="21">
        <v>260</v>
      </c>
      <c r="H65" s="22"/>
      <c r="I65" s="21">
        <v>260</v>
      </c>
      <c r="J65" s="22">
        <v>260</v>
      </c>
      <c r="K65" s="23">
        <v>260</v>
      </c>
      <c r="L65" s="23">
        <v>260</v>
      </c>
      <c r="M65" s="23">
        <v>-260</v>
      </c>
      <c r="N65" s="23">
        <v>260</v>
      </c>
      <c r="O65" s="23"/>
      <c r="P65" s="23">
        <v>260</v>
      </c>
      <c r="Q65" s="15">
        <f t="shared" si="0"/>
        <v>2860</v>
      </c>
      <c r="R65" s="17">
        <f t="shared" si="1"/>
        <v>260</v>
      </c>
    </row>
    <row r="66" spans="1:18" ht="44.25" customHeight="1" thickBot="1">
      <c r="A66" s="18">
        <v>110</v>
      </c>
      <c r="B66" s="19" t="s">
        <v>64</v>
      </c>
      <c r="C66" s="21">
        <v>-250</v>
      </c>
      <c r="D66" s="21">
        <v>-250</v>
      </c>
      <c r="E66" s="21">
        <v>250</v>
      </c>
      <c r="F66" s="21">
        <v>-250</v>
      </c>
      <c r="G66" s="21">
        <v>-250</v>
      </c>
      <c r="H66" s="21"/>
      <c r="I66" s="21">
        <v>250</v>
      </c>
      <c r="J66" s="22">
        <v>250</v>
      </c>
      <c r="K66" s="23">
        <v>-250</v>
      </c>
      <c r="L66" s="23">
        <v>-250</v>
      </c>
      <c r="M66" s="23">
        <v>-250</v>
      </c>
      <c r="N66" s="23">
        <v>-250</v>
      </c>
      <c r="O66" s="23">
        <v>-250</v>
      </c>
      <c r="P66" s="23">
        <v>-250</v>
      </c>
      <c r="Q66" s="15">
        <f t="shared" si="0"/>
        <v>750</v>
      </c>
      <c r="R66" s="17">
        <f t="shared" si="1"/>
        <v>2500</v>
      </c>
    </row>
    <row r="67" spans="1:18" ht="44.25" customHeight="1" thickBot="1">
      <c r="A67" s="18">
        <v>111</v>
      </c>
      <c r="B67" s="19" t="s">
        <v>65</v>
      </c>
      <c r="C67" s="21">
        <v>265</v>
      </c>
      <c r="D67" s="21">
        <v>265</v>
      </c>
      <c r="E67" s="21">
        <v>265</v>
      </c>
      <c r="F67" s="21">
        <v>265</v>
      </c>
      <c r="G67" s="21">
        <v>265</v>
      </c>
      <c r="H67" s="21"/>
      <c r="I67" s="21">
        <v>265</v>
      </c>
      <c r="J67" s="22">
        <v>265</v>
      </c>
      <c r="K67" s="23">
        <v>265</v>
      </c>
      <c r="L67" s="23">
        <v>265</v>
      </c>
      <c r="M67" s="23">
        <v>265</v>
      </c>
      <c r="N67" s="23">
        <v>265</v>
      </c>
      <c r="O67" s="23"/>
      <c r="P67" s="23">
        <v>265</v>
      </c>
      <c r="Q67" s="15">
        <f t="shared" si="0"/>
        <v>3180</v>
      </c>
      <c r="R67" s="17">
        <f t="shared" si="1"/>
        <v>0</v>
      </c>
    </row>
    <row r="68" spans="1:18" ht="44.25" customHeight="1" thickBot="1">
      <c r="A68" s="18">
        <v>113</v>
      </c>
      <c r="B68" s="19" t="s">
        <v>66</v>
      </c>
      <c r="C68" s="21">
        <v>2200</v>
      </c>
      <c r="D68" s="21">
        <v>2200</v>
      </c>
      <c r="E68" s="21">
        <v>2450</v>
      </c>
      <c r="F68" s="21">
        <v>2450</v>
      </c>
      <c r="G68" s="21">
        <v>2450</v>
      </c>
      <c r="H68" s="22"/>
      <c r="I68" s="21">
        <v>2450</v>
      </c>
      <c r="J68" s="22">
        <v>2450</v>
      </c>
      <c r="K68" s="23">
        <v>2450</v>
      </c>
      <c r="L68" s="23">
        <v>2450</v>
      </c>
      <c r="M68" s="23">
        <v>2450</v>
      </c>
      <c r="N68" s="23">
        <v>2450</v>
      </c>
      <c r="O68" s="23"/>
      <c r="P68" s="23">
        <v>2450</v>
      </c>
      <c r="Q68" s="15">
        <f t="shared" ref="Q68:Q134" si="2">SUMIFS(C68:P68,C68:P68,"&gt;1")</f>
        <v>28900</v>
      </c>
      <c r="R68" s="17">
        <f t="shared" ref="R68:R134" si="3">-(SUMIFS(C68:P68,C68:P68,"&lt;1"))</f>
        <v>0</v>
      </c>
    </row>
    <row r="69" spans="1:18" ht="44.25" customHeight="1" thickBot="1">
      <c r="A69" s="18">
        <v>115</v>
      </c>
      <c r="B69" s="19" t="s">
        <v>67</v>
      </c>
      <c r="C69" s="21">
        <v>220</v>
      </c>
      <c r="D69" s="21">
        <v>220</v>
      </c>
      <c r="E69" s="21">
        <v>220</v>
      </c>
      <c r="F69" s="21">
        <v>-220</v>
      </c>
      <c r="G69" s="21">
        <v>220</v>
      </c>
      <c r="H69" s="21"/>
      <c r="I69" s="21">
        <v>-220</v>
      </c>
      <c r="J69" s="22">
        <v>220</v>
      </c>
      <c r="K69" s="23">
        <v>220</v>
      </c>
      <c r="L69" s="23">
        <v>-220</v>
      </c>
      <c r="M69" s="23">
        <v>220</v>
      </c>
      <c r="N69" s="23">
        <v>220</v>
      </c>
      <c r="O69" s="23"/>
      <c r="P69" s="23">
        <v>220</v>
      </c>
      <c r="Q69" s="15">
        <f t="shared" si="2"/>
        <v>1980</v>
      </c>
      <c r="R69" s="17">
        <f t="shared" si="3"/>
        <v>660</v>
      </c>
    </row>
    <row r="70" spans="1:18" ht="44.25" customHeight="1" thickBot="1">
      <c r="A70" s="18">
        <v>116</v>
      </c>
      <c r="B70" s="19" t="s">
        <v>68</v>
      </c>
      <c r="C70" s="21">
        <v>530</v>
      </c>
      <c r="D70" s="21">
        <v>530</v>
      </c>
      <c r="E70" s="21">
        <v>530</v>
      </c>
      <c r="F70" s="21">
        <v>530</v>
      </c>
      <c r="G70" s="21">
        <v>530</v>
      </c>
      <c r="H70" s="21"/>
      <c r="I70" s="21">
        <v>530</v>
      </c>
      <c r="J70" s="22">
        <v>530</v>
      </c>
      <c r="K70" s="23">
        <v>530</v>
      </c>
      <c r="L70" s="23">
        <v>530</v>
      </c>
      <c r="M70" s="23">
        <v>530</v>
      </c>
      <c r="N70" s="23">
        <v>530</v>
      </c>
      <c r="O70" s="23">
        <v>530</v>
      </c>
      <c r="P70" s="23">
        <v>530</v>
      </c>
      <c r="Q70" s="15">
        <f t="shared" si="2"/>
        <v>6890</v>
      </c>
      <c r="R70" s="17">
        <f t="shared" si="3"/>
        <v>0</v>
      </c>
    </row>
    <row r="71" spans="1:18" ht="44.25" customHeight="1" thickBot="1">
      <c r="A71" s="18">
        <v>117</v>
      </c>
      <c r="B71" s="19" t="s">
        <v>69</v>
      </c>
      <c r="C71" s="21">
        <v>640</v>
      </c>
      <c r="D71" s="21">
        <v>640</v>
      </c>
      <c r="E71" s="21">
        <v>640</v>
      </c>
      <c r="F71" s="21">
        <v>-640</v>
      </c>
      <c r="G71" s="21">
        <v>640</v>
      </c>
      <c r="H71" s="21">
        <v>-160</v>
      </c>
      <c r="I71" s="21">
        <v>640</v>
      </c>
      <c r="J71" s="22">
        <v>-640</v>
      </c>
      <c r="K71" s="23">
        <v>640</v>
      </c>
      <c r="L71" s="23">
        <v>640</v>
      </c>
      <c r="M71" s="23">
        <v>640</v>
      </c>
      <c r="N71" s="23">
        <v>640</v>
      </c>
      <c r="O71" s="23">
        <v>640</v>
      </c>
      <c r="P71" s="23">
        <v>640</v>
      </c>
      <c r="Q71" s="15">
        <f t="shared" si="2"/>
        <v>7040</v>
      </c>
      <c r="R71" s="17">
        <f t="shared" si="3"/>
        <v>1440</v>
      </c>
    </row>
    <row r="72" spans="1:18" ht="44.25" customHeight="1" thickBot="1">
      <c r="A72" s="18">
        <v>120</v>
      </c>
      <c r="B72" s="19" t="s">
        <v>70</v>
      </c>
      <c r="C72" s="21">
        <v>-295</v>
      </c>
      <c r="D72" s="21">
        <v>-295</v>
      </c>
      <c r="E72" s="21">
        <v>-295</v>
      </c>
      <c r="F72" s="21">
        <v>-295</v>
      </c>
      <c r="G72" s="21">
        <v>-295</v>
      </c>
      <c r="H72" s="21"/>
      <c r="I72" s="21">
        <v>-295</v>
      </c>
      <c r="J72" s="22">
        <v>-295</v>
      </c>
      <c r="K72" s="23">
        <v>-295</v>
      </c>
      <c r="L72" s="23">
        <v>-295</v>
      </c>
      <c r="M72" s="23">
        <v>-295</v>
      </c>
      <c r="N72" s="23">
        <v>-295</v>
      </c>
      <c r="O72" s="23">
        <v>-295</v>
      </c>
      <c r="P72" s="23">
        <v>-295</v>
      </c>
      <c r="Q72" s="15">
        <f t="shared" si="2"/>
        <v>0</v>
      </c>
      <c r="R72" s="17">
        <f t="shared" si="3"/>
        <v>3835</v>
      </c>
    </row>
    <row r="73" spans="1:18" ht="44.25" customHeight="1" thickBot="1">
      <c r="A73" s="18">
        <v>121</v>
      </c>
      <c r="B73" s="19" t="s">
        <v>71</v>
      </c>
      <c r="C73" s="21">
        <v>250</v>
      </c>
      <c r="D73" s="21">
        <v>250</v>
      </c>
      <c r="E73" s="21">
        <v>250</v>
      </c>
      <c r="F73" s="21">
        <v>250</v>
      </c>
      <c r="G73" s="21">
        <v>250</v>
      </c>
      <c r="H73" s="21">
        <v>80</v>
      </c>
      <c r="I73" s="21">
        <v>250</v>
      </c>
      <c r="J73" s="22">
        <v>250</v>
      </c>
      <c r="K73" s="23">
        <v>250</v>
      </c>
      <c r="L73" s="23">
        <v>250</v>
      </c>
      <c r="M73" s="23">
        <v>250</v>
      </c>
      <c r="N73" s="23">
        <v>250</v>
      </c>
      <c r="O73" s="23">
        <v>250</v>
      </c>
      <c r="P73" s="23">
        <v>250</v>
      </c>
      <c r="Q73" s="15">
        <f t="shared" si="2"/>
        <v>3330</v>
      </c>
      <c r="R73" s="17">
        <f t="shared" si="3"/>
        <v>0</v>
      </c>
    </row>
    <row r="74" spans="1:18" ht="44.25" customHeight="1" thickBot="1">
      <c r="A74" s="18">
        <v>122</v>
      </c>
      <c r="B74" s="19" t="s">
        <v>72</v>
      </c>
      <c r="C74" s="21">
        <v>800</v>
      </c>
      <c r="D74" s="21">
        <v>800</v>
      </c>
      <c r="E74" s="21">
        <v>800</v>
      </c>
      <c r="F74" s="21">
        <v>800</v>
      </c>
      <c r="G74" s="21">
        <v>800</v>
      </c>
      <c r="H74" s="21">
        <v>80</v>
      </c>
      <c r="I74" s="21">
        <v>-800</v>
      </c>
      <c r="J74" s="22">
        <v>800</v>
      </c>
      <c r="K74" s="23">
        <v>800</v>
      </c>
      <c r="L74" s="23">
        <v>800</v>
      </c>
      <c r="M74" s="23">
        <v>800</v>
      </c>
      <c r="N74" s="23">
        <v>1600</v>
      </c>
      <c r="O74" s="23">
        <v>1600</v>
      </c>
      <c r="P74" s="23">
        <v>800</v>
      </c>
      <c r="Q74" s="15">
        <f t="shared" si="2"/>
        <v>11280</v>
      </c>
      <c r="R74" s="17">
        <f t="shared" si="3"/>
        <v>800</v>
      </c>
    </row>
    <row r="75" spans="1:18" ht="44.25" customHeight="1" thickBot="1">
      <c r="A75" s="18">
        <v>125</v>
      </c>
      <c r="B75" s="19" t="s">
        <v>73</v>
      </c>
      <c r="C75" s="21">
        <v>250</v>
      </c>
      <c r="D75" s="21">
        <v>250</v>
      </c>
      <c r="E75" s="21">
        <v>250</v>
      </c>
      <c r="F75" s="21">
        <v>250</v>
      </c>
      <c r="G75" s="21"/>
      <c r="H75" s="22"/>
      <c r="I75" s="21"/>
      <c r="J75" s="22"/>
      <c r="K75" s="23"/>
      <c r="L75" s="23"/>
      <c r="M75" s="23"/>
      <c r="N75" s="23"/>
      <c r="O75" s="23"/>
      <c r="P75" s="23"/>
      <c r="Q75" s="15">
        <f t="shared" si="2"/>
        <v>1000</v>
      </c>
      <c r="R75" s="17">
        <f t="shared" si="3"/>
        <v>0</v>
      </c>
    </row>
    <row r="76" spans="1:18" ht="44.25" customHeight="1" thickBot="1">
      <c r="A76" s="18">
        <v>127</v>
      </c>
      <c r="B76" s="19" t="s">
        <v>74</v>
      </c>
      <c r="C76" s="21">
        <v>-315</v>
      </c>
      <c r="D76" s="21">
        <v>-315</v>
      </c>
      <c r="E76" s="21">
        <v>-315</v>
      </c>
      <c r="F76" s="21">
        <v>-315</v>
      </c>
      <c r="G76" s="21">
        <v>-315</v>
      </c>
      <c r="H76" s="21"/>
      <c r="I76" s="21">
        <v>-315</v>
      </c>
      <c r="J76" s="22">
        <v>-315</v>
      </c>
      <c r="K76" s="23"/>
      <c r="L76" s="23"/>
      <c r="M76" s="23"/>
      <c r="N76" s="23"/>
      <c r="O76" s="23"/>
      <c r="P76" s="23"/>
      <c r="Q76" s="15">
        <f t="shared" si="2"/>
        <v>0</v>
      </c>
      <c r="R76" s="17">
        <f t="shared" si="3"/>
        <v>2205</v>
      </c>
    </row>
    <row r="77" spans="1:18" ht="44.25" customHeight="1" thickBot="1">
      <c r="A77" s="18">
        <v>128</v>
      </c>
      <c r="B77" s="19" t="s">
        <v>75</v>
      </c>
      <c r="C77" s="21">
        <v>655</v>
      </c>
      <c r="D77" s="21">
        <v>655</v>
      </c>
      <c r="E77" s="21">
        <v>655</v>
      </c>
      <c r="F77" s="21">
        <v>655</v>
      </c>
      <c r="G77" s="21">
        <v>655</v>
      </c>
      <c r="H77" s="21"/>
      <c r="I77" s="21">
        <v>655</v>
      </c>
      <c r="J77" s="22">
        <v>655</v>
      </c>
      <c r="K77" s="23">
        <v>655</v>
      </c>
      <c r="L77" s="23">
        <v>655</v>
      </c>
      <c r="M77" s="23">
        <v>655</v>
      </c>
      <c r="N77" s="23">
        <v>655</v>
      </c>
      <c r="O77" s="23">
        <v>655</v>
      </c>
      <c r="P77" s="23">
        <v>655</v>
      </c>
      <c r="Q77" s="15">
        <f t="shared" si="2"/>
        <v>8515</v>
      </c>
      <c r="R77" s="17">
        <f t="shared" si="3"/>
        <v>0</v>
      </c>
    </row>
    <row r="78" spans="1:18" ht="44.25" customHeight="1" thickBot="1">
      <c r="A78" s="18">
        <v>129</v>
      </c>
      <c r="B78" s="19" t="s">
        <v>76</v>
      </c>
      <c r="C78" s="21">
        <v>3030</v>
      </c>
      <c r="D78" s="21">
        <v>3285</v>
      </c>
      <c r="E78" s="21">
        <v>3000</v>
      </c>
      <c r="F78" s="21">
        <v>3000</v>
      </c>
      <c r="G78" s="21">
        <v>3000</v>
      </c>
      <c r="H78" s="22">
        <v>320</v>
      </c>
      <c r="I78" s="21">
        <v>3030</v>
      </c>
      <c r="J78" s="22">
        <v>3000</v>
      </c>
      <c r="K78" s="23">
        <v>3000</v>
      </c>
      <c r="L78" s="23">
        <v>3000</v>
      </c>
      <c r="M78" s="23">
        <v>3000</v>
      </c>
      <c r="N78" s="23">
        <v>3000</v>
      </c>
      <c r="O78" s="23">
        <v>3000</v>
      </c>
      <c r="P78" s="23">
        <v>3000</v>
      </c>
      <c r="Q78" s="15">
        <f t="shared" si="2"/>
        <v>39665</v>
      </c>
      <c r="R78" s="17">
        <f t="shared" si="3"/>
        <v>0</v>
      </c>
    </row>
    <row r="79" spans="1:18" ht="44.25" customHeight="1" thickBot="1">
      <c r="A79" s="18">
        <v>130</v>
      </c>
      <c r="B79" s="19" t="s">
        <v>77</v>
      </c>
      <c r="C79" s="21">
        <v>-190</v>
      </c>
      <c r="D79" s="21">
        <v>190</v>
      </c>
      <c r="E79" s="21">
        <v>190</v>
      </c>
      <c r="F79" s="21">
        <v>190</v>
      </c>
      <c r="G79" s="21">
        <v>190</v>
      </c>
      <c r="H79" s="21"/>
      <c r="I79" s="21">
        <v>190</v>
      </c>
      <c r="J79" s="22">
        <v>190</v>
      </c>
      <c r="K79" s="23">
        <v>190</v>
      </c>
      <c r="L79" s="23">
        <v>190</v>
      </c>
      <c r="M79" s="23">
        <v>190</v>
      </c>
      <c r="N79" s="23">
        <v>190</v>
      </c>
      <c r="O79" s="23">
        <v>190</v>
      </c>
      <c r="P79" s="23">
        <v>190</v>
      </c>
      <c r="Q79" s="15">
        <f t="shared" si="2"/>
        <v>2280</v>
      </c>
      <c r="R79" s="17">
        <f t="shared" si="3"/>
        <v>190</v>
      </c>
    </row>
    <row r="80" spans="1:18" ht="44.25" customHeight="1" thickBot="1">
      <c r="A80" s="18">
        <v>132</v>
      </c>
      <c r="B80" s="19" t="s">
        <v>78</v>
      </c>
      <c r="C80" s="21">
        <v>895</v>
      </c>
      <c r="D80" s="21">
        <v>895</v>
      </c>
      <c r="E80" s="21">
        <v>895</v>
      </c>
      <c r="F80" s="21">
        <v>895</v>
      </c>
      <c r="G80" s="21">
        <v>895</v>
      </c>
      <c r="H80" s="21"/>
      <c r="I80" s="21">
        <v>895</v>
      </c>
      <c r="J80" s="22">
        <v>895</v>
      </c>
      <c r="K80" s="23">
        <v>895</v>
      </c>
      <c r="L80" s="23">
        <v>895</v>
      </c>
      <c r="M80" s="23">
        <v>895</v>
      </c>
      <c r="N80" s="23">
        <v>895</v>
      </c>
      <c r="O80" s="23">
        <v>895</v>
      </c>
      <c r="P80" s="23">
        <v>895</v>
      </c>
      <c r="Q80" s="15">
        <f t="shared" si="2"/>
        <v>11635</v>
      </c>
      <c r="R80" s="17">
        <f t="shared" si="3"/>
        <v>0</v>
      </c>
    </row>
    <row r="81" spans="1:18" ht="44.25" customHeight="1" thickBot="1">
      <c r="A81" s="18">
        <v>137</v>
      </c>
      <c r="B81" s="19" t="s">
        <v>79</v>
      </c>
      <c r="C81" s="21">
        <v>465</v>
      </c>
      <c r="D81" s="21">
        <v>465</v>
      </c>
      <c r="E81" s="21">
        <v>465</v>
      </c>
      <c r="F81" s="21">
        <v>465</v>
      </c>
      <c r="G81" s="21">
        <v>465</v>
      </c>
      <c r="H81" s="21">
        <v>80</v>
      </c>
      <c r="I81" s="21">
        <v>465</v>
      </c>
      <c r="J81" s="22">
        <v>465</v>
      </c>
      <c r="K81" s="23">
        <v>465</v>
      </c>
      <c r="L81" s="23">
        <v>465</v>
      </c>
      <c r="M81" s="23">
        <v>465</v>
      </c>
      <c r="N81" s="23">
        <v>-195</v>
      </c>
      <c r="O81" s="23">
        <v>465</v>
      </c>
      <c r="P81" s="23">
        <v>465</v>
      </c>
      <c r="Q81" s="15">
        <f t="shared" si="2"/>
        <v>5660</v>
      </c>
      <c r="R81" s="17">
        <f t="shared" si="3"/>
        <v>195</v>
      </c>
    </row>
    <row r="82" spans="1:18" ht="44.25" customHeight="1" thickBot="1">
      <c r="A82" s="18">
        <v>138</v>
      </c>
      <c r="B82" s="19" t="s">
        <v>80</v>
      </c>
      <c r="C82" s="21">
        <v>285</v>
      </c>
      <c r="D82" s="21">
        <v>285</v>
      </c>
      <c r="E82" s="21">
        <v>285</v>
      </c>
      <c r="F82" s="21">
        <v>285</v>
      </c>
      <c r="G82" s="21">
        <v>464</v>
      </c>
      <c r="H82" s="22"/>
      <c r="I82" s="21">
        <v>-285</v>
      </c>
      <c r="J82" s="22">
        <v>285</v>
      </c>
      <c r="K82" s="23">
        <v>285</v>
      </c>
      <c r="L82" s="23">
        <v>285</v>
      </c>
      <c r="M82" s="23">
        <v>285</v>
      </c>
      <c r="N82" s="23">
        <v>285</v>
      </c>
      <c r="O82" s="23">
        <v>285</v>
      </c>
      <c r="P82" s="23">
        <v>285</v>
      </c>
      <c r="Q82" s="15">
        <f t="shared" si="2"/>
        <v>3599</v>
      </c>
      <c r="R82" s="17">
        <f t="shared" si="3"/>
        <v>285</v>
      </c>
    </row>
    <row r="83" spans="1:18" ht="44.25" customHeight="1" thickBot="1">
      <c r="A83" s="18">
        <v>145</v>
      </c>
      <c r="B83" s="19" t="s">
        <v>81</v>
      </c>
      <c r="C83" s="21">
        <v>-258</v>
      </c>
      <c r="D83" s="21">
        <v>121</v>
      </c>
      <c r="E83" s="21">
        <v>121</v>
      </c>
      <c r="F83" s="21">
        <v>121</v>
      </c>
      <c r="G83" s="21">
        <v>121</v>
      </c>
      <c r="H83" s="22"/>
      <c r="I83" s="21">
        <v>-121</v>
      </c>
      <c r="J83" s="22">
        <v>121</v>
      </c>
      <c r="K83" s="23">
        <v>121</v>
      </c>
      <c r="L83" s="23">
        <v>121</v>
      </c>
      <c r="M83" s="23">
        <v>121</v>
      </c>
      <c r="N83" s="23">
        <v>121</v>
      </c>
      <c r="O83" s="23">
        <v>121</v>
      </c>
      <c r="P83" s="23">
        <v>-121</v>
      </c>
      <c r="Q83" s="15">
        <f t="shared" si="2"/>
        <v>1210</v>
      </c>
      <c r="R83" s="17">
        <f t="shared" si="3"/>
        <v>500</v>
      </c>
    </row>
    <row r="84" spans="1:18" ht="44.25" customHeight="1" thickBot="1">
      <c r="A84" s="18">
        <v>146</v>
      </c>
      <c r="B84" s="19" t="s">
        <v>82</v>
      </c>
      <c r="C84" s="21">
        <v>390</v>
      </c>
      <c r="D84" s="21">
        <v>390</v>
      </c>
      <c r="E84" s="21">
        <v>390</v>
      </c>
      <c r="F84" s="21">
        <v>390</v>
      </c>
      <c r="G84" s="21">
        <v>390</v>
      </c>
      <c r="H84" s="21"/>
      <c r="I84" s="21">
        <v>390</v>
      </c>
      <c r="J84" s="22">
        <v>390</v>
      </c>
      <c r="K84" s="23">
        <v>390</v>
      </c>
      <c r="L84" s="23">
        <v>390</v>
      </c>
      <c r="M84" s="23">
        <v>390</v>
      </c>
      <c r="N84" s="23">
        <v>390</v>
      </c>
      <c r="O84" s="23">
        <v>390</v>
      </c>
      <c r="P84" s="23">
        <v>390</v>
      </c>
      <c r="Q84" s="15">
        <f t="shared" si="2"/>
        <v>5070</v>
      </c>
      <c r="R84" s="17">
        <f t="shared" si="3"/>
        <v>0</v>
      </c>
    </row>
    <row r="85" spans="1:18" ht="44.25" customHeight="1" thickBot="1">
      <c r="A85" s="18">
        <v>147</v>
      </c>
      <c r="B85" s="19" t="s">
        <v>83</v>
      </c>
      <c r="C85" s="21">
        <v>310</v>
      </c>
      <c r="D85" s="21">
        <v>310</v>
      </c>
      <c r="E85" s="21">
        <v>310</v>
      </c>
      <c r="F85" s="21">
        <v>310</v>
      </c>
      <c r="G85" s="21">
        <v>-310</v>
      </c>
      <c r="H85" s="21">
        <v>-160</v>
      </c>
      <c r="I85" s="21">
        <v>310</v>
      </c>
      <c r="J85" s="22">
        <v>310</v>
      </c>
      <c r="K85" s="23">
        <v>310</v>
      </c>
      <c r="L85" s="23">
        <v>310</v>
      </c>
      <c r="M85" s="23">
        <v>310</v>
      </c>
      <c r="N85" s="23">
        <v>310</v>
      </c>
      <c r="O85" s="23">
        <v>310</v>
      </c>
      <c r="P85" s="23">
        <v>310</v>
      </c>
      <c r="Q85" s="15">
        <f t="shared" si="2"/>
        <v>3720</v>
      </c>
      <c r="R85" s="17">
        <f t="shared" si="3"/>
        <v>470</v>
      </c>
    </row>
    <row r="86" spans="1:18" ht="44.25" customHeight="1" thickBot="1">
      <c r="A86" s="18">
        <v>149</v>
      </c>
      <c r="B86" s="19" t="s">
        <v>84</v>
      </c>
      <c r="C86" s="21">
        <v>-220</v>
      </c>
      <c r="D86" s="21">
        <v>-220</v>
      </c>
      <c r="E86" s="21">
        <v>-220</v>
      </c>
      <c r="F86" s="21">
        <v>-220</v>
      </c>
      <c r="G86" s="21">
        <v>-220</v>
      </c>
      <c r="H86" s="21"/>
      <c r="I86" s="21">
        <v>-220</v>
      </c>
      <c r="J86" s="22">
        <v>-220</v>
      </c>
      <c r="K86" s="23">
        <v>-220</v>
      </c>
      <c r="L86" s="23">
        <v>-220</v>
      </c>
      <c r="M86" s="23">
        <v>-220</v>
      </c>
      <c r="N86" s="23">
        <v>-220</v>
      </c>
      <c r="O86" s="23">
        <v>-220</v>
      </c>
      <c r="P86" s="23">
        <v>-220</v>
      </c>
      <c r="Q86" s="15">
        <f t="shared" si="2"/>
        <v>0</v>
      </c>
      <c r="R86" s="17">
        <f t="shared" si="3"/>
        <v>2860</v>
      </c>
    </row>
    <row r="87" spans="1:18" ht="44.25" customHeight="1" thickBot="1">
      <c r="A87" s="28">
        <v>153</v>
      </c>
      <c r="B87" s="29" t="s">
        <v>85</v>
      </c>
      <c r="C87" s="30">
        <v>200</v>
      </c>
      <c r="D87" s="30">
        <v>200</v>
      </c>
      <c r="E87" s="30">
        <v>220</v>
      </c>
      <c r="F87" s="30">
        <v>220</v>
      </c>
      <c r="G87" s="30">
        <v>220</v>
      </c>
      <c r="H87" s="30"/>
      <c r="I87" s="30">
        <v>220</v>
      </c>
      <c r="J87" s="31">
        <v>220</v>
      </c>
      <c r="K87" s="32">
        <v>220</v>
      </c>
      <c r="L87" s="32">
        <v>220</v>
      </c>
      <c r="M87" s="32">
        <v>220</v>
      </c>
      <c r="N87" s="32">
        <v>220</v>
      </c>
      <c r="O87" s="32"/>
      <c r="P87" s="32">
        <v>220</v>
      </c>
      <c r="Q87" s="15">
        <f t="shared" si="2"/>
        <v>2600</v>
      </c>
      <c r="R87" s="17">
        <f t="shared" si="3"/>
        <v>0</v>
      </c>
    </row>
    <row r="88" spans="1:18" ht="44.25" customHeight="1" thickBot="1">
      <c r="A88" s="33">
        <v>155</v>
      </c>
      <c r="B88" s="34" t="s">
        <v>86</v>
      </c>
      <c r="C88" s="35">
        <v>180</v>
      </c>
      <c r="D88" s="35">
        <v>180</v>
      </c>
      <c r="E88" s="35">
        <v>180</v>
      </c>
      <c r="F88" s="35">
        <v>180</v>
      </c>
      <c r="G88" s="35">
        <v>180</v>
      </c>
      <c r="H88" s="35"/>
      <c r="I88" s="35">
        <v>180</v>
      </c>
      <c r="J88" s="36">
        <v>180</v>
      </c>
      <c r="K88" s="37">
        <v>180</v>
      </c>
      <c r="L88" s="37">
        <v>180</v>
      </c>
      <c r="M88" s="37">
        <v>180</v>
      </c>
      <c r="N88" s="37">
        <v>180</v>
      </c>
      <c r="O88" s="37"/>
      <c r="P88" s="37">
        <v>180</v>
      </c>
      <c r="Q88" s="15">
        <f t="shared" si="2"/>
        <v>2160</v>
      </c>
      <c r="R88" s="17">
        <f t="shared" si="3"/>
        <v>0</v>
      </c>
    </row>
    <row r="89" spans="1:18" ht="44.25" customHeight="1" thickBot="1">
      <c r="A89" s="33">
        <v>164</v>
      </c>
      <c r="B89" s="34" t="s">
        <v>35</v>
      </c>
      <c r="C89" s="35"/>
      <c r="D89" s="35"/>
      <c r="E89" s="35">
        <v>-180</v>
      </c>
      <c r="F89" s="35">
        <v>-180</v>
      </c>
      <c r="G89" s="35">
        <v>-180</v>
      </c>
      <c r="H89" s="36"/>
      <c r="I89" s="35">
        <v>-180</v>
      </c>
      <c r="J89" s="36">
        <v>-180</v>
      </c>
      <c r="K89" s="37">
        <v>-180</v>
      </c>
      <c r="L89" s="37">
        <v>-180</v>
      </c>
      <c r="M89" s="37">
        <v>-180</v>
      </c>
      <c r="N89" s="37">
        <v>-180</v>
      </c>
      <c r="O89" s="37">
        <v>-180</v>
      </c>
      <c r="P89" s="37">
        <v>-180</v>
      </c>
      <c r="Q89" s="15">
        <f t="shared" si="2"/>
        <v>0</v>
      </c>
      <c r="R89" s="17">
        <f t="shared" si="3"/>
        <v>1980</v>
      </c>
    </row>
    <row r="90" spans="1:18" ht="44.25" customHeight="1" thickBot="1">
      <c r="A90" s="33">
        <v>171</v>
      </c>
      <c r="B90" s="34" t="s">
        <v>87</v>
      </c>
      <c r="C90" s="35">
        <v>-500</v>
      </c>
      <c r="D90" s="35">
        <v>-500</v>
      </c>
      <c r="E90" s="35">
        <v>-500</v>
      </c>
      <c r="F90" s="35">
        <v>-500</v>
      </c>
      <c r="G90" s="35">
        <v>-500</v>
      </c>
      <c r="H90" s="35"/>
      <c r="I90" s="35">
        <v>-500</v>
      </c>
      <c r="J90" s="36">
        <v>-500</v>
      </c>
      <c r="K90" s="37">
        <v>-500</v>
      </c>
      <c r="L90" s="37">
        <v>-500</v>
      </c>
      <c r="M90" s="37">
        <v>-500</v>
      </c>
      <c r="N90" s="37">
        <v>-500</v>
      </c>
      <c r="O90" s="37">
        <v>-500</v>
      </c>
      <c r="P90" s="37">
        <v>-500</v>
      </c>
      <c r="Q90" s="15">
        <f t="shared" si="2"/>
        <v>0</v>
      </c>
      <c r="R90" s="17">
        <f t="shared" si="3"/>
        <v>6500</v>
      </c>
    </row>
    <row r="91" spans="1:18" ht="44.25" customHeight="1" thickBot="1">
      <c r="A91" s="33">
        <v>172</v>
      </c>
      <c r="B91" s="34" t="s">
        <v>88</v>
      </c>
      <c r="C91" s="35">
        <v>420</v>
      </c>
      <c r="D91" s="35">
        <v>1100</v>
      </c>
      <c r="E91" s="35">
        <v>1100</v>
      </c>
      <c r="F91" s="35">
        <v>1100</v>
      </c>
      <c r="G91" s="35">
        <v>1100</v>
      </c>
      <c r="H91" s="35"/>
      <c r="I91" s="35">
        <v>1100</v>
      </c>
      <c r="J91" s="36">
        <v>-1100</v>
      </c>
      <c r="K91" s="37">
        <v>-1100</v>
      </c>
      <c r="L91" s="37">
        <v>-1100</v>
      </c>
      <c r="M91" s="37">
        <v>-1100</v>
      </c>
      <c r="N91" s="37">
        <v>-1100</v>
      </c>
      <c r="O91" s="37">
        <v>-1100</v>
      </c>
      <c r="P91" s="37">
        <v>1100</v>
      </c>
      <c r="Q91" s="15">
        <f t="shared" si="2"/>
        <v>7020</v>
      </c>
      <c r="R91" s="17">
        <f t="shared" si="3"/>
        <v>6600</v>
      </c>
    </row>
    <row r="92" spans="1:18" ht="44.25" customHeight="1" thickBot="1">
      <c r="A92" s="33">
        <v>174</v>
      </c>
      <c r="B92" s="34" t="s">
        <v>89</v>
      </c>
      <c r="C92" s="35">
        <v>200</v>
      </c>
      <c r="D92" s="35">
        <v>200</v>
      </c>
      <c r="E92" s="35">
        <v>200</v>
      </c>
      <c r="F92" s="35">
        <v>200</v>
      </c>
      <c r="G92" s="35">
        <v>200</v>
      </c>
      <c r="H92" s="35"/>
      <c r="I92" s="35">
        <v>-200</v>
      </c>
      <c r="J92" s="36">
        <v>-200</v>
      </c>
      <c r="K92" s="37">
        <v>-200</v>
      </c>
      <c r="L92" s="37">
        <v>-200</v>
      </c>
      <c r="M92" s="37">
        <v>-200</v>
      </c>
      <c r="N92" s="37">
        <v>-200</v>
      </c>
      <c r="O92" s="37">
        <v>-200</v>
      </c>
      <c r="P92" s="37">
        <v>-200</v>
      </c>
      <c r="Q92" s="15">
        <f t="shared" si="2"/>
        <v>1000</v>
      </c>
      <c r="R92" s="17">
        <f t="shared" si="3"/>
        <v>1600</v>
      </c>
    </row>
    <row r="93" spans="1:18" ht="44.25" customHeight="1" thickBot="1">
      <c r="A93" s="33">
        <v>176</v>
      </c>
      <c r="B93" s="34" t="s">
        <v>90</v>
      </c>
      <c r="C93" s="35">
        <v>200</v>
      </c>
      <c r="D93" s="35">
        <v>200</v>
      </c>
      <c r="E93" s="35">
        <v>200</v>
      </c>
      <c r="F93" s="35">
        <v>200</v>
      </c>
      <c r="G93" s="35">
        <v>200</v>
      </c>
      <c r="H93" s="35"/>
      <c r="I93" s="35">
        <v>200</v>
      </c>
      <c r="J93" s="36">
        <v>200</v>
      </c>
      <c r="K93" s="37">
        <v>200</v>
      </c>
      <c r="L93" s="37"/>
      <c r="M93" s="37"/>
      <c r="N93" s="37"/>
      <c r="O93" s="37"/>
      <c r="P93" s="37"/>
      <c r="Q93" s="15">
        <f t="shared" si="2"/>
        <v>1600</v>
      </c>
      <c r="R93" s="17">
        <f t="shared" si="3"/>
        <v>0</v>
      </c>
    </row>
    <row r="94" spans="1:18" ht="44.25" customHeight="1" thickBot="1">
      <c r="A94" s="33">
        <v>192</v>
      </c>
      <c r="B94" s="34" t="s">
        <v>91</v>
      </c>
      <c r="C94" s="35">
        <v>-160</v>
      </c>
      <c r="D94" s="35">
        <v>160</v>
      </c>
      <c r="E94" s="35">
        <v>160</v>
      </c>
      <c r="F94" s="35">
        <v>160</v>
      </c>
      <c r="G94" s="35">
        <v>160</v>
      </c>
      <c r="H94" s="36"/>
      <c r="I94" s="35"/>
      <c r="J94" s="36">
        <v>-160</v>
      </c>
      <c r="K94" s="37">
        <v>-160</v>
      </c>
      <c r="L94" s="37"/>
      <c r="M94" s="37"/>
      <c r="N94" s="37"/>
      <c r="O94" s="37"/>
      <c r="P94" s="37"/>
      <c r="Q94" s="15">
        <f t="shared" si="2"/>
        <v>640</v>
      </c>
      <c r="R94" s="17">
        <f t="shared" si="3"/>
        <v>480</v>
      </c>
    </row>
    <row r="95" spans="1:18" ht="44.25" customHeight="1" thickBot="1">
      <c r="A95" s="33">
        <v>202</v>
      </c>
      <c r="B95" s="34" t="s">
        <v>138</v>
      </c>
      <c r="C95" s="35"/>
      <c r="D95" s="35"/>
      <c r="E95" s="35"/>
      <c r="F95" s="35"/>
      <c r="G95" s="35"/>
      <c r="H95" s="36"/>
      <c r="I95" s="35"/>
      <c r="J95" s="36"/>
      <c r="K95" s="37">
        <v>150</v>
      </c>
      <c r="L95" s="37">
        <v>150</v>
      </c>
      <c r="M95" s="37">
        <v>150</v>
      </c>
      <c r="N95" s="37">
        <v>150</v>
      </c>
      <c r="O95" s="37">
        <v>150</v>
      </c>
      <c r="P95" s="37">
        <v>150</v>
      </c>
      <c r="Q95" s="15">
        <f t="shared" si="2"/>
        <v>900</v>
      </c>
      <c r="R95" s="17">
        <f t="shared" si="3"/>
        <v>0</v>
      </c>
    </row>
    <row r="96" spans="1:18" ht="44.25" customHeight="1" thickBot="1">
      <c r="A96" s="33">
        <v>206</v>
      </c>
      <c r="B96" s="34" t="s">
        <v>92</v>
      </c>
      <c r="C96" s="35">
        <v>115</v>
      </c>
      <c r="D96" s="35">
        <v>-115</v>
      </c>
      <c r="E96" s="35">
        <v>115</v>
      </c>
      <c r="F96" s="35">
        <v>-115</v>
      </c>
      <c r="G96" s="35">
        <v>115</v>
      </c>
      <c r="H96" s="35"/>
      <c r="I96" s="35">
        <v>115</v>
      </c>
      <c r="J96" s="36">
        <v>115</v>
      </c>
      <c r="K96" s="37">
        <v>115</v>
      </c>
      <c r="L96" s="37">
        <v>115</v>
      </c>
      <c r="M96" s="37">
        <v>115</v>
      </c>
      <c r="N96" s="37">
        <v>115</v>
      </c>
      <c r="O96" s="37">
        <v>-115</v>
      </c>
      <c r="P96" s="37">
        <v>115</v>
      </c>
      <c r="Q96" s="15">
        <f t="shared" si="2"/>
        <v>1150</v>
      </c>
      <c r="R96" s="17">
        <f t="shared" si="3"/>
        <v>345</v>
      </c>
    </row>
    <row r="97" spans="1:18" ht="44.25" customHeight="1" thickBot="1">
      <c r="A97" s="33">
        <v>207</v>
      </c>
      <c r="B97" s="34" t="s">
        <v>93</v>
      </c>
      <c r="C97" s="35">
        <v>-390</v>
      </c>
      <c r="D97" s="35">
        <v>-390</v>
      </c>
      <c r="E97" s="35">
        <v>390</v>
      </c>
      <c r="F97" s="35">
        <v>390</v>
      </c>
      <c r="G97" s="35">
        <v>390</v>
      </c>
      <c r="H97" s="35"/>
      <c r="I97" s="35">
        <v>390</v>
      </c>
      <c r="J97" s="36">
        <v>390</v>
      </c>
      <c r="K97" s="37">
        <v>390</v>
      </c>
      <c r="L97" s="37">
        <v>390</v>
      </c>
      <c r="M97" s="37">
        <v>390</v>
      </c>
      <c r="N97" s="37">
        <v>390</v>
      </c>
      <c r="O97" s="37">
        <v>390</v>
      </c>
      <c r="P97" s="37">
        <v>390</v>
      </c>
      <c r="Q97" s="15">
        <f t="shared" si="2"/>
        <v>4290</v>
      </c>
      <c r="R97" s="17">
        <f t="shared" si="3"/>
        <v>780</v>
      </c>
    </row>
    <row r="98" spans="1:18" ht="44.25" customHeight="1" thickBot="1">
      <c r="A98" s="33">
        <v>208</v>
      </c>
      <c r="B98" s="34" t="s">
        <v>94</v>
      </c>
      <c r="C98" s="35">
        <v>332</v>
      </c>
      <c r="D98" s="35">
        <v>330</v>
      </c>
      <c r="E98" s="35">
        <v>330</v>
      </c>
      <c r="F98" s="35">
        <v>330</v>
      </c>
      <c r="G98" s="35">
        <v>330</v>
      </c>
      <c r="H98" s="35"/>
      <c r="I98" s="35">
        <v>-330</v>
      </c>
      <c r="J98" s="36">
        <v>330</v>
      </c>
      <c r="K98" s="37">
        <v>-330</v>
      </c>
      <c r="L98" s="37">
        <v>330</v>
      </c>
      <c r="M98" s="37">
        <v>330</v>
      </c>
      <c r="N98" s="37">
        <v>330</v>
      </c>
      <c r="O98" s="37">
        <v>330</v>
      </c>
      <c r="P98" s="37">
        <v>330</v>
      </c>
      <c r="Q98" s="15">
        <f t="shared" si="2"/>
        <v>3632</v>
      </c>
      <c r="R98" s="17">
        <f t="shared" si="3"/>
        <v>660</v>
      </c>
    </row>
    <row r="99" spans="1:18" ht="44.25" customHeight="1" thickBot="1">
      <c r="A99" s="33">
        <v>212</v>
      </c>
      <c r="B99" s="34" t="s">
        <v>95</v>
      </c>
      <c r="C99" s="35">
        <v>530</v>
      </c>
      <c r="D99" s="35">
        <v>530</v>
      </c>
      <c r="E99" s="35">
        <v>560</v>
      </c>
      <c r="F99" s="35">
        <v>530</v>
      </c>
      <c r="G99" s="35">
        <v>530</v>
      </c>
      <c r="H99" s="36"/>
      <c r="I99" s="35">
        <v>530</v>
      </c>
      <c r="J99" s="36">
        <v>530</v>
      </c>
      <c r="K99" s="37">
        <v>530</v>
      </c>
      <c r="L99" s="37">
        <v>530</v>
      </c>
      <c r="M99" s="37">
        <v>530</v>
      </c>
      <c r="N99" s="37">
        <v>530</v>
      </c>
      <c r="O99" s="37">
        <v>530</v>
      </c>
      <c r="P99" s="37">
        <v>530</v>
      </c>
      <c r="Q99" s="15">
        <f t="shared" si="2"/>
        <v>6920</v>
      </c>
      <c r="R99" s="17">
        <f t="shared" si="3"/>
        <v>0</v>
      </c>
    </row>
    <row r="100" spans="1:18" ht="44.25" customHeight="1" thickBot="1">
      <c r="A100" s="33">
        <v>216</v>
      </c>
      <c r="B100" s="34" t="s">
        <v>96</v>
      </c>
      <c r="C100" s="35">
        <v>-650</v>
      </c>
      <c r="D100" s="35">
        <v>-650</v>
      </c>
      <c r="E100" s="35">
        <v>-650</v>
      </c>
      <c r="F100" s="35">
        <v>-650</v>
      </c>
      <c r="G100" s="35">
        <v>-650</v>
      </c>
      <c r="H100" s="35"/>
      <c r="I100" s="35">
        <v>-650</v>
      </c>
      <c r="J100" s="36">
        <v>-650</v>
      </c>
      <c r="K100" s="37">
        <v>-650</v>
      </c>
      <c r="L100" s="37">
        <v>-650</v>
      </c>
      <c r="M100" s="37">
        <v>-650</v>
      </c>
      <c r="N100" s="37">
        <v>-650</v>
      </c>
      <c r="O100" s="37">
        <v>-650</v>
      </c>
      <c r="P100" s="37">
        <v>-650</v>
      </c>
      <c r="Q100" s="15">
        <f t="shared" si="2"/>
        <v>0</v>
      </c>
      <c r="R100" s="17">
        <f t="shared" si="3"/>
        <v>8450</v>
      </c>
    </row>
    <row r="101" spans="1:18" ht="44.25" customHeight="1" thickBot="1">
      <c r="A101" s="33">
        <v>218</v>
      </c>
      <c r="B101" s="34" t="s">
        <v>97</v>
      </c>
      <c r="C101" s="35">
        <v>370</v>
      </c>
      <c r="D101" s="35">
        <v>370</v>
      </c>
      <c r="E101" s="35">
        <v>370</v>
      </c>
      <c r="F101" s="35">
        <v>370</v>
      </c>
      <c r="G101" s="35">
        <v>370</v>
      </c>
      <c r="H101" s="36"/>
      <c r="I101" s="35">
        <v>370</v>
      </c>
      <c r="J101" s="36">
        <v>370</v>
      </c>
      <c r="K101" s="37">
        <v>370</v>
      </c>
      <c r="L101" s="37">
        <v>370</v>
      </c>
      <c r="M101" s="37">
        <v>370</v>
      </c>
      <c r="N101" s="37">
        <v>370</v>
      </c>
      <c r="O101" s="37">
        <v>-370</v>
      </c>
      <c r="P101" s="37">
        <v>370</v>
      </c>
      <c r="Q101" s="15">
        <f t="shared" si="2"/>
        <v>4440</v>
      </c>
      <c r="R101" s="17">
        <f t="shared" si="3"/>
        <v>370</v>
      </c>
    </row>
    <row r="102" spans="1:18" ht="44.25" customHeight="1" thickBot="1">
      <c r="A102" s="33">
        <v>223</v>
      </c>
      <c r="B102" s="34" t="s">
        <v>98</v>
      </c>
      <c r="C102" s="35">
        <v>250</v>
      </c>
      <c r="D102" s="35">
        <v>348</v>
      </c>
      <c r="E102" s="35">
        <v>250</v>
      </c>
      <c r="F102" s="35">
        <v>250</v>
      </c>
      <c r="G102" s="35">
        <v>250</v>
      </c>
      <c r="H102" s="35"/>
      <c r="I102" s="35">
        <v>-250</v>
      </c>
      <c r="J102" s="36">
        <v>250</v>
      </c>
      <c r="K102" s="37">
        <v>250</v>
      </c>
      <c r="L102" s="37">
        <v>250</v>
      </c>
      <c r="M102" s="37">
        <v>250</v>
      </c>
      <c r="N102" s="37">
        <v>250</v>
      </c>
      <c r="O102" s="37">
        <v>-250</v>
      </c>
      <c r="P102" s="37">
        <v>-250</v>
      </c>
      <c r="Q102" s="15">
        <f t="shared" si="2"/>
        <v>2598</v>
      </c>
      <c r="R102" s="17">
        <f t="shared" si="3"/>
        <v>750</v>
      </c>
    </row>
    <row r="103" spans="1:18" ht="44.25" customHeight="1" thickBot="1">
      <c r="A103" s="33">
        <v>227</v>
      </c>
      <c r="B103" s="34" t="s">
        <v>99</v>
      </c>
      <c r="C103" s="35">
        <v>2700</v>
      </c>
      <c r="D103" s="35">
        <v>2700</v>
      </c>
      <c r="E103" s="35">
        <v>3500</v>
      </c>
      <c r="F103" s="35">
        <v>2700</v>
      </c>
      <c r="G103" s="35">
        <v>2700</v>
      </c>
      <c r="H103" s="36">
        <v>400</v>
      </c>
      <c r="I103" s="35">
        <v>2700</v>
      </c>
      <c r="J103" s="36">
        <v>2700</v>
      </c>
      <c r="K103" s="37">
        <v>3900</v>
      </c>
      <c r="L103" s="37">
        <v>2700</v>
      </c>
      <c r="M103" s="37">
        <v>2700</v>
      </c>
      <c r="N103" s="37">
        <v>2700</v>
      </c>
      <c r="O103" s="37">
        <v>-2700</v>
      </c>
      <c r="P103" s="37">
        <v>-2700</v>
      </c>
      <c r="Q103" s="15">
        <f t="shared" si="2"/>
        <v>32100</v>
      </c>
      <c r="R103" s="17">
        <f t="shared" si="3"/>
        <v>5400</v>
      </c>
    </row>
    <row r="104" spans="1:18" ht="44.25" customHeight="1" thickBot="1">
      <c r="A104" s="33">
        <v>232</v>
      </c>
      <c r="B104" s="34" t="s">
        <v>100</v>
      </c>
      <c r="C104" s="35">
        <v>-1400</v>
      </c>
      <c r="D104" s="35">
        <v>-1400</v>
      </c>
      <c r="E104" s="35">
        <v>-1400</v>
      </c>
      <c r="F104" s="35">
        <v>-1400</v>
      </c>
      <c r="G104" s="35">
        <v>-1400</v>
      </c>
      <c r="H104" s="35">
        <v>-160</v>
      </c>
      <c r="I104" s="35">
        <v>-1400</v>
      </c>
      <c r="J104" s="36">
        <v>-1400</v>
      </c>
      <c r="K104" s="37">
        <v>-1400</v>
      </c>
      <c r="L104" s="37">
        <v>-1400</v>
      </c>
      <c r="M104" s="37">
        <v>-1400</v>
      </c>
      <c r="N104" s="37">
        <v>-1400</v>
      </c>
      <c r="O104" s="37">
        <v>-1400</v>
      </c>
      <c r="P104" s="37">
        <v>-1400</v>
      </c>
      <c r="Q104" s="15">
        <f t="shared" si="2"/>
        <v>0</v>
      </c>
      <c r="R104" s="17">
        <f t="shared" si="3"/>
        <v>18360</v>
      </c>
    </row>
    <row r="105" spans="1:18" ht="44.25" customHeight="1" thickBot="1">
      <c r="A105" s="33">
        <v>233</v>
      </c>
      <c r="B105" s="34" t="s">
        <v>101</v>
      </c>
      <c r="C105" s="35">
        <v>790</v>
      </c>
      <c r="D105" s="35">
        <v>790</v>
      </c>
      <c r="E105" s="35">
        <v>790</v>
      </c>
      <c r="F105" s="35">
        <v>790</v>
      </c>
      <c r="G105" s="35">
        <v>790</v>
      </c>
      <c r="H105" s="35">
        <v>160</v>
      </c>
      <c r="I105" s="35">
        <v>790</v>
      </c>
      <c r="J105" s="36">
        <v>790</v>
      </c>
      <c r="K105" s="37">
        <v>790</v>
      </c>
      <c r="L105" s="37">
        <v>790</v>
      </c>
      <c r="M105" s="37">
        <v>790</v>
      </c>
      <c r="N105" s="37">
        <v>790</v>
      </c>
      <c r="O105" s="37">
        <v>790</v>
      </c>
      <c r="P105" s="37">
        <v>790</v>
      </c>
      <c r="Q105" s="15">
        <f t="shared" si="2"/>
        <v>10430</v>
      </c>
      <c r="R105" s="17">
        <f t="shared" si="3"/>
        <v>0</v>
      </c>
    </row>
    <row r="106" spans="1:18" ht="44.25" customHeight="1" thickBot="1">
      <c r="A106" s="40">
        <v>242</v>
      </c>
      <c r="B106" s="41" t="s">
        <v>17</v>
      </c>
      <c r="C106" s="35"/>
      <c r="D106" s="35"/>
      <c r="E106" s="35"/>
      <c r="F106" s="35">
        <v>210</v>
      </c>
      <c r="G106" s="35">
        <v>210</v>
      </c>
      <c r="H106" s="35"/>
      <c r="I106" s="35">
        <v>210</v>
      </c>
      <c r="J106" s="36">
        <v>210</v>
      </c>
      <c r="K106" s="37">
        <v>210</v>
      </c>
      <c r="L106" s="37">
        <v>210</v>
      </c>
      <c r="M106" s="37">
        <v>210</v>
      </c>
      <c r="N106" s="37">
        <v>210</v>
      </c>
      <c r="O106" s="37"/>
      <c r="P106" s="37">
        <v>210</v>
      </c>
      <c r="Q106" s="15">
        <f t="shared" si="2"/>
        <v>1890</v>
      </c>
      <c r="R106" s="17">
        <f t="shared" si="3"/>
        <v>0</v>
      </c>
    </row>
    <row r="107" spans="1:18" ht="44.25" customHeight="1" thickBot="1">
      <c r="A107" s="33">
        <v>243</v>
      </c>
      <c r="B107" s="34" t="s">
        <v>102</v>
      </c>
      <c r="C107" s="35">
        <v>120</v>
      </c>
      <c r="D107" s="35">
        <v>120</v>
      </c>
      <c r="E107" s="35">
        <v>120</v>
      </c>
      <c r="F107" s="35">
        <v>120</v>
      </c>
      <c r="G107" s="35">
        <v>-115</v>
      </c>
      <c r="H107" s="36"/>
      <c r="I107" s="35">
        <v>-115</v>
      </c>
      <c r="J107" s="36">
        <v>115</v>
      </c>
      <c r="K107" s="37">
        <v>115</v>
      </c>
      <c r="L107" s="37">
        <v>115</v>
      </c>
      <c r="M107" s="37">
        <v>115</v>
      </c>
      <c r="N107" s="37">
        <v>115</v>
      </c>
      <c r="O107" s="37"/>
      <c r="P107" s="37">
        <v>115</v>
      </c>
      <c r="Q107" s="15">
        <f t="shared" si="2"/>
        <v>1170</v>
      </c>
      <c r="R107" s="17">
        <f t="shared" si="3"/>
        <v>230</v>
      </c>
    </row>
    <row r="108" spans="1:18" ht="44.25" customHeight="1" thickBot="1">
      <c r="A108" s="33">
        <v>244</v>
      </c>
      <c r="B108" s="34" t="s">
        <v>103</v>
      </c>
      <c r="C108" s="35">
        <v>420</v>
      </c>
      <c r="D108" s="35">
        <v>420</v>
      </c>
      <c r="E108" s="35">
        <v>420</v>
      </c>
      <c r="F108" s="35">
        <v>420</v>
      </c>
      <c r="G108" s="35">
        <v>420</v>
      </c>
      <c r="H108" s="35">
        <v>80</v>
      </c>
      <c r="I108" s="35">
        <v>420</v>
      </c>
      <c r="J108" s="36">
        <v>420</v>
      </c>
      <c r="K108" s="37">
        <v>420</v>
      </c>
      <c r="L108" s="37">
        <v>420</v>
      </c>
      <c r="M108" s="37">
        <v>420</v>
      </c>
      <c r="N108" s="37">
        <v>420</v>
      </c>
      <c r="O108" s="37"/>
      <c r="P108" s="37">
        <v>420</v>
      </c>
      <c r="Q108" s="15">
        <f t="shared" si="2"/>
        <v>5120</v>
      </c>
      <c r="R108" s="17">
        <f t="shared" si="3"/>
        <v>0</v>
      </c>
    </row>
    <row r="109" spans="1:18" ht="44.25" customHeight="1" thickBot="1">
      <c r="A109" s="33">
        <v>248</v>
      </c>
      <c r="B109" s="34" t="s">
        <v>143</v>
      </c>
      <c r="C109" s="35"/>
      <c r="D109" s="35"/>
      <c r="E109" s="35"/>
      <c r="F109" s="35"/>
      <c r="G109" s="35"/>
      <c r="H109" s="35"/>
      <c r="I109" s="35"/>
      <c r="J109" s="36"/>
      <c r="K109" s="37">
        <v>180</v>
      </c>
      <c r="L109" s="37">
        <v>-180</v>
      </c>
      <c r="M109" s="37">
        <v>180</v>
      </c>
      <c r="N109" s="37">
        <v>180</v>
      </c>
      <c r="O109" s="37">
        <v>75</v>
      </c>
      <c r="P109" s="37"/>
      <c r="Q109" s="15"/>
      <c r="R109" s="17"/>
    </row>
    <row r="110" spans="1:18" ht="44.25" customHeight="1" thickBot="1">
      <c r="A110" s="33">
        <v>249</v>
      </c>
      <c r="B110" s="34" t="s">
        <v>104</v>
      </c>
      <c r="C110" s="35">
        <v>-1600</v>
      </c>
      <c r="D110" s="35">
        <v>1320</v>
      </c>
      <c r="E110" s="35">
        <v>1460</v>
      </c>
      <c r="F110" s="35">
        <v>1460</v>
      </c>
      <c r="G110" s="35">
        <v>1460</v>
      </c>
      <c r="H110" s="35"/>
      <c r="I110" s="35">
        <v>1460</v>
      </c>
      <c r="J110" s="36">
        <v>1460</v>
      </c>
      <c r="K110" s="37">
        <v>1460</v>
      </c>
      <c r="L110" s="37">
        <v>1460</v>
      </c>
      <c r="M110" s="37">
        <v>-1460</v>
      </c>
      <c r="N110" s="37">
        <v>1460</v>
      </c>
      <c r="O110" s="37">
        <v>1460</v>
      </c>
      <c r="P110" s="37">
        <v>-1460</v>
      </c>
      <c r="Q110" s="15">
        <f t="shared" si="2"/>
        <v>14460</v>
      </c>
      <c r="R110" s="17">
        <f t="shared" si="3"/>
        <v>4520</v>
      </c>
    </row>
    <row r="111" spans="1:18" ht="44.25" customHeight="1" thickBot="1">
      <c r="A111" s="33">
        <v>257</v>
      </c>
      <c r="B111" s="34" t="s">
        <v>105</v>
      </c>
      <c r="C111" s="35"/>
      <c r="D111" s="35">
        <v>430</v>
      </c>
      <c r="E111" s="35">
        <v>180</v>
      </c>
      <c r="F111" s="35">
        <v>180</v>
      </c>
      <c r="G111" s="35">
        <v>180</v>
      </c>
      <c r="H111" s="36"/>
      <c r="I111" s="35">
        <v>289.2</v>
      </c>
      <c r="J111" s="36">
        <v>289.2</v>
      </c>
      <c r="K111" s="37">
        <v>289.2</v>
      </c>
      <c r="L111" s="37">
        <v>290</v>
      </c>
      <c r="M111" s="37">
        <v>290</v>
      </c>
      <c r="N111" s="37">
        <v>290</v>
      </c>
      <c r="O111" s="37">
        <v>258</v>
      </c>
      <c r="P111" s="37">
        <v>312</v>
      </c>
      <c r="Q111" s="15">
        <f t="shared" si="2"/>
        <v>3277.6000000000004</v>
      </c>
      <c r="R111" s="17">
        <f t="shared" si="3"/>
        <v>0</v>
      </c>
    </row>
    <row r="112" spans="1:18" ht="44.25" customHeight="1" thickBot="1">
      <c r="A112" s="33">
        <v>258</v>
      </c>
      <c r="B112" s="34" t="s">
        <v>141</v>
      </c>
      <c r="C112" s="35"/>
      <c r="D112" s="35"/>
      <c r="E112" s="35"/>
      <c r="F112" s="35"/>
      <c r="G112" s="35"/>
      <c r="H112" s="36"/>
      <c r="I112" s="35"/>
      <c r="J112" s="36"/>
      <c r="K112" s="37"/>
      <c r="L112" s="37">
        <v>550</v>
      </c>
      <c r="M112" s="37">
        <v>550</v>
      </c>
      <c r="N112" s="37">
        <v>550</v>
      </c>
      <c r="O112" s="37"/>
      <c r="P112" s="37">
        <v>550</v>
      </c>
      <c r="Q112" s="15">
        <f t="shared" si="2"/>
        <v>2200</v>
      </c>
      <c r="R112" s="17">
        <f t="shared" si="3"/>
        <v>0</v>
      </c>
    </row>
    <row r="113" spans="1:18" ht="44.25" customHeight="1" thickBot="1">
      <c r="A113" s="33">
        <v>259</v>
      </c>
      <c r="B113" s="34" t="s">
        <v>106</v>
      </c>
      <c r="C113" s="35">
        <v>350</v>
      </c>
      <c r="D113" s="35">
        <v>350</v>
      </c>
      <c r="E113" s="35">
        <v>350</v>
      </c>
      <c r="F113" s="35">
        <v>350</v>
      </c>
      <c r="G113" s="35">
        <v>350</v>
      </c>
      <c r="H113" s="35"/>
      <c r="I113" s="35">
        <v>350</v>
      </c>
      <c r="J113" s="36">
        <v>350</v>
      </c>
      <c r="K113" s="37">
        <v>350</v>
      </c>
      <c r="L113" s="37">
        <v>350</v>
      </c>
      <c r="M113" s="37">
        <v>313.68</v>
      </c>
      <c r="N113" s="37">
        <v>-350</v>
      </c>
      <c r="O113" s="37">
        <v>-350</v>
      </c>
      <c r="P113" s="37">
        <v>-350</v>
      </c>
      <c r="Q113" s="15">
        <f t="shared" si="2"/>
        <v>3463.68</v>
      </c>
      <c r="R113" s="17">
        <f t="shared" si="3"/>
        <v>1050</v>
      </c>
    </row>
    <row r="114" spans="1:18" ht="44.25" customHeight="1" thickBot="1">
      <c r="A114" s="33">
        <v>261</v>
      </c>
      <c r="B114" s="34" t="s">
        <v>107</v>
      </c>
      <c r="C114" s="35">
        <v>330</v>
      </c>
      <c r="D114" s="35">
        <v>330</v>
      </c>
      <c r="E114" s="35">
        <v>-330</v>
      </c>
      <c r="F114" s="35">
        <v>330</v>
      </c>
      <c r="G114" s="35">
        <v>330</v>
      </c>
      <c r="H114" s="35"/>
      <c r="I114" s="35">
        <v>330</v>
      </c>
      <c r="J114" s="36">
        <v>330</v>
      </c>
      <c r="K114" s="37">
        <v>-330</v>
      </c>
      <c r="L114" s="37">
        <v>-330</v>
      </c>
      <c r="M114" s="37">
        <v>-330</v>
      </c>
      <c r="N114" s="37">
        <v>-330</v>
      </c>
      <c r="O114" s="37">
        <v>-330</v>
      </c>
      <c r="P114" s="37">
        <v>330</v>
      </c>
      <c r="Q114" s="15">
        <f t="shared" si="2"/>
        <v>2310</v>
      </c>
      <c r="R114" s="17">
        <f t="shared" si="3"/>
        <v>1980</v>
      </c>
    </row>
    <row r="115" spans="1:18" ht="44.25" customHeight="1" thickBot="1">
      <c r="A115" s="33">
        <v>263</v>
      </c>
      <c r="B115" s="34" t="s">
        <v>108</v>
      </c>
      <c r="C115" s="35">
        <v>400</v>
      </c>
      <c r="D115" s="35">
        <v>400</v>
      </c>
      <c r="E115" s="35">
        <v>400</v>
      </c>
      <c r="F115" s="35">
        <v>400</v>
      </c>
      <c r="G115" s="35">
        <v>400</v>
      </c>
      <c r="H115" s="35">
        <v>-80</v>
      </c>
      <c r="I115" s="35">
        <v>400</v>
      </c>
      <c r="J115" s="36">
        <v>400</v>
      </c>
      <c r="K115" s="37">
        <v>400</v>
      </c>
      <c r="L115" s="37">
        <v>400</v>
      </c>
      <c r="M115" s="37">
        <v>685</v>
      </c>
      <c r="N115" s="37">
        <v>400</v>
      </c>
      <c r="O115" s="37">
        <v>400</v>
      </c>
      <c r="P115" s="37">
        <v>400</v>
      </c>
      <c r="Q115" s="15">
        <f t="shared" si="2"/>
        <v>5485</v>
      </c>
      <c r="R115" s="17">
        <f t="shared" si="3"/>
        <v>80</v>
      </c>
    </row>
    <row r="116" spans="1:18" ht="44.25" customHeight="1" thickBot="1">
      <c r="A116" s="33">
        <v>264</v>
      </c>
      <c r="B116" s="34" t="s">
        <v>109</v>
      </c>
      <c r="C116" s="35">
        <v>-645</v>
      </c>
      <c r="D116" s="35">
        <v>-645</v>
      </c>
      <c r="E116" s="35">
        <v>-645</v>
      </c>
      <c r="F116" s="35">
        <v>-645</v>
      </c>
      <c r="G116" s="35">
        <v>-645</v>
      </c>
      <c r="H116" s="35"/>
      <c r="I116" s="35">
        <v>-645</v>
      </c>
      <c r="J116" s="36">
        <v>-645</v>
      </c>
      <c r="K116" s="37">
        <v>-645</v>
      </c>
      <c r="L116" s="37">
        <v>-645</v>
      </c>
      <c r="M116" s="37">
        <v>-645</v>
      </c>
      <c r="N116" s="37">
        <v>-645</v>
      </c>
      <c r="O116" s="37">
        <v>-645</v>
      </c>
      <c r="P116" s="37">
        <v>-645</v>
      </c>
      <c r="Q116" s="15">
        <f t="shared" si="2"/>
        <v>0</v>
      </c>
      <c r="R116" s="17">
        <f t="shared" si="3"/>
        <v>8385</v>
      </c>
    </row>
    <row r="117" spans="1:18" ht="44.25" customHeight="1" thickBot="1">
      <c r="A117" s="33">
        <v>266</v>
      </c>
      <c r="B117" s="34" t="s">
        <v>110</v>
      </c>
      <c r="C117" s="35">
        <v>180</v>
      </c>
      <c r="D117" s="35">
        <v>180</v>
      </c>
      <c r="E117" s="35">
        <v>180</v>
      </c>
      <c r="F117" s="35">
        <v>180</v>
      </c>
      <c r="G117" s="35">
        <v>180</v>
      </c>
      <c r="H117" s="35"/>
      <c r="I117" s="35">
        <v>180</v>
      </c>
      <c r="J117" s="36">
        <v>180</v>
      </c>
      <c r="K117" s="37">
        <v>180</v>
      </c>
      <c r="L117" s="37">
        <v>180</v>
      </c>
      <c r="M117" s="37">
        <v>180</v>
      </c>
      <c r="N117" s="37">
        <v>180</v>
      </c>
      <c r="O117" s="37">
        <v>180</v>
      </c>
      <c r="P117" s="37">
        <v>180</v>
      </c>
      <c r="Q117" s="15">
        <f t="shared" si="2"/>
        <v>2340</v>
      </c>
      <c r="R117" s="17">
        <f t="shared" si="3"/>
        <v>0</v>
      </c>
    </row>
    <row r="118" spans="1:18" ht="44.25" customHeight="1" thickBot="1">
      <c r="A118" s="33">
        <v>267</v>
      </c>
      <c r="B118" s="34" t="s">
        <v>111</v>
      </c>
      <c r="C118" s="35">
        <v>440</v>
      </c>
      <c r="D118" s="35">
        <v>440</v>
      </c>
      <c r="E118" s="35">
        <v>440</v>
      </c>
      <c r="F118" s="35">
        <v>440</v>
      </c>
      <c r="G118" s="35">
        <v>440</v>
      </c>
      <c r="H118" s="35"/>
      <c r="I118" s="35">
        <v>-440</v>
      </c>
      <c r="J118" s="36">
        <v>470</v>
      </c>
      <c r="K118" s="37">
        <v>440</v>
      </c>
      <c r="L118" s="37">
        <v>440</v>
      </c>
      <c r="M118" s="37">
        <v>470</v>
      </c>
      <c r="N118" s="37">
        <v>440</v>
      </c>
      <c r="O118" s="37">
        <v>440</v>
      </c>
      <c r="P118" s="37">
        <v>440</v>
      </c>
      <c r="Q118" s="15">
        <f t="shared" si="2"/>
        <v>5340</v>
      </c>
      <c r="R118" s="17">
        <f t="shared" si="3"/>
        <v>440</v>
      </c>
    </row>
    <row r="119" spans="1:18" ht="44.25" customHeight="1" thickBot="1">
      <c r="A119" s="33">
        <v>270</v>
      </c>
      <c r="B119" s="34" t="s">
        <v>112</v>
      </c>
      <c r="C119" s="35">
        <v>230</v>
      </c>
      <c r="D119" s="35">
        <v>230</v>
      </c>
      <c r="E119" s="35">
        <v>230</v>
      </c>
      <c r="F119" s="35">
        <v>230</v>
      </c>
      <c r="G119" s="35">
        <v>230</v>
      </c>
      <c r="H119" s="35"/>
      <c r="I119" s="35">
        <v>230</v>
      </c>
      <c r="J119" s="36">
        <v>230</v>
      </c>
      <c r="K119" s="37">
        <v>230</v>
      </c>
      <c r="L119" s="37">
        <v>230</v>
      </c>
      <c r="M119" s="37"/>
      <c r="N119" s="37"/>
      <c r="O119" s="37"/>
      <c r="P119" s="37"/>
      <c r="Q119" s="15">
        <f t="shared" si="2"/>
        <v>2070</v>
      </c>
      <c r="R119" s="17">
        <f t="shared" si="3"/>
        <v>0</v>
      </c>
    </row>
    <row r="120" spans="1:18" ht="44.25" customHeight="1" thickBot="1">
      <c r="A120" s="33">
        <v>271</v>
      </c>
      <c r="B120" s="34" t="s">
        <v>113</v>
      </c>
      <c r="C120" s="35">
        <v>-250</v>
      </c>
      <c r="D120" s="35">
        <v>250</v>
      </c>
      <c r="E120" s="35">
        <v>250</v>
      </c>
      <c r="F120" s="35">
        <v>250</v>
      </c>
      <c r="G120" s="35">
        <v>250</v>
      </c>
      <c r="H120" s="35">
        <v>80</v>
      </c>
      <c r="I120" s="35">
        <v>250</v>
      </c>
      <c r="J120" s="36">
        <v>250</v>
      </c>
      <c r="K120" s="37">
        <v>250</v>
      </c>
      <c r="L120" s="37">
        <v>250</v>
      </c>
      <c r="M120" s="37">
        <v>250</v>
      </c>
      <c r="N120" s="37">
        <v>250</v>
      </c>
      <c r="O120" s="37">
        <v>250</v>
      </c>
      <c r="P120" s="37">
        <v>250</v>
      </c>
      <c r="Q120" s="15">
        <f t="shared" si="2"/>
        <v>3080</v>
      </c>
      <c r="R120" s="17">
        <f t="shared" si="3"/>
        <v>250</v>
      </c>
    </row>
    <row r="121" spans="1:18" ht="44.25" customHeight="1" thickBot="1">
      <c r="A121" s="33">
        <v>272</v>
      </c>
      <c r="B121" s="34" t="s">
        <v>114</v>
      </c>
      <c r="C121" s="35"/>
      <c r="D121" s="35"/>
      <c r="E121" s="35">
        <v>180</v>
      </c>
      <c r="F121" s="35">
        <v>180</v>
      </c>
      <c r="G121" s="35">
        <v>180</v>
      </c>
      <c r="H121" s="35">
        <v>-80</v>
      </c>
      <c r="I121" s="35">
        <v>180</v>
      </c>
      <c r="J121" s="36">
        <v>180</v>
      </c>
      <c r="K121" s="37">
        <v>180</v>
      </c>
      <c r="L121" s="37"/>
      <c r="M121" s="37"/>
      <c r="N121" s="37"/>
      <c r="O121" s="37"/>
      <c r="P121" s="37"/>
      <c r="Q121" s="15">
        <f t="shared" si="2"/>
        <v>1080</v>
      </c>
      <c r="R121" s="17">
        <f t="shared" si="3"/>
        <v>80</v>
      </c>
    </row>
    <row r="122" spans="1:18" ht="44.25" customHeight="1" thickBot="1">
      <c r="A122" s="33">
        <v>274</v>
      </c>
      <c r="B122" s="34" t="s">
        <v>115</v>
      </c>
      <c r="C122" s="35">
        <v>-1230</v>
      </c>
      <c r="D122" s="35">
        <v>-1230</v>
      </c>
      <c r="E122" s="35">
        <v>1230</v>
      </c>
      <c r="F122" s="35">
        <v>1230</v>
      </c>
      <c r="G122" s="35">
        <v>1230</v>
      </c>
      <c r="H122" s="35">
        <v>-320</v>
      </c>
      <c r="I122" s="35">
        <v>1230</v>
      </c>
      <c r="J122" s="36">
        <v>1230</v>
      </c>
      <c r="K122" s="37">
        <v>1230</v>
      </c>
      <c r="L122" s="37">
        <v>1230</v>
      </c>
      <c r="M122" s="37">
        <v>1230</v>
      </c>
      <c r="N122" s="37">
        <v>-1230</v>
      </c>
      <c r="O122" s="37">
        <v>-1230</v>
      </c>
      <c r="P122" s="37">
        <v>1230</v>
      </c>
      <c r="Q122" s="15">
        <f t="shared" si="2"/>
        <v>11070</v>
      </c>
      <c r="R122" s="17">
        <f t="shared" si="3"/>
        <v>5240</v>
      </c>
    </row>
    <row r="123" spans="1:18" ht="44.25" customHeight="1" thickBot="1">
      <c r="A123" s="33">
        <v>275</v>
      </c>
      <c r="B123" s="34" t="s">
        <v>135</v>
      </c>
      <c r="C123" s="35"/>
      <c r="D123" s="35"/>
      <c r="E123" s="35"/>
      <c r="F123" s="35"/>
      <c r="G123" s="35"/>
      <c r="H123" s="35"/>
      <c r="I123" s="35">
        <v>180</v>
      </c>
      <c r="J123" s="36">
        <v>180</v>
      </c>
      <c r="K123" s="37">
        <v>180</v>
      </c>
      <c r="L123" s="37">
        <v>180</v>
      </c>
      <c r="M123" s="37">
        <v>180</v>
      </c>
      <c r="N123" s="37">
        <v>180</v>
      </c>
      <c r="O123" s="37">
        <v>-180</v>
      </c>
      <c r="P123" s="37"/>
      <c r="Q123" s="15">
        <f t="shared" si="2"/>
        <v>1080</v>
      </c>
      <c r="R123" s="17">
        <f t="shared" si="3"/>
        <v>180</v>
      </c>
    </row>
    <row r="124" spans="1:18" ht="44.25" customHeight="1" thickBot="1">
      <c r="A124" s="33">
        <v>276</v>
      </c>
      <c r="B124" s="34" t="s">
        <v>144</v>
      </c>
      <c r="C124" s="35"/>
      <c r="D124" s="35"/>
      <c r="E124" s="35"/>
      <c r="F124" s="35"/>
      <c r="G124" s="35"/>
      <c r="H124" s="35"/>
      <c r="I124" s="35"/>
      <c r="J124" s="36"/>
      <c r="K124" s="37"/>
      <c r="L124" s="37">
        <v>-350</v>
      </c>
      <c r="M124" s="37">
        <v>-350</v>
      </c>
      <c r="N124" s="37">
        <v>350</v>
      </c>
      <c r="O124" s="37">
        <v>145</v>
      </c>
      <c r="P124" s="37">
        <v>350</v>
      </c>
      <c r="Q124" s="15">
        <f>SUMIFS(C124:P124,C124:P124,"&gt;1")</f>
        <v>845</v>
      </c>
      <c r="R124" s="17">
        <f>-(SUMIFS(C124:P124,C124:P124,"&lt;1"))</f>
        <v>700</v>
      </c>
    </row>
    <row r="125" spans="1:18" ht="44.25" customHeight="1" thickBot="1">
      <c r="A125" s="33">
        <v>280</v>
      </c>
      <c r="B125" s="34" t="s">
        <v>116</v>
      </c>
      <c r="C125" s="35">
        <v>420</v>
      </c>
      <c r="D125" s="35">
        <v>420</v>
      </c>
      <c r="E125" s="35">
        <v>420</v>
      </c>
      <c r="F125" s="35">
        <v>420</v>
      </c>
      <c r="G125" s="35">
        <v>420</v>
      </c>
      <c r="H125" s="35"/>
      <c r="I125" s="35">
        <v>420</v>
      </c>
      <c r="J125" s="36">
        <v>420</v>
      </c>
      <c r="K125" s="37">
        <v>420</v>
      </c>
      <c r="L125" s="37">
        <v>420</v>
      </c>
      <c r="M125" s="37">
        <v>-420</v>
      </c>
      <c r="N125" s="37">
        <v>350</v>
      </c>
      <c r="O125" s="37">
        <v>350</v>
      </c>
      <c r="P125" s="37">
        <v>420</v>
      </c>
      <c r="Q125" s="15">
        <f t="shared" si="2"/>
        <v>4900</v>
      </c>
      <c r="R125" s="17">
        <f t="shared" si="3"/>
        <v>420</v>
      </c>
    </row>
    <row r="126" spans="1:18" ht="44.25" customHeight="1" thickBot="1">
      <c r="A126" s="33">
        <v>281</v>
      </c>
      <c r="B126" s="34" t="s">
        <v>117</v>
      </c>
      <c r="C126" s="35">
        <v>180</v>
      </c>
      <c r="D126" s="35">
        <v>180</v>
      </c>
      <c r="E126" s="35">
        <v>180</v>
      </c>
      <c r="F126" s="35">
        <v>180</v>
      </c>
      <c r="G126" s="35">
        <v>180</v>
      </c>
      <c r="H126" s="35"/>
      <c r="I126" s="35">
        <v>180</v>
      </c>
      <c r="J126" s="36">
        <v>180</v>
      </c>
      <c r="K126" s="37">
        <v>180</v>
      </c>
      <c r="L126" s="37">
        <v>180</v>
      </c>
      <c r="M126" s="37">
        <v>180</v>
      </c>
      <c r="N126" s="37">
        <v>180</v>
      </c>
      <c r="O126" s="37">
        <v>180</v>
      </c>
      <c r="P126" s="37">
        <v>180</v>
      </c>
      <c r="Q126" s="15">
        <f t="shared" si="2"/>
        <v>2340</v>
      </c>
      <c r="R126" s="17">
        <f t="shared" si="3"/>
        <v>0</v>
      </c>
    </row>
    <row r="127" spans="1:18" ht="44.25" customHeight="1" thickBot="1">
      <c r="A127" s="33">
        <v>282</v>
      </c>
      <c r="B127" s="34" t="s">
        <v>2</v>
      </c>
      <c r="C127" s="35"/>
      <c r="D127" s="35"/>
      <c r="E127" s="35"/>
      <c r="F127" s="35"/>
      <c r="G127" s="35"/>
      <c r="H127" s="35"/>
      <c r="I127" s="35"/>
      <c r="J127" s="36"/>
      <c r="K127" s="37"/>
      <c r="L127" s="37"/>
      <c r="M127" s="37">
        <v>180</v>
      </c>
      <c r="N127" s="37">
        <v>180</v>
      </c>
      <c r="O127" s="37"/>
      <c r="P127" s="37">
        <v>180</v>
      </c>
      <c r="Q127" s="15"/>
      <c r="R127" s="17"/>
    </row>
    <row r="128" spans="1:18" ht="44.25" customHeight="1" thickBot="1">
      <c r="A128" s="33">
        <v>286</v>
      </c>
      <c r="B128" s="34" t="s">
        <v>118</v>
      </c>
      <c r="C128" s="35">
        <v>375</v>
      </c>
      <c r="D128" s="35">
        <v>375</v>
      </c>
      <c r="E128" s="35">
        <v>375</v>
      </c>
      <c r="F128" s="35">
        <v>375</v>
      </c>
      <c r="G128" s="35">
        <v>375</v>
      </c>
      <c r="H128" s="35"/>
      <c r="I128" s="35">
        <v>375</v>
      </c>
      <c r="J128" s="36">
        <v>375</v>
      </c>
      <c r="K128" s="37">
        <v>375</v>
      </c>
      <c r="L128" s="37">
        <v>375</v>
      </c>
      <c r="M128" s="37">
        <v>375</v>
      </c>
      <c r="N128" s="37">
        <v>375</v>
      </c>
      <c r="O128" s="37"/>
      <c r="P128" s="37">
        <v>375</v>
      </c>
      <c r="Q128" s="15">
        <f t="shared" si="2"/>
        <v>4500</v>
      </c>
      <c r="R128" s="17">
        <f t="shared" si="3"/>
        <v>0</v>
      </c>
    </row>
    <row r="129" spans="1:18" ht="44.25" customHeight="1" thickBot="1">
      <c r="A129" s="33">
        <v>287</v>
      </c>
      <c r="B129" s="34" t="s">
        <v>119</v>
      </c>
      <c r="C129" s="35">
        <v>180</v>
      </c>
      <c r="D129" s="35">
        <v>180</v>
      </c>
      <c r="E129" s="35">
        <v>180</v>
      </c>
      <c r="F129" s="35">
        <v>180</v>
      </c>
      <c r="G129" s="35">
        <v>180</v>
      </c>
      <c r="H129" s="35"/>
      <c r="I129" s="35">
        <v>180</v>
      </c>
      <c r="J129" s="36">
        <v>180</v>
      </c>
      <c r="K129" s="42">
        <v>180</v>
      </c>
      <c r="L129" s="37">
        <v>180</v>
      </c>
      <c r="M129" s="42">
        <v>180</v>
      </c>
      <c r="N129" s="42">
        <v>180</v>
      </c>
      <c r="O129" s="42">
        <v>180</v>
      </c>
      <c r="P129" s="37">
        <v>180</v>
      </c>
      <c r="Q129" s="15">
        <f t="shared" si="2"/>
        <v>2340</v>
      </c>
      <c r="R129" s="17">
        <f t="shared" si="3"/>
        <v>0</v>
      </c>
    </row>
    <row r="130" spans="1:18" ht="44.25" customHeight="1" thickBot="1">
      <c r="A130" s="33">
        <v>288</v>
      </c>
      <c r="B130" s="34" t="s">
        <v>120</v>
      </c>
      <c r="C130" s="35">
        <v>375</v>
      </c>
      <c r="D130" s="35">
        <v>-375</v>
      </c>
      <c r="E130" s="35">
        <v>375</v>
      </c>
      <c r="F130" s="35">
        <v>-375</v>
      </c>
      <c r="G130" s="35">
        <v>-375</v>
      </c>
      <c r="H130" s="35"/>
      <c r="I130" s="35">
        <v>375</v>
      </c>
      <c r="J130" s="36">
        <v>375</v>
      </c>
      <c r="K130" s="37">
        <v>-375</v>
      </c>
      <c r="L130" s="37">
        <v>375</v>
      </c>
      <c r="M130" s="37">
        <v>375</v>
      </c>
      <c r="N130" s="37">
        <v>-375</v>
      </c>
      <c r="O130" s="37">
        <v>-375</v>
      </c>
      <c r="P130" s="37">
        <v>375</v>
      </c>
      <c r="Q130" s="15">
        <f t="shared" si="2"/>
        <v>2625</v>
      </c>
      <c r="R130" s="17">
        <f t="shared" si="3"/>
        <v>2250</v>
      </c>
    </row>
    <row r="131" spans="1:18" ht="44.25" customHeight="1" thickBot="1">
      <c r="A131" s="33">
        <v>297</v>
      </c>
      <c r="B131" s="34" t="s">
        <v>142</v>
      </c>
      <c r="C131" s="35"/>
      <c r="D131" s="35"/>
      <c r="E131" s="35"/>
      <c r="F131" s="35"/>
      <c r="G131" s="35"/>
      <c r="H131" s="35"/>
      <c r="I131" s="35"/>
      <c r="J131" s="36"/>
      <c r="K131" s="37">
        <v>250</v>
      </c>
      <c r="L131" s="37">
        <v>250</v>
      </c>
      <c r="M131" s="37">
        <v>250</v>
      </c>
      <c r="N131" s="37">
        <v>250</v>
      </c>
      <c r="O131" s="37">
        <v>105</v>
      </c>
      <c r="P131" s="37">
        <v>250</v>
      </c>
      <c r="Q131" s="15">
        <f t="shared" si="2"/>
        <v>1355</v>
      </c>
      <c r="R131" s="17">
        <f t="shared" si="3"/>
        <v>0</v>
      </c>
    </row>
    <row r="132" spans="1:18" ht="44.25" customHeight="1" thickBot="1">
      <c r="A132" s="33">
        <v>298</v>
      </c>
      <c r="B132" s="34" t="s">
        <v>121</v>
      </c>
      <c r="C132" s="35">
        <v>470</v>
      </c>
      <c r="D132" s="35">
        <v>-470</v>
      </c>
      <c r="E132" s="35">
        <v>-470</v>
      </c>
      <c r="F132" s="35">
        <v>470</v>
      </c>
      <c r="G132" s="35">
        <v>-470</v>
      </c>
      <c r="H132" s="35">
        <v>-80</v>
      </c>
      <c r="I132" s="35">
        <v>-470</v>
      </c>
      <c r="J132" s="36">
        <v>470</v>
      </c>
      <c r="K132" s="37">
        <v>470</v>
      </c>
      <c r="L132" s="37">
        <v>470</v>
      </c>
      <c r="M132" s="37">
        <v>470</v>
      </c>
      <c r="N132" s="37">
        <v>470</v>
      </c>
      <c r="O132" s="37">
        <v>470</v>
      </c>
      <c r="P132" s="37">
        <v>470</v>
      </c>
      <c r="Q132" s="15">
        <f t="shared" si="2"/>
        <v>4230</v>
      </c>
      <c r="R132" s="17">
        <f t="shared" si="3"/>
        <v>1960</v>
      </c>
    </row>
    <row r="133" spans="1:18" ht="44.25" customHeight="1" thickBot="1">
      <c r="A133" s="33">
        <v>315</v>
      </c>
      <c r="B133" s="34" t="s">
        <v>122</v>
      </c>
      <c r="C133" s="35">
        <v>254</v>
      </c>
      <c r="D133" s="35">
        <v>254</v>
      </c>
      <c r="E133" s="35">
        <v>254</v>
      </c>
      <c r="F133" s="35">
        <v>254</v>
      </c>
      <c r="G133" s="35">
        <v>254</v>
      </c>
      <c r="H133" s="35"/>
      <c r="I133" s="35">
        <v>254</v>
      </c>
      <c r="J133" s="36">
        <v>254</v>
      </c>
      <c r="K133" s="37">
        <v>254</v>
      </c>
      <c r="L133" s="37">
        <v>254</v>
      </c>
      <c r="M133" s="37">
        <v>254</v>
      </c>
      <c r="N133" s="37">
        <v>254</v>
      </c>
      <c r="O133" s="37">
        <v>254</v>
      </c>
      <c r="P133" s="37">
        <v>254</v>
      </c>
      <c r="Q133" s="15">
        <f t="shared" si="2"/>
        <v>3302</v>
      </c>
      <c r="R133" s="17">
        <f t="shared" si="3"/>
        <v>0</v>
      </c>
    </row>
    <row r="134" spans="1:18" ht="44.25" customHeight="1" thickBot="1">
      <c r="A134" s="33">
        <v>319</v>
      </c>
      <c r="B134" s="34" t="s">
        <v>123</v>
      </c>
      <c r="C134" s="35">
        <v>236</v>
      </c>
      <c r="D134" s="35">
        <v>236</v>
      </c>
      <c r="E134" s="35">
        <v>236</v>
      </c>
      <c r="F134" s="35">
        <v>-236</v>
      </c>
      <c r="G134" s="35">
        <v>236</v>
      </c>
      <c r="H134" s="35"/>
      <c r="I134" s="35">
        <v>236</v>
      </c>
      <c r="J134" s="36">
        <v>236</v>
      </c>
      <c r="K134" s="37">
        <v>236</v>
      </c>
      <c r="L134" s="37">
        <v>236</v>
      </c>
      <c r="M134" s="37">
        <v>236</v>
      </c>
      <c r="N134" s="37">
        <v>236</v>
      </c>
      <c r="O134" s="37">
        <v>236</v>
      </c>
      <c r="P134" s="37">
        <v>236</v>
      </c>
      <c r="Q134" s="15">
        <f t="shared" si="2"/>
        <v>2832</v>
      </c>
      <c r="R134" s="17">
        <f t="shared" si="3"/>
        <v>236</v>
      </c>
    </row>
    <row r="135" spans="1:18" ht="44.25" customHeight="1" thickBot="1">
      <c r="A135" s="33">
        <v>338</v>
      </c>
      <c r="B135" s="34" t="s">
        <v>124</v>
      </c>
      <c r="C135" s="35">
        <v>500</v>
      </c>
      <c r="D135" s="35">
        <v>500</v>
      </c>
      <c r="E135" s="35">
        <v>500</v>
      </c>
      <c r="F135" s="35">
        <v>-500</v>
      </c>
      <c r="G135" s="35">
        <v>500</v>
      </c>
      <c r="H135" s="35">
        <v>160</v>
      </c>
      <c r="I135" s="35">
        <v>-500</v>
      </c>
      <c r="J135" s="36">
        <v>500</v>
      </c>
      <c r="K135" s="37">
        <v>500</v>
      </c>
      <c r="L135" s="37">
        <v>500</v>
      </c>
      <c r="M135" s="37">
        <v>500</v>
      </c>
      <c r="N135" s="37">
        <v>-500</v>
      </c>
      <c r="O135" s="37">
        <v>-500</v>
      </c>
      <c r="P135" s="37">
        <v>500</v>
      </c>
      <c r="Q135" s="15">
        <f t="shared" ref="Q135:Q144" si="4">SUMIFS(C135:P135,C135:P135,"&gt;1")</f>
        <v>4660</v>
      </c>
      <c r="R135" s="17">
        <f t="shared" ref="R135:R144" si="5">-(SUMIFS(C135:P135,C135:P135,"&lt;1"))</f>
        <v>2000</v>
      </c>
    </row>
    <row r="136" spans="1:18" ht="44.25" customHeight="1" thickBot="1">
      <c r="A136" s="33">
        <v>344</v>
      </c>
      <c r="B136" s="34" t="s">
        <v>125</v>
      </c>
      <c r="C136" s="35">
        <v>375</v>
      </c>
      <c r="D136" s="35">
        <v>375</v>
      </c>
      <c r="E136" s="35">
        <v>375</v>
      </c>
      <c r="F136" s="35">
        <v>375</v>
      </c>
      <c r="G136" s="35">
        <v>375</v>
      </c>
      <c r="H136" s="35"/>
      <c r="I136" s="35">
        <v>375</v>
      </c>
      <c r="J136" s="36">
        <v>375</v>
      </c>
      <c r="K136" s="37">
        <v>375</v>
      </c>
      <c r="L136" s="37">
        <v>375</v>
      </c>
      <c r="M136" s="37">
        <v>375</v>
      </c>
      <c r="N136" s="37">
        <v>375</v>
      </c>
      <c r="O136" s="37">
        <v>375</v>
      </c>
      <c r="P136" s="37">
        <v>375</v>
      </c>
      <c r="Q136" s="15">
        <f t="shared" si="4"/>
        <v>4875</v>
      </c>
      <c r="R136" s="17">
        <f t="shared" si="5"/>
        <v>0</v>
      </c>
    </row>
    <row r="137" spans="1:18" ht="44.25" customHeight="1" thickBot="1">
      <c r="A137" s="33">
        <v>352</v>
      </c>
      <c r="B137" s="34" t="s">
        <v>126</v>
      </c>
      <c r="C137" s="35">
        <v>1100</v>
      </c>
      <c r="D137" s="35">
        <v>1100</v>
      </c>
      <c r="E137" s="35">
        <v>1100</v>
      </c>
      <c r="F137" s="35">
        <v>1100</v>
      </c>
      <c r="G137" s="35">
        <v>1100</v>
      </c>
      <c r="H137" s="35"/>
      <c r="I137" s="35">
        <v>1100</v>
      </c>
      <c r="J137" s="36">
        <v>1100</v>
      </c>
      <c r="K137" s="37">
        <v>1100</v>
      </c>
      <c r="L137" s="37">
        <v>1100</v>
      </c>
      <c r="M137" s="37">
        <v>1100</v>
      </c>
      <c r="N137" s="37">
        <v>1100</v>
      </c>
      <c r="O137" s="37">
        <v>1100</v>
      </c>
      <c r="P137" s="37">
        <v>1100</v>
      </c>
      <c r="Q137" s="15">
        <f t="shared" si="4"/>
        <v>14300</v>
      </c>
      <c r="R137" s="17">
        <f t="shared" si="5"/>
        <v>0</v>
      </c>
    </row>
    <row r="138" spans="1:18" ht="44.25" customHeight="1" thickBot="1">
      <c r="A138" s="33">
        <v>451</v>
      </c>
      <c r="B138" s="34" t="s">
        <v>127</v>
      </c>
      <c r="C138" s="35">
        <v>105</v>
      </c>
      <c r="D138" s="35">
        <v>-105</v>
      </c>
      <c r="E138" s="35">
        <v>105</v>
      </c>
      <c r="F138" s="35">
        <v>105</v>
      </c>
      <c r="G138" s="35">
        <v>-105</v>
      </c>
      <c r="H138" s="35"/>
      <c r="I138" s="35">
        <v>-105</v>
      </c>
      <c r="J138" s="36">
        <v>105</v>
      </c>
      <c r="K138" s="37">
        <v>105</v>
      </c>
      <c r="L138" s="37">
        <v>-105</v>
      </c>
      <c r="M138" s="37">
        <v>105</v>
      </c>
      <c r="N138" s="37">
        <v>105</v>
      </c>
      <c r="O138" s="37">
        <v>105</v>
      </c>
      <c r="P138" s="37">
        <v>105</v>
      </c>
      <c r="Q138" s="15">
        <f t="shared" si="4"/>
        <v>945</v>
      </c>
      <c r="R138" s="17">
        <f t="shared" si="5"/>
        <v>420</v>
      </c>
    </row>
    <row r="139" spans="1:18" ht="44.25" customHeight="1" thickBot="1">
      <c r="A139" s="33">
        <v>483</v>
      </c>
      <c r="B139" s="34" t="s">
        <v>128</v>
      </c>
      <c r="C139" s="35">
        <v>-65</v>
      </c>
      <c r="D139" s="35">
        <v>-65</v>
      </c>
      <c r="E139" s="35">
        <v>-65</v>
      </c>
      <c r="F139" s="35">
        <v>-65</v>
      </c>
      <c r="G139" s="35">
        <v>-65</v>
      </c>
      <c r="H139" s="35"/>
      <c r="I139" s="35">
        <v>-65</v>
      </c>
      <c r="J139" s="36">
        <v>-65</v>
      </c>
      <c r="K139" s="37">
        <v>65</v>
      </c>
      <c r="L139" s="37">
        <v>-65</v>
      </c>
      <c r="M139" s="37">
        <v>-65</v>
      </c>
      <c r="N139" s="37">
        <v>-65</v>
      </c>
      <c r="O139" s="37">
        <v>-65</v>
      </c>
      <c r="P139" s="37">
        <v>-65</v>
      </c>
      <c r="Q139" s="15">
        <f t="shared" si="4"/>
        <v>65</v>
      </c>
      <c r="R139" s="17">
        <f t="shared" si="5"/>
        <v>780</v>
      </c>
    </row>
    <row r="140" spans="1:18" ht="44.25" customHeight="1" thickBot="1">
      <c r="A140" s="33">
        <v>513</v>
      </c>
      <c r="B140" s="34" t="s">
        <v>129</v>
      </c>
      <c r="C140" s="35">
        <v>305</v>
      </c>
      <c r="D140" s="35">
        <v>-305</v>
      </c>
      <c r="E140" s="35">
        <v>305</v>
      </c>
      <c r="F140" s="35">
        <v>305</v>
      </c>
      <c r="G140" s="35">
        <v>-305</v>
      </c>
      <c r="H140" s="35"/>
      <c r="I140" s="35">
        <v>-305</v>
      </c>
      <c r="J140" s="36">
        <v>305</v>
      </c>
      <c r="K140" s="37">
        <v>305</v>
      </c>
      <c r="L140" s="37">
        <v>305</v>
      </c>
      <c r="M140" s="37">
        <v>305</v>
      </c>
      <c r="N140" s="37">
        <v>305</v>
      </c>
      <c r="O140" s="37">
        <v>305</v>
      </c>
      <c r="P140" s="37">
        <v>305</v>
      </c>
      <c r="Q140" s="15">
        <f t="shared" si="4"/>
        <v>3050</v>
      </c>
      <c r="R140" s="17">
        <f t="shared" si="5"/>
        <v>915</v>
      </c>
    </row>
    <row r="141" spans="1:18" ht="44.25" customHeight="1" thickBot="1">
      <c r="A141" s="33">
        <v>605</v>
      </c>
      <c r="B141" s="34" t="s">
        <v>130</v>
      </c>
      <c r="C141" s="35">
        <v>200</v>
      </c>
      <c r="D141" s="35">
        <v>200</v>
      </c>
      <c r="E141" s="35">
        <v>200</v>
      </c>
      <c r="F141" s="35">
        <v>200</v>
      </c>
      <c r="G141" s="35">
        <v>-200</v>
      </c>
      <c r="H141" s="35"/>
      <c r="I141" s="35">
        <v>-200</v>
      </c>
      <c r="J141" s="36">
        <v>-200</v>
      </c>
      <c r="K141" s="37">
        <v>-200</v>
      </c>
      <c r="L141" s="37">
        <v>-200</v>
      </c>
      <c r="M141" s="37">
        <v>200</v>
      </c>
      <c r="N141" s="37">
        <v>-200</v>
      </c>
      <c r="O141" s="37">
        <v>-200</v>
      </c>
      <c r="P141" s="37">
        <v>200</v>
      </c>
      <c r="Q141" s="15">
        <f t="shared" si="4"/>
        <v>1200</v>
      </c>
      <c r="R141" s="17">
        <f t="shared" si="5"/>
        <v>1400</v>
      </c>
    </row>
    <row r="142" spans="1:18" ht="44.25" customHeight="1" thickBot="1">
      <c r="A142" s="33">
        <v>715</v>
      </c>
      <c r="B142" s="34" t="s">
        <v>133</v>
      </c>
      <c r="C142" s="35">
        <v>-140</v>
      </c>
      <c r="D142" s="35">
        <v>-140</v>
      </c>
      <c r="E142" s="35">
        <v>-140</v>
      </c>
      <c r="F142" s="35">
        <v>-140</v>
      </c>
      <c r="G142" s="35">
        <v>-140</v>
      </c>
      <c r="H142" s="35"/>
      <c r="I142" s="35">
        <v>-140</v>
      </c>
      <c r="J142" s="36">
        <v>-140</v>
      </c>
      <c r="K142" s="37">
        <v>-140</v>
      </c>
      <c r="L142" s="37">
        <v>-140</v>
      </c>
      <c r="M142" s="37">
        <v>-140</v>
      </c>
      <c r="N142" s="37">
        <v>-140</v>
      </c>
      <c r="O142" s="37">
        <v>-140</v>
      </c>
      <c r="P142" s="37">
        <v>-140</v>
      </c>
      <c r="Q142" s="15">
        <f t="shared" si="4"/>
        <v>0</v>
      </c>
      <c r="R142" s="17">
        <f t="shared" si="5"/>
        <v>1820</v>
      </c>
    </row>
    <row r="143" spans="1:18" ht="44.25" customHeight="1" thickBot="1">
      <c r="A143" s="33">
        <v>740</v>
      </c>
      <c r="B143" s="34" t="s">
        <v>136</v>
      </c>
      <c r="C143" s="35"/>
      <c r="D143" s="35"/>
      <c r="E143" s="35"/>
      <c r="F143" s="35"/>
      <c r="G143" s="35"/>
      <c r="H143" s="35"/>
      <c r="I143" s="35"/>
      <c r="J143" s="36">
        <v>100</v>
      </c>
      <c r="K143" s="37">
        <v>100</v>
      </c>
      <c r="L143" s="37">
        <v>100</v>
      </c>
      <c r="M143" s="37">
        <v>100</v>
      </c>
      <c r="N143" s="37">
        <v>100</v>
      </c>
      <c r="O143" s="37"/>
      <c r="P143" s="37">
        <v>100</v>
      </c>
      <c r="Q143" s="15">
        <f t="shared" si="4"/>
        <v>600</v>
      </c>
      <c r="R143" s="17">
        <f t="shared" si="5"/>
        <v>0</v>
      </c>
    </row>
    <row r="144" spans="1:18" ht="44.25" customHeight="1" thickBot="1">
      <c r="A144" s="38"/>
      <c r="B144" s="34" t="s">
        <v>134</v>
      </c>
      <c r="C144" s="35">
        <v>550</v>
      </c>
      <c r="D144" s="35">
        <v>550</v>
      </c>
      <c r="E144" s="35">
        <v>550</v>
      </c>
      <c r="F144" s="35">
        <v>550</v>
      </c>
      <c r="G144" s="35">
        <v>-550</v>
      </c>
      <c r="H144" s="35"/>
      <c r="I144" s="35">
        <v>-550</v>
      </c>
      <c r="J144" s="36">
        <v>550</v>
      </c>
      <c r="K144" s="37">
        <v>-550</v>
      </c>
      <c r="L144" s="37">
        <v>550</v>
      </c>
      <c r="M144" s="37">
        <v>550</v>
      </c>
      <c r="N144" s="37">
        <v>550</v>
      </c>
      <c r="O144" s="37">
        <v>-550</v>
      </c>
      <c r="P144" s="37">
        <v>550</v>
      </c>
      <c r="Q144" s="15">
        <f t="shared" si="4"/>
        <v>4950</v>
      </c>
      <c r="R144" s="17">
        <f t="shared" si="5"/>
        <v>2200</v>
      </c>
    </row>
    <row r="145" spans="1:18" ht="44.25" customHeight="1" thickBot="1">
      <c r="A145" s="624" t="s">
        <v>131</v>
      </c>
      <c r="B145" s="625"/>
      <c r="C145" s="625"/>
      <c r="D145" s="625"/>
      <c r="E145" s="625"/>
      <c r="F145" s="625"/>
      <c r="G145" s="625"/>
      <c r="H145" s="625"/>
      <c r="I145" s="626"/>
      <c r="J145" s="39"/>
      <c r="K145" s="39"/>
      <c r="L145" s="39"/>
      <c r="M145" s="39"/>
      <c r="N145" s="39"/>
      <c r="O145" s="39"/>
      <c r="P145" s="39"/>
      <c r="Q145" s="15">
        <f>SUMIFS(C145:P145,C145:P145,"&gt;1")</f>
        <v>0</v>
      </c>
      <c r="R145" s="6">
        <f>SUM(R3:R144)</f>
        <v>325891</v>
      </c>
    </row>
    <row r="146" spans="1:18" ht="44.25" customHeight="1">
      <c r="C146" s="2"/>
      <c r="D146" s="2"/>
      <c r="E146" s="2"/>
      <c r="F146" s="2"/>
      <c r="G146" s="2"/>
      <c r="H146" s="4"/>
      <c r="I146" s="2"/>
      <c r="J146" s="4"/>
      <c r="K146" s="4"/>
      <c r="L146" s="4"/>
      <c r="M146" s="4"/>
      <c r="N146" s="4"/>
      <c r="O146" s="4"/>
      <c r="P146" s="4"/>
      <c r="Q146" s="2"/>
    </row>
    <row r="147" spans="1:18" ht="44.25" customHeight="1">
      <c r="C147" s="2"/>
      <c r="D147" s="2"/>
      <c r="E147" s="2"/>
      <c r="F147" s="2"/>
      <c r="G147" s="2"/>
      <c r="H147" s="4"/>
      <c r="I147" s="2"/>
      <c r="J147" s="4"/>
      <c r="K147" s="4"/>
      <c r="L147" s="4"/>
      <c r="M147" s="4"/>
      <c r="N147" s="4"/>
      <c r="O147" s="4"/>
      <c r="P147" s="4"/>
      <c r="Q147" s="2"/>
    </row>
    <row r="148" spans="1:18" ht="44.25" customHeight="1">
      <c r="C148" s="2"/>
      <c r="D148" s="2"/>
      <c r="E148" s="2"/>
      <c r="F148" s="2"/>
      <c r="G148" s="2"/>
      <c r="H148" s="4"/>
      <c r="I148" s="2"/>
      <c r="J148" s="4"/>
      <c r="K148" s="4"/>
      <c r="L148" s="4"/>
      <c r="M148" s="4"/>
      <c r="N148" s="4"/>
      <c r="O148" s="4"/>
      <c r="P148" s="4"/>
      <c r="Q148" s="2"/>
    </row>
    <row r="149" spans="1:18" ht="44.25" customHeight="1">
      <c r="C149" s="2"/>
      <c r="D149" s="2"/>
      <c r="E149" s="2"/>
      <c r="F149" s="2"/>
      <c r="G149" s="2"/>
      <c r="H149" s="4"/>
      <c r="I149" s="2"/>
      <c r="J149" s="4"/>
      <c r="K149" s="4"/>
      <c r="L149" s="4"/>
      <c r="M149" s="4"/>
      <c r="N149" s="4"/>
      <c r="O149" s="4"/>
      <c r="P149" s="4"/>
      <c r="Q149" s="2"/>
    </row>
    <row r="150" spans="1:18" ht="44.25" customHeight="1">
      <c r="C150" s="2"/>
      <c r="D150" s="2"/>
      <c r="E150" s="2"/>
      <c r="F150" s="2"/>
      <c r="G150" s="2"/>
      <c r="H150" s="4"/>
      <c r="I150" s="2"/>
      <c r="J150" s="4"/>
      <c r="K150" s="4"/>
      <c r="L150" s="4"/>
      <c r="M150" s="4"/>
      <c r="N150" s="4"/>
      <c r="O150" s="4"/>
      <c r="P150" s="4"/>
      <c r="Q150" s="2"/>
    </row>
    <row r="151" spans="1:18" ht="44.25" customHeight="1">
      <c r="C151" s="2"/>
      <c r="D151" s="2"/>
      <c r="E151" s="2"/>
      <c r="F151" s="2"/>
      <c r="G151" s="2"/>
      <c r="H151" s="4"/>
      <c r="I151" s="2"/>
      <c r="J151" s="4"/>
      <c r="K151" s="4"/>
      <c r="L151" s="4"/>
      <c r="M151" s="4"/>
      <c r="N151" s="4"/>
      <c r="O151" s="4"/>
      <c r="P151" s="4"/>
      <c r="Q151" s="2"/>
    </row>
    <row r="152" spans="1:18" ht="44.25" customHeight="1">
      <c r="C152" s="2"/>
      <c r="D152" s="2"/>
      <c r="E152" s="2"/>
      <c r="F152" s="2"/>
      <c r="G152" s="2"/>
      <c r="H152" s="4"/>
      <c r="I152" s="2"/>
      <c r="J152" s="4"/>
      <c r="K152" s="4"/>
      <c r="L152" s="4"/>
      <c r="M152" s="4"/>
      <c r="N152" s="4"/>
      <c r="O152" s="4"/>
      <c r="P152" s="4"/>
      <c r="Q152" s="2"/>
    </row>
    <row r="153" spans="1:18" ht="44.25" customHeight="1">
      <c r="C153" s="2"/>
      <c r="D153" s="2"/>
      <c r="E153" s="2"/>
      <c r="F153" s="2"/>
      <c r="G153" s="2"/>
      <c r="H153" s="4"/>
      <c r="I153" s="2"/>
      <c r="J153" s="4"/>
      <c r="K153" s="4"/>
      <c r="L153" s="4"/>
      <c r="M153" s="4"/>
      <c r="N153" s="4"/>
      <c r="O153" s="4"/>
      <c r="P153" s="4"/>
      <c r="Q153" s="2"/>
    </row>
    <row r="154" spans="1:18" ht="44.25" customHeight="1">
      <c r="C154" s="2"/>
      <c r="D154" s="2"/>
      <c r="E154" s="2"/>
      <c r="F154" s="2"/>
      <c r="G154" s="2"/>
      <c r="H154" s="4"/>
      <c r="I154" s="2"/>
      <c r="J154" s="4"/>
      <c r="K154" s="4"/>
      <c r="L154" s="4"/>
      <c r="M154" s="4"/>
      <c r="N154" s="4"/>
      <c r="O154" s="4"/>
      <c r="P154" s="4"/>
      <c r="Q154" s="2"/>
    </row>
    <row r="155" spans="1:18" ht="44.25" customHeight="1">
      <c r="C155" s="2"/>
      <c r="D155" s="2"/>
      <c r="E155" s="2"/>
      <c r="F155" s="2"/>
      <c r="G155" s="2"/>
      <c r="H155" s="4"/>
      <c r="I155" s="2"/>
      <c r="J155" s="4"/>
      <c r="K155" s="4"/>
      <c r="L155" s="4"/>
      <c r="M155" s="4"/>
      <c r="N155" s="4"/>
      <c r="O155" s="4"/>
      <c r="P155" s="4"/>
      <c r="Q155" s="2"/>
    </row>
  </sheetData>
  <autoFilter ref="A2:R145" xr:uid="{00000000-0009-0000-0000-00000F000000}"/>
  <mergeCells count="4">
    <mergeCell ref="A145:I145"/>
    <mergeCell ref="C1:E1"/>
    <mergeCell ref="G1:I1"/>
    <mergeCell ref="K1:M1"/>
  </mergeCells>
  <conditionalFormatting sqref="C146:P1048576 C3:P144">
    <cfRule type="cellIs" dxfId="861" priority="5" operator="greaterThan">
      <formula>0</formula>
    </cfRule>
  </conditionalFormatting>
  <hyperlinks>
    <hyperlink ref="C1:E1" location="dashboard!A1" display="RETONAR AO DASHBOARD" xr:uid="{00000000-0004-0000-0F00-000000000000}"/>
    <hyperlink ref="G1:I1" location="'2022'!A1" display="'2022'!A1" xr:uid="{00000000-0004-0000-0F00-000001000000}"/>
    <hyperlink ref="K1:M1" location="'2023'!A1" display="'2023'!A1" xr:uid="{00000000-0004-0000-0F00-000002000000}"/>
  </hyperlink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/>
  <dimension ref="A1:M578"/>
  <sheetViews>
    <sheetView zoomScale="80" zoomScaleNormal="80" workbookViewId="0">
      <pane ySplit="2" topLeftCell="A212" activePane="bottomLeft" state="frozen"/>
      <selection pane="bottomLeft" activeCell="I1" sqref="I1"/>
    </sheetView>
  </sheetViews>
  <sheetFormatPr defaultColWidth="14.28515625" defaultRowHeight="23.25" customHeight="1"/>
  <cols>
    <col min="1" max="1" width="13" style="43" customWidth="1"/>
    <col min="2" max="2" width="14.28515625" style="43"/>
    <col min="3" max="3" width="16.28515625" style="43" customWidth="1"/>
    <col min="4" max="4" width="14.42578125" style="43" customWidth="1"/>
    <col min="5" max="10" width="14.28515625" style="43"/>
    <col min="11" max="11" width="15.42578125" style="248" customWidth="1"/>
    <col min="12" max="12" width="19.42578125" style="261" customWidth="1"/>
    <col min="13" max="13" width="17.140625" style="261" customWidth="1"/>
    <col min="14" max="16384" width="14.28515625" style="43"/>
  </cols>
  <sheetData>
    <row r="1" spans="1:13" s="131" customFormat="1" ht="32.25" customHeight="1" thickBot="1">
      <c r="A1" s="249" t="s">
        <v>1006</v>
      </c>
      <c r="B1" s="250"/>
      <c r="C1" s="252" t="s">
        <v>1005</v>
      </c>
      <c r="D1" s="135"/>
      <c r="E1" s="136">
        <v>2021</v>
      </c>
      <c r="G1" s="146">
        <v>2022</v>
      </c>
      <c r="I1" s="147">
        <v>2023</v>
      </c>
      <c r="K1" s="142"/>
      <c r="L1" s="251"/>
      <c r="M1" s="260"/>
    </row>
    <row r="2" spans="1:13" ht="23.25" customHeight="1" thickBot="1">
      <c r="A2" s="46" t="s">
        <v>146</v>
      </c>
      <c r="B2" s="46" t="s">
        <v>147</v>
      </c>
      <c r="C2" s="253">
        <f>SUM(K3:K566)</f>
        <v>794124.5</v>
      </c>
      <c r="D2" s="630">
        <v>2022</v>
      </c>
      <c r="E2" s="631"/>
      <c r="F2" s="631"/>
      <c r="G2" s="631"/>
      <c r="H2" s="631"/>
      <c r="I2" s="631"/>
      <c r="J2" s="632"/>
      <c r="K2" s="247" t="s">
        <v>1004</v>
      </c>
    </row>
    <row r="3" spans="1:13" s="127" customFormat="1" ht="23.25" customHeight="1">
      <c r="A3" s="644">
        <v>2</v>
      </c>
      <c r="B3" s="644" t="s">
        <v>148</v>
      </c>
      <c r="C3" s="645">
        <v>520</v>
      </c>
      <c r="D3" s="128" t="s">
        <v>149</v>
      </c>
      <c r="E3" s="128" t="s">
        <v>150</v>
      </c>
      <c r="F3" s="128" t="s">
        <v>151</v>
      </c>
      <c r="G3" s="128" t="s">
        <v>152</v>
      </c>
      <c r="H3" s="128" t="s">
        <v>22</v>
      </c>
      <c r="I3" s="128" t="s">
        <v>153</v>
      </c>
      <c r="J3" s="245" t="s">
        <v>154</v>
      </c>
      <c r="K3" s="258"/>
      <c r="L3" s="262"/>
      <c r="M3" s="262"/>
    </row>
    <row r="4" spans="1:13" s="127" customFormat="1" ht="23.25" customHeight="1">
      <c r="A4" s="644"/>
      <c r="B4" s="644"/>
      <c r="C4" s="645"/>
      <c r="D4" s="126">
        <v>520</v>
      </c>
      <c r="E4" s="126">
        <v>520</v>
      </c>
      <c r="F4" s="126">
        <v>520</v>
      </c>
      <c r="G4" s="126">
        <v>520</v>
      </c>
      <c r="H4" s="126"/>
      <c r="I4" s="126">
        <v>360</v>
      </c>
      <c r="J4" s="246">
        <v>352</v>
      </c>
      <c r="K4" s="634">
        <f>SUM(D4:J4,D6:J6)</f>
        <v>5937</v>
      </c>
      <c r="L4" s="262"/>
      <c r="M4" s="262"/>
    </row>
    <row r="5" spans="1:13" s="127" customFormat="1" ht="23.25" customHeight="1">
      <c r="A5" s="644"/>
      <c r="B5" s="644"/>
      <c r="C5" s="645"/>
      <c r="D5" s="128" t="s">
        <v>155</v>
      </c>
      <c r="E5" s="128" t="s">
        <v>156</v>
      </c>
      <c r="F5" s="128" t="s">
        <v>157</v>
      </c>
      <c r="G5" s="128" t="s">
        <v>158</v>
      </c>
      <c r="H5" s="128" t="s">
        <v>159</v>
      </c>
      <c r="I5" s="128" t="s">
        <v>279</v>
      </c>
      <c r="J5" s="245" t="s">
        <v>160</v>
      </c>
      <c r="K5" s="635"/>
      <c r="L5" s="262"/>
      <c r="M5" s="262"/>
    </row>
    <row r="6" spans="1:13" s="127" customFormat="1" ht="23.25" customHeight="1" thickBot="1">
      <c r="A6" s="644"/>
      <c r="B6" s="644"/>
      <c r="C6" s="645"/>
      <c r="D6" s="126">
        <v>520</v>
      </c>
      <c r="E6" s="126">
        <v>520</v>
      </c>
      <c r="F6" s="126">
        <v>355</v>
      </c>
      <c r="G6" s="126">
        <v>355</v>
      </c>
      <c r="H6" s="126">
        <v>355</v>
      </c>
      <c r="I6" s="126">
        <v>520</v>
      </c>
      <c r="J6" s="246">
        <v>520</v>
      </c>
      <c r="K6" s="259"/>
      <c r="L6" s="262"/>
      <c r="M6" s="262"/>
    </row>
    <row r="7" spans="1:13" s="127" customFormat="1" ht="23.25" customHeight="1">
      <c r="A7" s="644">
        <v>4</v>
      </c>
      <c r="B7" s="644" t="s">
        <v>161</v>
      </c>
      <c r="C7" s="645">
        <v>660</v>
      </c>
      <c r="D7" s="128" t="s">
        <v>149</v>
      </c>
      <c r="E7" s="128" t="s">
        <v>150</v>
      </c>
      <c r="F7" s="128" t="s">
        <v>151</v>
      </c>
      <c r="G7" s="128" t="s">
        <v>152</v>
      </c>
      <c r="H7" s="128" t="s">
        <v>22</v>
      </c>
      <c r="I7" s="128" t="s">
        <v>153</v>
      </c>
      <c r="J7" s="128" t="s">
        <v>154</v>
      </c>
      <c r="K7" s="258"/>
      <c r="L7" s="262"/>
      <c r="M7" s="262"/>
    </row>
    <row r="8" spans="1:13" s="127" customFormat="1" ht="23.25" customHeight="1">
      <c r="A8" s="644"/>
      <c r="B8" s="644"/>
      <c r="C8" s="645"/>
      <c r="D8" s="126">
        <v>660</v>
      </c>
      <c r="E8" s="126">
        <v>660</v>
      </c>
      <c r="F8" s="126">
        <v>660</v>
      </c>
      <c r="G8" s="126">
        <v>660</v>
      </c>
      <c r="H8" s="126"/>
      <c r="I8" s="126">
        <v>660</v>
      </c>
      <c r="J8" s="126">
        <v>660</v>
      </c>
      <c r="K8" s="634">
        <f>SUM(D8:J8,D10:J10)</f>
        <v>8580</v>
      </c>
      <c r="L8" s="262"/>
      <c r="M8" s="262"/>
    </row>
    <row r="9" spans="1:13" s="127" customFormat="1" ht="23.25" customHeight="1">
      <c r="A9" s="644"/>
      <c r="B9" s="644"/>
      <c r="C9" s="645"/>
      <c r="D9" s="128" t="s">
        <v>155</v>
      </c>
      <c r="E9" s="128" t="s">
        <v>156</v>
      </c>
      <c r="F9" s="128" t="s">
        <v>157</v>
      </c>
      <c r="G9" s="128" t="s">
        <v>158</v>
      </c>
      <c r="H9" s="128" t="s">
        <v>159</v>
      </c>
      <c r="I9" s="128" t="s">
        <v>279</v>
      </c>
      <c r="J9" s="128" t="s">
        <v>160</v>
      </c>
      <c r="K9" s="635"/>
      <c r="L9" s="262"/>
      <c r="M9" s="262"/>
    </row>
    <row r="10" spans="1:13" s="127" customFormat="1" ht="23.25" customHeight="1" thickBot="1">
      <c r="A10" s="644"/>
      <c r="B10" s="644"/>
      <c r="C10" s="645"/>
      <c r="D10" s="126">
        <v>660</v>
      </c>
      <c r="E10" s="126">
        <v>660</v>
      </c>
      <c r="F10" s="126">
        <v>660</v>
      </c>
      <c r="G10" s="126">
        <v>660</v>
      </c>
      <c r="H10" s="126">
        <v>660</v>
      </c>
      <c r="I10" s="126">
        <v>660</v>
      </c>
      <c r="J10" s="126">
        <v>660</v>
      </c>
      <c r="K10" s="259"/>
      <c r="L10" s="262"/>
      <c r="M10" s="262"/>
    </row>
    <row r="11" spans="1:13" ht="23.25" customHeight="1">
      <c r="A11" s="646">
        <v>5</v>
      </c>
      <c r="B11" s="649" t="s">
        <v>5</v>
      </c>
      <c r="C11" s="648">
        <v>440</v>
      </c>
      <c r="D11" s="46" t="s">
        <v>149</v>
      </c>
      <c r="E11" s="46" t="s">
        <v>150</v>
      </c>
      <c r="F11" s="46" t="s">
        <v>151</v>
      </c>
      <c r="G11" s="46" t="s">
        <v>152</v>
      </c>
      <c r="H11" s="46" t="s">
        <v>22</v>
      </c>
      <c r="I11" s="46" t="s">
        <v>153</v>
      </c>
      <c r="J11" s="46" t="s">
        <v>154</v>
      </c>
      <c r="K11" s="258"/>
      <c r="L11" s="262"/>
      <c r="M11" s="262"/>
    </row>
    <row r="12" spans="1:13" ht="23.25" customHeight="1">
      <c r="A12" s="646"/>
      <c r="B12" s="649"/>
      <c r="C12" s="648"/>
      <c r="D12" s="44">
        <v>440</v>
      </c>
      <c r="E12" s="44">
        <v>440</v>
      </c>
      <c r="F12" s="44">
        <v>440</v>
      </c>
      <c r="G12" s="44">
        <v>440</v>
      </c>
      <c r="H12" s="44"/>
      <c r="I12" s="44">
        <v>440</v>
      </c>
      <c r="J12" s="44">
        <v>440</v>
      </c>
      <c r="K12" s="634">
        <f>SUM(D12:J12,D14:J14)</f>
        <v>3480</v>
      </c>
      <c r="L12" s="262"/>
      <c r="M12" s="262"/>
    </row>
    <row r="13" spans="1:13" ht="23.25" customHeight="1">
      <c r="A13" s="646"/>
      <c r="B13" s="649"/>
      <c r="C13" s="648"/>
      <c r="D13" s="46" t="s">
        <v>155</v>
      </c>
      <c r="E13" s="46" t="s">
        <v>156</v>
      </c>
      <c r="F13" s="46" t="s">
        <v>157</v>
      </c>
      <c r="G13" s="46" t="s">
        <v>158</v>
      </c>
      <c r="H13" s="46" t="s">
        <v>159</v>
      </c>
      <c r="I13" s="46" t="s">
        <v>279</v>
      </c>
      <c r="J13" s="46" t="s">
        <v>160</v>
      </c>
      <c r="K13" s="635"/>
      <c r="L13" s="262"/>
      <c r="M13" s="262"/>
    </row>
    <row r="14" spans="1:13" ht="23.25" customHeight="1" thickBot="1">
      <c r="A14" s="646"/>
      <c r="B14" s="649"/>
      <c r="C14" s="648"/>
      <c r="D14" s="44">
        <v>440</v>
      </c>
      <c r="E14" s="44">
        <v>400</v>
      </c>
      <c r="F14" s="44"/>
      <c r="G14" s="44"/>
      <c r="H14" s="44"/>
      <c r="I14" s="44"/>
      <c r="J14" s="44"/>
      <c r="K14" s="259"/>
      <c r="L14" s="262"/>
      <c r="M14" s="262"/>
    </row>
    <row r="15" spans="1:13" ht="23.25" customHeight="1">
      <c r="A15" s="646">
        <v>6</v>
      </c>
      <c r="B15" s="647" t="s">
        <v>162</v>
      </c>
      <c r="C15" s="648">
        <v>525</v>
      </c>
      <c r="D15" s="46" t="s">
        <v>149</v>
      </c>
      <c r="E15" s="46" t="s">
        <v>150</v>
      </c>
      <c r="F15" s="46" t="s">
        <v>151</v>
      </c>
      <c r="G15" s="46" t="s">
        <v>152</v>
      </c>
      <c r="H15" s="46" t="s">
        <v>22</v>
      </c>
      <c r="I15" s="46" t="s">
        <v>153</v>
      </c>
      <c r="J15" s="46" t="s">
        <v>154</v>
      </c>
      <c r="K15" s="258"/>
      <c r="L15" s="262"/>
      <c r="M15" s="262"/>
    </row>
    <row r="16" spans="1:13" ht="23.25" customHeight="1">
      <c r="A16" s="646"/>
      <c r="B16" s="647"/>
      <c r="C16" s="648"/>
      <c r="D16" s="44"/>
      <c r="E16" s="44">
        <v>250</v>
      </c>
      <c r="F16" s="44">
        <v>250</v>
      </c>
      <c r="G16" s="44">
        <v>525</v>
      </c>
      <c r="H16" s="44"/>
      <c r="I16" s="44">
        <v>525</v>
      </c>
      <c r="J16" s="44">
        <v>525</v>
      </c>
      <c r="K16" s="634">
        <f>SUM(D16:J16,D18:J18)</f>
        <v>4700</v>
      </c>
      <c r="L16" s="262"/>
      <c r="M16" s="262"/>
    </row>
    <row r="17" spans="1:13" ht="23.25" customHeight="1">
      <c r="A17" s="646"/>
      <c r="B17" s="647"/>
      <c r="C17" s="648"/>
      <c r="D17" s="46" t="s">
        <v>155</v>
      </c>
      <c r="E17" s="46" t="s">
        <v>156</v>
      </c>
      <c r="F17" s="46" t="s">
        <v>157</v>
      </c>
      <c r="G17" s="46" t="s">
        <v>158</v>
      </c>
      <c r="H17" s="46" t="s">
        <v>159</v>
      </c>
      <c r="I17" s="46" t="s">
        <v>279</v>
      </c>
      <c r="J17" s="46" t="s">
        <v>160</v>
      </c>
      <c r="K17" s="635"/>
      <c r="L17" s="262"/>
      <c r="M17" s="262"/>
    </row>
    <row r="18" spans="1:13" ht="23.25" customHeight="1" thickBot="1">
      <c r="A18" s="646"/>
      <c r="B18" s="647"/>
      <c r="C18" s="648"/>
      <c r="D18" s="44">
        <v>525</v>
      </c>
      <c r="E18" s="44">
        <v>525</v>
      </c>
      <c r="F18" s="44">
        <v>525</v>
      </c>
      <c r="G18" s="44">
        <v>525</v>
      </c>
      <c r="H18" s="44"/>
      <c r="I18" s="44"/>
      <c r="J18" s="44">
        <v>525</v>
      </c>
      <c r="K18" s="259"/>
      <c r="L18" s="262"/>
      <c r="M18" s="262"/>
    </row>
    <row r="19" spans="1:13" s="127" customFormat="1" ht="23.25" customHeight="1">
      <c r="A19" s="644">
        <v>7</v>
      </c>
      <c r="B19" s="644" t="s">
        <v>7</v>
      </c>
      <c r="C19" s="645">
        <v>1210</v>
      </c>
      <c r="D19" s="128" t="s">
        <v>149</v>
      </c>
      <c r="E19" s="128" t="s">
        <v>150</v>
      </c>
      <c r="F19" s="128" t="s">
        <v>151</v>
      </c>
      <c r="G19" s="128" t="s">
        <v>152</v>
      </c>
      <c r="H19" s="128" t="s">
        <v>22</v>
      </c>
      <c r="I19" s="128" t="s">
        <v>153</v>
      </c>
      <c r="J19" s="128" t="s">
        <v>154</v>
      </c>
      <c r="K19" s="258"/>
      <c r="L19" s="262"/>
      <c r="M19" s="262"/>
    </row>
    <row r="20" spans="1:13" s="127" customFormat="1" ht="23.25" customHeight="1">
      <c r="A20" s="644"/>
      <c r="B20" s="644"/>
      <c r="C20" s="645"/>
      <c r="D20" s="126">
        <v>1210</v>
      </c>
      <c r="E20" s="126">
        <v>1210</v>
      </c>
      <c r="F20" s="126">
        <v>1210</v>
      </c>
      <c r="G20" s="126">
        <v>1210</v>
      </c>
      <c r="H20" s="126">
        <v>-180</v>
      </c>
      <c r="I20" s="126">
        <v>1210</v>
      </c>
      <c r="J20" s="126">
        <v>1210</v>
      </c>
      <c r="K20" s="634">
        <f>SUM(D20:J20,D22:J22)</f>
        <v>15435</v>
      </c>
      <c r="L20" s="262"/>
      <c r="M20" s="262"/>
    </row>
    <row r="21" spans="1:13" s="127" customFormat="1" ht="23.25" customHeight="1">
      <c r="A21" s="644"/>
      <c r="B21" s="644"/>
      <c r="C21" s="645"/>
      <c r="D21" s="128" t="s">
        <v>155</v>
      </c>
      <c r="E21" s="128" t="s">
        <v>156</v>
      </c>
      <c r="F21" s="128" t="s">
        <v>157</v>
      </c>
      <c r="G21" s="128" t="s">
        <v>158</v>
      </c>
      <c r="H21" s="128" t="s">
        <v>159</v>
      </c>
      <c r="I21" s="128" t="s">
        <v>279</v>
      </c>
      <c r="J21" s="128" t="s">
        <v>160</v>
      </c>
      <c r="K21" s="635"/>
      <c r="L21" s="262"/>
      <c r="M21" s="262"/>
    </row>
    <row r="22" spans="1:13" s="127" customFormat="1" ht="23.25" customHeight="1" thickBot="1">
      <c r="A22" s="644"/>
      <c r="B22" s="644"/>
      <c r="C22" s="645"/>
      <c r="D22" s="126">
        <v>1210</v>
      </c>
      <c r="E22" s="126">
        <v>1210</v>
      </c>
      <c r="F22" s="126">
        <v>1210</v>
      </c>
      <c r="G22" s="126">
        <v>1210</v>
      </c>
      <c r="H22" s="126">
        <v>1210</v>
      </c>
      <c r="I22" s="126">
        <v>1210</v>
      </c>
      <c r="J22" s="126">
        <v>1095</v>
      </c>
      <c r="K22" s="259"/>
      <c r="L22" s="262"/>
      <c r="M22" s="262"/>
    </row>
    <row r="23" spans="1:13" s="127" customFormat="1" ht="23.25" customHeight="1">
      <c r="A23" s="644">
        <v>8</v>
      </c>
      <c r="B23" s="644" t="s">
        <v>163</v>
      </c>
      <c r="C23" s="645">
        <v>500</v>
      </c>
      <c r="D23" s="128" t="s">
        <v>149</v>
      </c>
      <c r="E23" s="128" t="s">
        <v>150</v>
      </c>
      <c r="F23" s="128" t="s">
        <v>151</v>
      </c>
      <c r="G23" s="128" t="s">
        <v>152</v>
      </c>
      <c r="H23" s="128" t="s">
        <v>22</v>
      </c>
      <c r="I23" s="128" t="s">
        <v>153</v>
      </c>
      <c r="J23" s="128" t="s">
        <v>154</v>
      </c>
      <c r="K23" s="258"/>
      <c r="L23" s="265"/>
      <c r="M23" s="265"/>
    </row>
    <row r="24" spans="1:13" s="127" customFormat="1" ht="23.25" customHeight="1">
      <c r="A24" s="644"/>
      <c r="B24" s="644"/>
      <c r="C24" s="645"/>
      <c r="D24" s="126">
        <v>500</v>
      </c>
      <c r="E24" s="126">
        <v>500</v>
      </c>
      <c r="F24" s="126">
        <v>500</v>
      </c>
      <c r="G24" s="126">
        <v>500</v>
      </c>
      <c r="H24" s="126"/>
      <c r="I24" s="126">
        <v>500</v>
      </c>
      <c r="J24" s="126">
        <v>500</v>
      </c>
      <c r="K24" s="634">
        <f>SUM(D24:J24,D26:J26)</f>
        <v>6000</v>
      </c>
      <c r="L24" s="265"/>
      <c r="M24" s="265"/>
    </row>
    <row r="25" spans="1:13" s="127" customFormat="1" ht="23.25" customHeight="1">
      <c r="A25" s="644"/>
      <c r="B25" s="644"/>
      <c r="C25" s="645"/>
      <c r="D25" s="128" t="s">
        <v>155</v>
      </c>
      <c r="E25" s="128" t="s">
        <v>156</v>
      </c>
      <c r="F25" s="128" t="s">
        <v>157</v>
      </c>
      <c r="G25" s="128" t="s">
        <v>158</v>
      </c>
      <c r="H25" s="128" t="s">
        <v>159</v>
      </c>
      <c r="I25" s="128" t="s">
        <v>279</v>
      </c>
      <c r="J25" s="128" t="s">
        <v>160</v>
      </c>
      <c r="K25" s="635"/>
      <c r="L25" s="666" t="s">
        <v>964</v>
      </c>
      <c r="M25" s="667"/>
    </row>
    <row r="26" spans="1:13" s="127" customFormat="1" ht="23.25" customHeight="1" thickBot="1">
      <c r="A26" s="644"/>
      <c r="B26" s="644"/>
      <c r="C26" s="645"/>
      <c r="D26" s="126">
        <v>500</v>
      </c>
      <c r="E26" s="126">
        <v>500</v>
      </c>
      <c r="F26" s="126">
        <v>500</v>
      </c>
      <c r="G26" s="126">
        <v>500</v>
      </c>
      <c r="H26" s="126">
        <v>500</v>
      </c>
      <c r="I26" s="126"/>
      <c r="J26" s="126">
        <v>500</v>
      </c>
      <c r="K26" s="259"/>
      <c r="L26" s="665"/>
      <c r="M26" s="665"/>
    </row>
    <row r="27" spans="1:13" s="224" customFormat="1" ht="23.25" customHeight="1">
      <c r="A27" s="650">
        <v>9</v>
      </c>
      <c r="B27" s="650" t="s">
        <v>164</v>
      </c>
      <c r="C27" s="651">
        <v>860</v>
      </c>
      <c r="D27" s="225" t="s">
        <v>149</v>
      </c>
      <c r="E27" s="225" t="s">
        <v>150</v>
      </c>
      <c r="F27" s="225" t="s">
        <v>151</v>
      </c>
      <c r="G27" s="225" t="s">
        <v>152</v>
      </c>
      <c r="H27" s="225" t="s">
        <v>22</v>
      </c>
      <c r="I27" s="225" t="s">
        <v>153</v>
      </c>
      <c r="J27" s="225" t="s">
        <v>154</v>
      </c>
      <c r="K27" s="258"/>
      <c r="L27" s="262"/>
      <c r="M27" s="262"/>
    </row>
    <row r="28" spans="1:13" s="224" customFormat="1" ht="23.25" customHeight="1">
      <c r="A28" s="650"/>
      <c r="B28" s="650"/>
      <c r="C28" s="651"/>
      <c r="D28" s="226">
        <v>860</v>
      </c>
      <c r="E28" s="226">
        <v>-860</v>
      </c>
      <c r="F28" s="226">
        <v>860</v>
      </c>
      <c r="G28" s="226">
        <v>860</v>
      </c>
      <c r="H28" s="226">
        <v>-90</v>
      </c>
      <c r="I28" s="226">
        <v>860</v>
      </c>
      <c r="J28" s="226">
        <v>-860</v>
      </c>
      <c r="K28" s="634">
        <f>SUM(D28:J28,D30:J30)</f>
        <v>6790</v>
      </c>
      <c r="L28" s="262"/>
      <c r="M28" s="262"/>
    </row>
    <row r="29" spans="1:13" s="224" customFormat="1" ht="23.25" customHeight="1">
      <c r="A29" s="650"/>
      <c r="B29" s="650"/>
      <c r="C29" s="651"/>
      <c r="D29" s="225" t="s">
        <v>155</v>
      </c>
      <c r="E29" s="225" t="s">
        <v>156</v>
      </c>
      <c r="F29" s="225" t="s">
        <v>157</v>
      </c>
      <c r="G29" s="225" t="s">
        <v>158</v>
      </c>
      <c r="H29" s="225" t="s">
        <v>159</v>
      </c>
      <c r="I29" s="225" t="s">
        <v>279</v>
      </c>
      <c r="J29" s="225" t="s">
        <v>160</v>
      </c>
      <c r="K29" s="635"/>
      <c r="L29" s="263" t="s">
        <v>965</v>
      </c>
      <c r="M29" s="262" t="s">
        <v>966</v>
      </c>
    </row>
    <row r="30" spans="1:13" s="224" customFormat="1" ht="23.25" customHeight="1" thickBot="1">
      <c r="A30" s="650"/>
      <c r="B30" s="650"/>
      <c r="C30" s="651"/>
      <c r="D30" s="226">
        <v>860</v>
      </c>
      <c r="E30" s="226">
        <v>860</v>
      </c>
      <c r="F30" s="226">
        <v>860</v>
      </c>
      <c r="G30" s="226">
        <v>860</v>
      </c>
      <c r="H30" s="226">
        <v>860</v>
      </c>
      <c r="I30" s="226"/>
      <c r="J30" s="226">
        <v>860</v>
      </c>
      <c r="K30" s="259"/>
      <c r="L30" s="262"/>
      <c r="M30" s="262"/>
    </row>
    <row r="31" spans="1:13" ht="23.25" customHeight="1">
      <c r="A31" s="646">
        <v>10</v>
      </c>
      <c r="B31" s="652" t="s">
        <v>9</v>
      </c>
      <c r="C31" s="648">
        <v>645</v>
      </c>
      <c r="D31" s="46" t="s">
        <v>149</v>
      </c>
      <c r="E31" s="46" t="s">
        <v>150</v>
      </c>
      <c r="F31" s="46" t="s">
        <v>151</v>
      </c>
      <c r="G31" s="46" t="s">
        <v>152</v>
      </c>
      <c r="H31" s="46" t="s">
        <v>22</v>
      </c>
      <c r="I31" s="46" t="s">
        <v>153</v>
      </c>
      <c r="J31" s="46" t="s">
        <v>154</v>
      </c>
      <c r="K31" s="258"/>
      <c r="L31" s="262"/>
      <c r="M31" s="262"/>
    </row>
    <row r="32" spans="1:13" ht="23.25" customHeight="1">
      <c r="A32" s="646"/>
      <c r="B32" s="652"/>
      <c r="C32" s="648"/>
      <c r="D32" s="44"/>
      <c r="E32" s="44"/>
      <c r="F32" s="44"/>
      <c r="G32" s="44"/>
      <c r="H32" s="44"/>
      <c r="I32" s="44"/>
      <c r="J32" s="44"/>
      <c r="K32" s="634">
        <f>SUM(D32:J32,D34:J34)</f>
        <v>0</v>
      </c>
      <c r="L32" s="262" t="s">
        <v>391</v>
      </c>
      <c r="M32" s="262"/>
    </row>
    <row r="33" spans="1:13" ht="23.25" customHeight="1">
      <c r="A33" s="646"/>
      <c r="B33" s="652"/>
      <c r="C33" s="648"/>
      <c r="D33" s="46" t="s">
        <v>155</v>
      </c>
      <c r="E33" s="46" t="s">
        <v>156</v>
      </c>
      <c r="F33" s="46" t="s">
        <v>157</v>
      </c>
      <c r="G33" s="46" t="s">
        <v>158</v>
      </c>
      <c r="H33" s="46" t="s">
        <v>159</v>
      </c>
      <c r="I33" s="46" t="s">
        <v>279</v>
      </c>
      <c r="J33" s="46" t="s">
        <v>160</v>
      </c>
      <c r="K33" s="635"/>
      <c r="L33" s="262"/>
      <c r="M33" s="262"/>
    </row>
    <row r="34" spans="1:13" ht="23.25" customHeight="1" thickBot="1">
      <c r="A34" s="646"/>
      <c r="B34" s="652"/>
      <c r="C34" s="648"/>
      <c r="D34" s="44"/>
      <c r="E34" s="44"/>
      <c r="F34" s="44"/>
      <c r="G34" s="44"/>
      <c r="H34" s="44"/>
      <c r="I34" s="44"/>
      <c r="J34" s="44"/>
      <c r="K34" s="259"/>
      <c r="L34" s="262"/>
      <c r="M34" s="262"/>
    </row>
    <row r="35" spans="1:13" s="127" customFormat="1" ht="23.25" customHeight="1">
      <c r="A35" s="644">
        <v>13</v>
      </c>
      <c r="B35" s="644" t="s">
        <v>165</v>
      </c>
      <c r="C35" s="645">
        <v>655</v>
      </c>
      <c r="D35" s="128" t="s">
        <v>149</v>
      </c>
      <c r="E35" s="128" t="s">
        <v>150</v>
      </c>
      <c r="F35" s="128" t="s">
        <v>151</v>
      </c>
      <c r="G35" s="128" t="s">
        <v>152</v>
      </c>
      <c r="H35" s="128" t="s">
        <v>22</v>
      </c>
      <c r="I35" s="128" t="s">
        <v>153</v>
      </c>
      <c r="J35" s="128" t="s">
        <v>154</v>
      </c>
      <c r="K35" s="258"/>
      <c r="L35" s="262"/>
      <c r="M35" s="262"/>
    </row>
    <row r="36" spans="1:13" s="127" customFormat="1" ht="23.25" customHeight="1">
      <c r="A36" s="644"/>
      <c r="B36" s="644"/>
      <c r="C36" s="645"/>
      <c r="D36" s="126">
        <v>655</v>
      </c>
      <c r="E36" s="126">
        <v>655</v>
      </c>
      <c r="F36" s="126">
        <v>655</v>
      </c>
      <c r="G36" s="126">
        <v>655</v>
      </c>
      <c r="H36" s="126"/>
      <c r="I36" s="126">
        <v>655</v>
      </c>
      <c r="J36" s="126">
        <v>655</v>
      </c>
      <c r="K36" s="634">
        <f>SUM(D36:J36,D38:J38)</f>
        <v>8515</v>
      </c>
      <c r="L36" s="262"/>
      <c r="M36" s="262"/>
    </row>
    <row r="37" spans="1:13" s="127" customFormat="1" ht="23.25" customHeight="1">
      <c r="A37" s="644"/>
      <c r="B37" s="644"/>
      <c r="C37" s="645"/>
      <c r="D37" s="128" t="s">
        <v>155</v>
      </c>
      <c r="E37" s="128" t="s">
        <v>156</v>
      </c>
      <c r="F37" s="128" t="s">
        <v>157</v>
      </c>
      <c r="G37" s="128" t="s">
        <v>158</v>
      </c>
      <c r="H37" s="128" t="s">
        <v>159</v>
      </c>
      <c r="I37" s="128" t="s">
        <v>279</v>
      </c>
      <c r="J37" s="128" t="s">
        <v>160</v>
      </c>
      <c r="K37" s="635"/>
      <c r="L37" s="262"/>
      <c r="M37" s="262"/>
    </row>
    <row r="38" spans="1:13" s="127" customFormat="1" ht="23.25" customHeight="1" thickBot="1">
      <c r="A38" s="644"/>
      <c r="B38" s="644"/>
      <c r="C38" s="645"/>
      <c r="D38" s="126">
        <v>655</v>
      </c>
      <c r="E38" s="126">
        <v>655</v>
      </c>
      <c r="F38" s="126">
        <v>655</v>
      </c>
      <c r="G38" s="126">
        <v>655</v>
      </c>
      <c r="H38" s="126">
        <v>1310</v>
      </c>
      <c r="I38" s="126"/>
      <c r="J38" s="126">
        <v>655</v>
      </c>
      <c r="K38" s="259"/>
      <c r="L38" s="262"/>
      <c r="M38" s="262"/>
    </row>
    <row r="39" spans="1:13" ht="23.25" customHeight="1">
      <c r="A39" s="646">
        <v>16</v>
      </c>
      <c r="B39" s="652" t="s">
        <v>166</v>
      </c>
      <c r="C39" s="648">
        <v>640</v>
      </c>
      <c r="D39" s="46" t="s">
        <v>149</v>
      </c>
      <c r="E39" s="46" t="s">
        <v>150</v>
      </c>
      <c r="F39" s="46" t="s">
        <v>151</v>
      </c>
      <c r="G39" s="46" t="s">
        <v>152</v>
      </c>
      <c r="H39" s="46" t="s">
        <v>22</v>
      </c>
      <c r="I39" s="46" t="s">
        <v>153</v>
      </c>
      <c r="J39" s="46" t="s">
        <v>154</v>
      </c>
      <c r="K39" s="258"/>
      <c r="L39" s="262"/>
      <c r="M39" s="262"/>
    </row>
    <row r="40" spans="1:13" ht="23.25" customHeight="1">
      <c r="A40" s="646"/>
      <c r="B40" s="652"/>
      <c r="C40" s="648"/>
      <c r="D40" s="44"/>
      <c r="E40" s="44"/>
      <c r="F40" s="44"/>
      <c r="G40" s="44"/>
      <c r="H40" s="44"/>
      <c r="I40" s="44"/>
      <c r="J40" s="44"/>
      <c r="K40" s="634">
        <f>SUM(D40:J40,D42:J42)</f>
        <v>0</v>
      </c>
      <c r="L40" s="262" t="s">
        <v>391</v>
      </c>
      <c r="M40" s="262"/>
    </row>
    <row r="41" spans="1:13" ht="23.25" customHeight="1">
      <c r="A41" s="646"/>
      <c r="B41" s="652"/>
      <c r="C41" s="648"/>
      <c r="D41" s="46" t="s">
        <v>155</v>
      </c>
      <c r="E41" s="46" t="s">
        <v>156</v>
      </c>
      <c r="F41" s="46" t="s">
        <v>157</v>
      </c>
      <c r="G41" s="46" t="s">
        <v>158</v>
      </c>
      <c r="H41" s="46" t="s">
        <v>159</v>
      </c>
      <c r="I41" s="46" t="s">
        <v>279</v>
      </c>
      <c r="J41" s="46" t="s">
        <v>160</v>
      </c>
      <c r="K41" s="635"/>
      <c r="L41" s="262"/>
      <c r="M41" s="262"/>
    </row>
    <row r="42" spans="1:13" ht="23.25" customHeight="1" thickBot="1">
      <c r="A42" s="646"/>
      <c r="B42" s="652"/>
      <c r="C42" s="648"/>
      <c r="D42" s="44"/>
      <c r="E42" s="44"/>
      <c r="F42" s="44"/>
      <c r="G42" s="44"/>
      <c r="H42" s="44"/>
      <c r="I42" s="44"/>
      <c r="J42" s="44"/>
      <c r="K42" s="259"/>
      <c r="L42" s="262"/>
      <c r="M42" s="262"/>
    </row>
    <row r="43" spans="1:13" s="127" customFormat="1" ht="23.25" customHeight="1">
      <c r="A43" s="644">
        <v>17</v>
      </c>
      <c r="B43" s="644" t="s">
        <v>167</v>
      </c>
      <c r="C43" s="645">
        <v>495</v>
      </c>
      <c r="D43" s="128" t="s">
        <v>149</v>
      </c>
      <c r="E43" s="128" t="s">
        <v>150</v>
      </c>
      <c r="F43" s="128" t="s">
        <v>151</v>
      </c>
      <c r="G43" s="128" t="s">
        <v>152</v>
      </c>
      <c r="H43" s="128" t="s">
        <v>22</v>
      </c>
      <c r="I43" s="128" t="s">
        <v>153</v>
      </c>
      <c r="J43" s="128" t="s">
        <v>154</v>
      </c>
      <c r="K43" s="258"/>
      <c r="L43" s="265"/>
      <c r="M43" s="265"/>
    </row>
    <row r="44" spans="1:13" s="127" customFormat="1" ht="23.25" customHeight="1">
      <c r="A44" s="644"/>
      <c r="B44" s="644"/>
      <c r="C44" s="645"/>
      <c r="D44" s="126" t="s">
        <v>998</v>
      </c>
      <c r="E44" s="126">
        <v>495</v>
      </c>
      <c r="F44" s="126">
        <v>495</v>
      </c>
      <c r="G44" s="126">
        <v>495</v>
      </c>
      <c r="H44" s="126"/>
      <c r="I44" s="126">
        <v>495</v>
      </c>
      <c r="J44" s="126">
        <v>495</v>
      </c>
      <c r="K44" s="634">
        <f>SUM(D44:J44,D46:J46)</f>
        <v>5940</v>
      </c>
      <c r="L44" s="265"/>
      <c r="M44" s="265"/>
    </row>
    <row r="45" spans="1:13" s="127" customFormat="1" ht="23.25" customHeight="1">
      <c r="A45" s="644"/>
      <c r="B45" s="644"/>
      <c r="C45" s="645"/>
      <c r="D45" s="128" t="s">
        <v>155</v>
      </c>
      <c r="E45" s="128" t="s">
        <v>156</v>
      </c>
      <c r="F45" s="128" t="s">
        <v>157</v>
      </c>
      <c r="G45" s="128" t="s">
        <v>158</v>
      </c>
      <c r="H45" s="128" t="s">
        <v>159</v>
      </c>
      <c r="I45" s="128" t="s">
        <v>279</v>
      </c>
      <c r="J45" s="128" t="s">
        <v>160</v>
      </c>
      <c r="K45" s="635"/>
      <c r="L45" s="265" t="s">
        <v>403</v>
      </c>
      <c r="M45" s="265"/>
    </row>
    <row r="46" spans="1:13" s="127" customFormat="1" ht="23.25" customHeight="1" thickBot="1">
      <c r="A46" s="644"/>
      <c r="B46" s="644"/>
      <c r="C46" s="645"/>
      <c r="D46" s="126">
        <v>495</v>
      </c>
      <c r="E46" s="126">
        <v>495</v>
      </c>
      <c r="F46" s="126">
        <v>495</v>
      </c>
      <c r="G46" s="126">
        <v>495</v>
      </c>
      <c r="H46" s="126">
        <v>495</v>
      </c>
      <c r="I46" s="126">
        <v>495</v>
      </c>
      <c r="J46" s="126">
        <v>495</v>
      </c>
      <c r="K46" s="259"/>
      <c r="L46" s="265"/>
      <c r="M46" s="265"/>
    </row>
    <row r="47" spans="1:13" ht="23.25" customHeight="1">
      <c r="A47" s="646">
        <v>18</v>
      </c>
      <c r="B47" s="646" t="s">
        <v>168</v>
      </c>
      <c r="C47" s="648">
        <v>682</v>
      </c>
      <c r="D47" s="46" t="s">
        <v>149</v>
      </c>
      <c r="E47" s="46" t="s">
        <v>150</v>
      </c>
      <c r="F47" s="46" t="s">
        <v>151</v>
      </c>
      <c r="G47" s="46" t="s">
        <v>152</v>
      </c>
      <c r="H47" s="46" t="s">
        <v>22</v>
      </c>
      <c r="I47" s="46" t="s">
        <v>153</v>
      </c>
      <c r="J47" s="46" t="s">
        <v>154</v>
      </c>
      <c r="K47" s="258"/>
      <c r="L47" s="262"/>
      <c r="M47" s="262"/>
    </row>
    <row r="48" spans="1:13" ht="23.25" customHeight="1">
      <c r="A48" s="646"/>
      <c r="B48" s="646"/>
      <c r="C48" s="648"/>
      <c r="D48" s="44">
        <v>682</v>
      </c>
      <c r="E48" s="44">
        <v>682</v>
      </c>
      <c r="F48" s="44"/>
      <c r="G48" s="44"/>
      <c r="H48" s="44"/>
      <c r="I48" s="44"/>
      <c r="J48" s="44"/>
      <c r="K48" s="634">
        <f>SUM(D48:J48,D50:J50)</f>
        <v>4464</v>
      </c>
      <c r="L48" s="262"/>
      <c r="M48" s="262"/>
    </row>
    <row r="49" spans="1:13" ht="23.25" customHeight="1">
      <c r="A49" s="646"/>
      <c r="B49" s="646"/>
      <c r="C49" s="648"/>
      <c r="D49" s="46" t="s">
        <v>155</v>
      </c>
      <c r="E49" s="46" t="s">
        <v>156</v>
      </c>
      <c r="F49" s="46" t="s">
        <v>157</v>
      </c>
      <c r="G49" s="46" t="s">
        <v>158</v>
      </c>
      <c r="H49" s="46" t="s">
        <v>159</v>
      </c>
      <c r="I49" s="46" t="s">
        <v>279</v>
      </c>
      <c r="J49" s="46" t="s">
        <v>160</v>
      </c>
      <c r="K49" s="635"/>
      <c r="L49" s="262"/>
      <c r="M49" s="262"/>
    </row>
    <row r="50" spans="1:13" ht="23.25" customHeight="1" thickBot="1">
      <c r="A50" s="646"/>
      <c r="B50" s="646"/>
      <c r="C50" s="648"/>
      <c r="D50" s="44"/>
      <c r="E50" s="44">
        <v>620</v>
      </c>
      <c r="F50" s="44">
        <v>620</v>
      </c>
      <c r="G50" s="44">
        <v>620</v>
      </c>
      <c r="H50" s="44">
        <v>620</v>
      </c>
      <c r="I50" s="44">
        <v>620</v>
      </c>
      <c r="J50" s="44"/>
      <c r="K50" s="259"/>
      <c r="L50" s="262"/>
      <c r="M50" s="262"/>
    </row>
    <row r="51" spans="1:13" ht="23.25" customHeight="1">
      <c r="A51" s="646">
        <v>19</v>
      </c>
      <c r="B51" s="647" t="s">
        <v>169</v>
      </c>
      <c r="C51" s="648">
        <v>230</v>
      </c>
      <c r="D51" s="46" t="s">
        <v>149</v>
      </c>
      <c r="E51" s="46" t="s">
        <v>150</v>
      </c>
      <c r="F51" s="46" t="s">
        <v>151</v>
      </c>
      <c r="G51" s="46" t="s">
        <v>152</v>
      </c>
      <c r="H51" s="46" t="s">
        <v>22</v>
      </c>
      <c r="I51" s="46" t="s">
        <v>153</v>
      </c>
      <c r="J51" s="46" t="s">
        <v>154</v>
      </c>
      <c r="K51" s="258"/>
      <c r="L51" s="262"/>
      <c r="M51" s="262"/>
    </row>
    <row r="52" spans="1:13" ht="23.25" customHeight="1">
      <c r="A52" s="646"/>
      <c r="B52" s="647"/>
      <c r="C52" s="648"/>
      <c r="D52" s="44">
        <v>230</v>
      </c>
      <c r="E52" s="44"/>
      <c r="F52" s="44">
        <v>230</v>
      </c>
      <c r="G52" s="44">
        <v>230</v>
      </c>
      <c r="H52" s="44"/>
      <c r="I52" s="44">
        <v>230</v>
      </c>
      <c r="J52" s="44"/>
      <c r="K52" s="634">
        <f>SUM(D52:J52,D54:J54)</f>
        <v>1150</v>
      </c>
      <c r="L52" s="262"/>
      <c r="M52" s="262"/>
    </row>
    <row r="53" spans="1:13" ht="23.25" customHeight="1">
      <c r="A53" s="646"/>
      <c r="B53" s="647"/>
      <c r="C53" s="648"/>
      <c r="D53" s="46" t="s">
        <v>155</v>
      </c>
      <c r="E53" s="46" t="s">
        <v>156</v>
      </c>
      <c r="F53" s="46" t="s">
        <v>157</v>
      </c>
      <c r="G53" s="46" t="s">
        <v>158</v>
      </c>
      <c r="H53" s="46" t="s">
        <v>159</v>
      </c>
      <c r="I53" s="46" t="s">
        <v>279</v>
      </c>
      <c r="J53" s="46" t="s">
        <v>160</v>
      </c>
      <c r="K53" s="635"/>
      <c r="L53" s="262"/>
      <c r="M53" s="262"/>
    </row>
    <row r="54" spans="1:13" ht="23.25" customHeight="1" thickBot="1">
      <c r="A54" s="646"/>
      <c r="B54" s="647"/>
      <c r="C54" s="648"/>
      <c r="D54" s="44">
        <v>230</v>
      </c>
      <c r="E54" s="44"/>
      <c r="F54" s="44"/>
      <c r="G54" s="44"/>
      <c r="H54" s="44"/>
      <c r="I54" s="44"/>
      <c r="J54" s="44"/>
      <c r="K54" s="259"/>
      <c r="L54" s="262"/>
      <c r="M54" s="262"/>
    </row>
    <row r="55" spans="1:13" s="127" customFormat="1" ht="23.25" customHeight="1">
      <c r="A55" s="644">
        <v>21</v>
      </c>
      <c r="B55" s="644" t="s">
        <v>170</v>
      </c>
      <c r="C55" s="645">
        <v>710</v>
      </c>
      <c r="D55" s="128" t="s">
        <v>149</v>
      </c>
      <c r="E55" s="128" t="s">
        <v>150</v>
      </c>
      <c r="F55" s="128" t="s">
        <v>151</v>
      </c>
      <c r="G55" s="128" t="s">
        <v>152</v>
      </c>
      <c r="H55" s="128" t="s">
        <v>22</v>
      </c>
      <c r="I55" s="128" t="s">
        <v>153</v>
      </c>
      <c r="J55" s="128" t="s">
        <v>154</v>
      </c>
      <c r="K55" s="258"/>
      <c r="L55" s="262"/>
      <c r="M55" s="262"/>
    </row>
    <row r="56" spans="1:13" s="127" customFormat="1" ht="23.25" customHeight="1">
      <c r="A56" s="644"/>
      <c r="B56" s="644"/>
      <c r="C56" s="645"/>
      <c r="D56" s="126">
        <v>710</v>
      </c>
      <c r="E56" s="126">
        <v>710</v>
      </c>
      <c r="F56" s="126">
        <v>710</v>
      </c>
      <c r="G56" s="126">
        <v>710</v>
      </c>
      <c r="H56" s="126">
        <v>360</v>
      </c>
      <c r="I56" s="126">
        <v>710</v>
      </c>
      <c r="J56" s="126">
        <v>710</v>
      </c>
      <c r="K56" s="634">
        <f>SUM(D56:J56,D58:J58)</f>
        <v>8880</v>
      </c>
      <c r="L56" s="262"/>
      <c r="M56" s="262"/>
    </row>
    <row r="57" spans="1:13" s="127" customFormat="1" ht="23.25" customHeight="1">
      <c r="A57" s="644"/>
      <c r="B57" s="644"/>
      <c r="C57" s="645"/>
      <c r="D57" s="128" t="s">
        <v>155</v>
      </c>
      <c r="E57" s="128" t="s">
        <v>156</v>
      </c>
      <c r="F57" s="128" t="s">
        <v>157</v>
      </c>
      <c r="G57" s="128" t="s">
        <v>158</v>
      </c>
      <c r="H57" s="128" t="s">
        <v>159</v>
      </c>
      <c r="I57" s="128" t="s">
        <v>279</v>
      </c>
      <c r="J57" s="128" t="s">
        <v>160</v>
      </c>
      <c r="K57" s="635"/>
      <c r="L57" s="262"/>
      <c r="M57" s="262"/>
    </row>
    <row r="58" spans="1:13" s="127" customFormat="1" ht="23.25" customHeight="1" thickBot="1">
      <c r="A58" s="644"/>
      <c r="B58" s="644"/>
      <c r="C58" s="645"/>
      <c r="D58" s="126">
        <v>710</v>
      </c>
      <c r="E58" s="126">
        <v>710</v>
      </c>
      <c r="F58" s="126">
        <v>710</v>
      </c>
      <c r="G58" s="126">
        <v>710</v>
      </c>
      <c r="H58" s="126">
        <v>710</v>
      </c>
      <c r="I58" s="126"/>
      <c r="J58" s="126">
        <v>710</v>
      </c>
      <c r="K58" s="259"/>
      <c r="L58" s="262"/>
      <c r="M58" s="262"/>
    </row>
    <row r="59" spans="1:13" s="127" customFormat="1" ht="23.25" customHeight="1">
      <c r="A59" s="644">
        <v>23</v>
      </c>
      <c r="B59" s="644" t="s">
        <v>171</v>
      </c>
      <c r="C59" s="645">
        <v>1000</v>
      </c>
      <c r="D59" s="128" t="s">
        <v>149</v>
      </c>
      <c r="E59" s="128" t="s">
        <v>150</v>
      </c>
      <c r="F59" s="128" t="s">
        <v>151</v>
      </c>
      <c r="G59" s="128" t="s">
        <v>152</v>
      </c>
      <c r="H59" s="128" t="s">
        <v>22</v>
      </c>
      <c r="I59" s="128" t="s">
        <v>153</v>
      </c>
      <c r="J59" s="128" t="s">
        <v>154</v>
      </c>
      <c r="K59" s="258"/>
      <c r="L59" s="262"/>
      <c r="M59" s="262"/>
    </row>
    <row r="60" spans="1:13" s="127" customFormat="1" ht="23.25" customHeight="1">
      <c r="A60" s="644"/>
      <c r="B60" s="644"/>
      <c r="C60" s="645"/>
      <c r="D60" s="126">
        <v>1000</v>
      </c>
      <c r="E60" s="126">
        <v>1175</v>
      </c>
      <c r="F60" s="126">
        <v>1000</v>
      </c>
      <c r="G60" s="126">
        <v>1000</v>
      </c>
      <c r="H60" s="126"/>
      <c r="I60" s="126">
        <v>1000</v>
      </c>
      <c r="J60" s="126">
        <v>1000</v>
      </c>
      <c r="K60" s="634">
        <f>SUM(D60:J60,D62:J62)</f>
        <v>13175</v>
      </c>
      <c r="L60" s="262"/>
      <c r="M60" s="262"/>
    </row>
    <row r="61" spans="1:13" s="127" customFormat="1" ht="23.25" customHeight="1">
      <c r="A61" s="644"/>
      <c r="B61" s="644"/>
      <c r="C61" s="645"/>
      <c r="D61" s="128" t="s">
        <v>155</v>
      </c>
      <c r="E61" s="128" t="s">
        <v>156</v>
      </c>
      <c r="F61" s="128" t="s">
        <v>157</v>
      </c>
      <c r="G61" s="128" t="s">
        <v>158</v>
      </c>
      <c r="H61" s="128" t="s">
        <v>159</v>
      </c>
      <c r="I61" s="128" t="s">
        <v>279</v>
      </c>
      <c r="J61" s="128" t="s">
        <v>160</v>
      </c>
      <c r="K61" s="635"/>
      <c r="L61" s="262"/>
      <c r="M61" s="262"/>
    </row>
    <row r="62" spans="1:13" s="127" customFormat="1" ht="23.25" customHeight="1" thickBot="1">
      <c r="A62" s="644"/>
      <c r="B62" s="644"/>
      <c r="C62" s="645"/>
      <c r="D62" s="126">
        <v>1000</v>
      </c>
      <c r="E62" s="126">
        <v>1000</v>
      </c>
      <c r="F62" s="126">
        <v>1000</v>
      </c>
      <c r="G62" s="126">
        <v>1000</v>
      </c>
      <c r="H62" s="126">
        <v>1000</v>
      </c>
      <c r="I62" s="126">
        <v>1000</v>
      </c>
      <c r="J62" s="126">
        <v>1000</v>
      </c>
      <c r="K62" s="259"/>
      <c r="L62" s="262"/>
      <c r="M62" s="262"/>
    </row>
    <row r="63" spans="1:13" s="127" customFormat="1" ht="23.25" customHeight="1">
      <c r="A63" s="644">
        <v>25</v>
      </c>
      <c r="B63" s="644" t="s">
        <v>172</v>
      </c>
      <c r="C63" s="645">
        <v>710</v>
      </c>
      <c r="D63" s="128" t="s">
        <v>149</v>
      </c>
      <c r="E63" s="128" t="s">
        <v>150</v>
      </c>
      <c r="F63" s="128" t="s">
        <v>151</v>
      </c>
      <c r="G63" s="128" t="s">
        <v>152</v>
      </c>
      <c r="H63" s="128" t="s">
        <v>22</v>
      </c>
      <c r="I63" s="128" t="s">
        <v>153</v>
      </c>
      <c r="J63" s="128" t="s">
        <v>154</v>
      </c>
      <c r="K63" s="258"/>
      <c r="L63" s="262"/>
      <c r="M63" s="262"/>
    </row>
    <row r="64" spans="1:13" s="127" customFormat="1" ht="23.25" customHeight="1">
      <c r="A64" s="644"/>
      <c r="B64" s="644"/>
      <c r="C64" s="645"/>
      <c r="D64" s="126">
        <v>710</v>
      </c>
      <c r="E64" s="126">
        <v>710</v>
      </c>
      <c r="F64" s="126">
        <v>710</v>
      </c>
      <c r="G64" s="126">
        <v>710</v>
      </c>
      <c r="H64" s="126">
        <v>-270</v>
      </c>
      <c r="I64" s="126">
        <v>710</v>
      </c>
      <c r="J64" s="126">
        <v>710</v>
      </c>
      <c r="K64" s="634">
        <f>SUM(D64:J64,D66:J66)</f>
        <v>8960</v>
      </c>
      <c r="L64" s="262"/>
      <c r="M64" s="262"/>
    </row>
    <row r="65" spans="1:13" s="127" customFormat="1" ht="23.25" customHeight="1">
      <c r="A65" s="644"/>
      <c r="B65" s="644"/>
      <c r="C65" s="645"/>
      <c r="D65" s="128" t="s">
        <v>155</v>
      </c>
      <c r="E65" s="128" t="s">
        <v>156</v>
      </c>
      <c r="F65" s="128" t="s">
        <v>157</v>
      </c>
      <c r="G65" s="128" t="s">
        <v>158</v>
      </c>
      <c r="H65" s="128" t="s">
        <v>159</v>
      </c>
      <c r="I65" s="128" t="s">
        <v>279</v>
      </c>
      <c r="J65" s="128" t="s">
        <v>160</v>
      </c>
      <c r="K65" s="635"/>
      <c r="L65" s="262"/>
      <c r="M65" s="262"/>
    </row>
    <row r="66" spans="1:13" s="127" customFormat="1" ht="23.25" customHeight="1" thickBot="1">
      <c r="A66" s="644"/>
      <c r="B66" s="644"/>
      <c r="C66" s="645"/>
      <c r="D66" s="126">
        <v>710</v>
      </c>
      <c r="E66" s="126">
        <v>710</v>
      </c>
      <c r="F66" s="126">
        <v>710</v>
      </c>
      <c r="G66" s="126">
        <v>710</v>
      </c>
      <c r="H66" s="126">
        <v>710</v>
      </c>
      <c r="I66" s="126">
        <v>710</v>
      </c>
      <c r="J66" s="126">
        <v>710</v>
      </c>
      <c r="K66" s="259"/>
      <c r="L66" s="262"/>
      <c r="M66" s="262"/>
    </row>
    <row r="67" spans="1:13" s="127" customFormat="1" ht="23.25" customHeight="1">
      <c r="A67" s="644">
        <v>26</v>
      </c>
      <c r="B67" s="649" t="s">
        <v>173</v>
      </c>
      <c r="C67" s="645">
        <v>484</v>
      </c>
      <c r="D67" s="128" t="s">
        <v>149</v>
      </c>
      <c r="E67" s="128" t="s">
        <v>150</v>
      </c>
      <c r="F67" s="128" t="s">
        <v>151</v>
      </c>
      <c r="G67" s="128" t="s">
        <v>152</v>
      </c>
      <c r="H67" s="128" t="s">
        <v>22</v>
      </c>
      <c r="I67" s="128" t="s">
        <v>153</v>
      </c>
      <c r="J67" s="128" t="s">
        <v>154</v>
      </c>
      <c r="K67" s="258"/>
      <c r="L67" s="262"/>
      <c r="M67" s="262"/>
    </row>
    <row r="68" spans="1:13" s="127" customFormat="1" ht="23.25" customHeight="1">
      <c r="A68" s="644"/>
      <c r="B68" s="649"/>
      <c r="C68" s="645"/>
      <c r="D68" s="126">
        <v>484</v>
      </c>
      <c r="E68" s="126">
        <v>484</v>
      </c>
      <c r="F68" s="126">
        <v>484</v>
      </c>
      <c r="G68" s="126">
        <v>484</v>
      </c>
      <c r="H68" s="126"/>
      <c r="I68" s="126">
        <v>484</v>
      </c>
      <c r="J68" s="126">
        <v>484</v>
      </c>
      <c r="K68" s="634">
        <f>SUM(D68:J68,D70:J70)</f>
        <v>6292</v>
      </c>
      <c r="L68" s="262"/>
      <c r="M68" s="262"/>
    </row>
    <row r="69" spans="1:13" s="127" customFormat="1" ht="23.25" customHeight="1">
      <c r="A69" s="644"/>
      <c r="B69" s="649"/>
      <c r="C69" s="645"/>
      <c r="D69" s="128" t="s">
        <v>155</v>
      </c>
      <c r="E69" s="128" t="s">
        <v>156</v>
      </c>
      <c r="F69" s="128" t="s">
        <v>157</v>
      </c>
      <c r="G69" s="128" t="s">
        <v>158</v>
      </c>
      <c r="H69" s="128" t="s">
        <v>159</v>
      </c>
      <c r="I69" s="128" t="s">
        <v>279</v>
      </c>
      <c r="J69" s="128" t="s">
        <v>160</v>
      </c>
      <c r="K69" s="635"/>
      <c r="L69" s="262"/>
      <c r="M69" s="262"/>
    </row>
    <row r="70" spans="1:13" s="127" customFormat="1" ht="23.25" customHeight="1" thickBot="1">
      <c r="A70" s="644"/>
      <c r="B70" s="649"/>
      <c r="C70" s="645"/>
      <c r="D70" s="126">
        <v>484</v>
      </c>
      <c r="E70" s="126">
        <v>484</v>
      </c>
      <c r="F70" s="126">
        <v>484</v>
      </c>
      <c r="G70" s="126">
        <v>484</v>
      </c>
      <c r="H70" s="126">
        <v>484</v>
      </c>
      <c r="I70" s="126">
        <v>484</v>
      </c>
      <c r="J70" s="126">
        <v>484</v>
      </c>
      <c r="K70" s="259"/>
      <c r="L70" s="262"/>
      <c r="M70" s="262"/>
    </row>
    <row r="71" spans="1:13" ht="23.25" customHeight="1">
      <c r="A71" s="646">
        <v>27</v>
      </c>
      <c r="B71" s="647" t="s">
        <v>18</v>
      </c>
      <c r="C71" s="648">
        <v>780</v>
      </c>
      <c r="D71" s="46" t="s">
        <v>149</v>
      </c>
      <c r="E71" s="46" t="s">
        <v>150</v>
      </c>
      <c r="F71" s="46" t="s">
        <v>151</v>
      </c>
      <c r="G71" s="46" t="s">
        <v>152</v>
      </c>
      <c r="H71" s="46" t="s">
        <v>22</v>
      </c>
      <c r="I71" s="46" t="s">
        <v>153</v>
      </c>
      <c r="J71" s="46" t="s">
        <v>154</v>
      </c>
      <c r="K71" s="258"/>
      <c r="L71" s="262"/>
      <c r="M71" s="262"/>
    </row>
    <row r="72" spans="1:13" ht="23.25" customHeight="1">
      <c r="A72" s="646"/>
      <c r="B72" s="647"/>
      <c r="C72" s="648"/>
      <c r="D72" s="44"/>
      <c r="E72" s="44">
        <v>780</v>
      </c>
      <c r="F72" s="44">
        <v>780</v>
      </c>
      <c r="G72" s="44">
        <v>780</v>
      </c>
      <c r="H72" s="44"/>
      <c r="I72" s="44"/>
      <c r="J72" s="44"/>
      <c r="K72" s="634">
        <f>SUM(D72:J72,D74:J74)</f>
        <v>2340</v>
      </c>
      <c r="L72" s="262"/>
      <c r="M72" s="262"/>
    </row>
    <row r="73" spans="1:13" ht="23.25" customHeight="1">
      <c r="A73" s="646"/>
      <c r="B73" s="647"/>
      <c r="C73" s="648"/>
      <c r="D73" s="46" t="s">
        <v>155</v>
      </c>
      <c r="E73" s="46" t="s">
        <v>156</v>
      </c>
      <c r="F73" s="46" t="s">
        <v>157</v>
      </c>
      <c r="G73" s="46" t="s">
        <v>158</v>
      </c>
      <c r="H73" s="46" t="s">
        <v>159</v>
      </c>
      <c r="I73" s="46" t="s">
        <v>279</v>
      </c>
      <c r="J73" s="46" t="s">
        <v>160</v>
      </c>
      <c r="K73" s="635"/>
      <c r="L73" s="262"/>
      <c r="M73" s="262"/>
    </row>
    <row r="74" spans="1:13" ht="23.25" customHeight="1" thickBot="1">
      <c r="A74" s="646"/>
      <c r="B74" s="647"/>
      <c r="C74" s="648"/>
      <c r="D74" s="44"/>
      <c r="E74" s="44"/>
      <c r="F74" s="44"/>
      <c r="G74" s="44"/>
      <c r="H74" s="44"/>
      <c r="I74" s="44"/>
      <c r="J74" s="44"/>
      <c r="K74" s="259"/>
      <c r="L74" s="262"/>
      <c r="M74" s="262"/>
    </row>
    <row r="75" spans="1:13" ht="23.25" customHeight="1">
      <c r="A75" s="646">
        <v>30</v>
      </c>
      <c r="B75" s="647" t="s">
        <v>174</v>
      </c>
      <c r="C75" s="648">
        <v>1210</v>
      </c>
      <c r="D75" s="46" t="s">
        <v>149</v>
      </c>
      <c r="E75" s="46" t="s">
        <v>150</v>
      </c>
      <c r="F75" s="46" t="s">
        <v>151</v>
      </c>
      <c r="G75" s="46" t="s">
        <v>152</v>
      </c>
      <c r="H75" s="46" t="s">
        <v>22</v>
      </c>
      <c r="I75" s="46" t="s">
        <v>153</v>
      </c>
      <c r="J75" s="46" t="s">
        <v>154</v>
      </c>
      <c r="K75" s="258"/>
      <c r="L75" s="262"/>
      <c r="M75" s="262"/>
    </row>
    <row r="76" spans="1:13" ht="23.25" customHeight="1">
      <c r="A76" s="646"/>
      <c r="B76" s="647"/>
      <c r="C76" s="648"/>
      <c r="D76" s="44">
        <v>1210</v>
      </c>
      <c r="E76" s="44">
        <v>1210</v>
      </c>
      <c r="F76" s="44">
        <v>1210</v>
      </c>
      <c r="G76" s="44">
        <v>1210</v>
      </c>
      <c r="H76" s="44">
        <v>450</v>
      </c>
      <c r="I76" s="44">
        <v>1210</v>
      </c>
      <c r="J76" s="44">
        <v>1210</v>
      </c>
      <c r="K76" s="634">
        <f>SUM(D76:J76,D78:J78)</f>
        <v>14970</v>
      </c>
      <c r="L76" s="262"/>
      <c r="M76" s="262"/>
    </row>
    <row r="77" spans="1:13" ht="23.25" customHeight="1">
      <c r="A77" s="646"/>
      <c r="B77" s="647"/>
      <c r="C77" s="648"/>
      <c r="D77" s="46" t="s">
        <v>155</v>
      </c>
      <c r="E77" s="46" t="s">
        <v>156</v>
      </c>
      <c r="F77" s="46" t="s">
        <v>157</v>
      </c>
      <c r="G77" s="46" t="s">
        <v>158</v>
      </c>
      <c r="H77" s="46" t="s">
        <v>159</v>
      </c>
      <c r="I77" s="46" t="s">
        <v>279</v>
      </c>
      <c r="J77" s="46" t="s">
        <v>160</v>
      </c>
      <c r="K77" s="635"/>
      <c r="L77" s="262"/>
      <c r="M77" s="262"/>
    </row>
    <row r="78" spans="1:13" ht="23.25" customHeight="1" thickBot="1">
      <c r="A78" s="646"/>
      <c r="B78" s="647"/>
      <c r="C78" s="648"/>
      <c r="D78" s="44">
        <v>1210</v>
      </c>
      <c r="E78" s="44">
        <v>1210</v>
      </c>
      <c r="F78" s="44">
        <v>1210</v>
      </c>
      <c r="G78" s="44"/>
      <c r="H78" s="44">
        <v>1210</v>
      </c>
      <c r="I78" s="44">
        <v>1210</v>
      </c>
      <c r="J78" s="44">
        <v>1210</v>
      </c>
      <c r="K78" s="259"/>
      <c r="L78" s="262"/>
      <c r="M78" s="262"/>
    </row>
    <row r="79" spans="1:13" s="224" customFormat="1" ht="23.25" customHeight="1">
      <c r="A79" s="650">
        <v>31</v>
      </c>
      <c r="B79" s="650" t="s">
        <v>175</v>
      </c>
      <c r="C79" s="651">
        <v>1420</v>
      </c>
      <c r="D79" s="225" t="s">
        <v>149</v>
      </c>
      <c r="E79" s="225" t="s">
        <v>150</v>
      </c>
      <c r="F79" s="225" t="s">
        <v>151</v>
      </c>
      <c r="G79" s="225" t="s">
        <v>152</v>
      </c>
      <c r="H79" s="225" t="s">
        <v>22</v>
      </c>
      <c r="I79" s="225" t="s">
        <v>153</v>
      </c>
      <c r="J79" s="225" t="s">
        <v>154</v>
      </c>
      <c r="K79" s="258"/>
      <c r="L79" s="262"/>
      <c r="M79" s="262"/>
    </row>
    <row r="80" spans="1:13" s="224" customFormat="1" ht="23.25" customHeight="1">
      <c r="A80" s="650"/>
      <c r="B80" s="650"/>
      <c r="C80" s="651"/>
      <c r="D80" s="226">
        <v>-1420</v>
      </c>
      <c r="E80" s="226">
        <v>1420</v>
      </c>
      <c r="F80" s="226">
        <v>1420</v>
      </c>
      <c r="G80" s="226">
        <v>1420</v>
      </c>
      <c r="H80" s="226">
        <v>-360</v>
      </c>
      <c r="I80" s="226">
        <v>1420</v>
      </c>
      <c r="J80" s="226">
        <v>-1420</v>
      </c>
      <c r="K80" s="634">
        <f>SUM(D80:J80,D82:J82)</f>
        <v>10542</v>
      </c>
      <c r="L80" s="264" t="s">
        <v>979</v>
      </c>
      <c r="M80" s="262"/>
    </row>
    <row r="81" spans="1:13" s="224" customFormat="1" ht="23.25" customHeight="1">
      <c r="A81" s="650"/>
      <c r="B81" s="650"/>
      <c r="C81" s="651"/>
      <c r="D81" s="225" t="s">
        <v>155</v>
      </c>
      <c r="E81" s="225" t="s">
        <v>156</v>
      </c>
      <c r="F81" s="225" t="s">
        <v>157</v>
      </c>
      <c r="G81" s="225" t="s">
        <v>158</v>
      </c>
      <c r="H81" s="225" t="s">
        <v>159</v>
      </c>
      <c r="I81" s="225" t="s">
        <v>279</v>
      </c>
      <c r="J81" s="225" t="s">
        <v>160</v>
      </c>
      <c r="K81" s="635"/>
      <c r="L81" s="262"/>
      <c r="M81" s="262"/>
    </row>
    <row r="82" spans="1:13" s="224" customFormat="1" ht="23.25" customHeight="1" thickBot="1">
      <c r="A82" s="650"/>
      <c r="B82" s="650"/>
      <c r="C82" s="651"/>
      <c r="D82" s="226">
        <v>1420</v>
      </c>
      <c r="E82" s="226">
        <v>1420</v>
      </c>
      <c r="F82" s="226">
        <v>910</v>
      </c>
      <c r="G82" s="226">
        <v>910</v>
      </c>
      <c r="H82" s="226">
        <v>1072</v>
      </c>
      <c r="I82" s="226">
        <v>1072</v>
      </c>
      <c r="J82" s="226">
        <v>1258</v>
      </c>
      <c r="K82" s="259"/>
      <c r="L82" s="262"/>
      <c r="M82" s="262"/>
    </row>
    <row r="83" spans="1:13" s="127" customFormat="1" ht="23.25" customHeight="1">
      <c r="A83" s="638">
        <v>32</v>
      </c>
      <c r="B83" s="644" t="s">
        <v>176</v>
      </c>
      <c r="C83" s="641">
        <v>815</v>
      </c>
      <c r="D83" s="128" t="s">
        <v>149</v>
      </c>
      <c r="E83" s="128" t="s">
        <v>150</v>
      </c>
      <c r="F83" s="128" t="s">
        <v>151</v>
      </c>
      <c r="G83" s="128" t="s">
        <v>152</v>
      </c>
      <c r="H83" s="128" t="s">
        <v>22</v>
      </c>
      <c r="I83" s="128" t="s">
        <v>153</v>
      </c>
      <c r="J83" s="128" t="s">
        <v>154</v>
      </c>
      <c r="K83" s="258"/>
      <c r="L83" s="262"/>
      <c r="M83" s="262"/>
    </row>
    <row r="84" spans="1:13" s="127" customFormat="1" ht="23.25" customHeight="1">
      <c r="A84" s="639"/>
      <c r="B84" s="644"/>
      <c r="C84" s="642"/>
      <c r="D84" s="126">
        <v>815</v>
      </c>
      <c r="E84" s="126">
        <v>815</v>
      </c>
      <c r="F84" s="126">
        <v>995</v>
      </c>
      <c r="G84" s="126">
        <v>815</v>
      </c>
      <c r="H84" s="126"/>
      <c r="I84" s="126">
        <v>815</v>
      </c>
      <c r="J84" s="126">
        <v>815</v>
      </c>
      <c r="K84" s="634">
        <f>SUM(D84:J84,D86:J86)</f>
        <v>10775</v>
      </c>
      <c r="L84" s="262"/>
      <c r="M84" s="262"/>
    </row>
    <row r="85" spans="1:13" s="127" customFormat="1" ht="23.25" customHeight="1">
      <c r="A85" s="639"/>
      <c r="B85" s="644"/>
      <c r="C85" s="642"/>
      <c r="D85" s="128" t="s">
        <v>155</v>
      </c>
      <c r="E85" s="128" t="s">
        <v>156</v>
      </c>
      <c r="F85" s="128" t="s">
        <v>157</v>
      </c>
      <c r="G85" s="128" t="s">
        <v>158</v>
      </c>
      <c r="H85" s="128" t="s">
        <v>159</v>
      </c>
      <c r="I85" s="128" t="s">
        <v>279</v>
      </c>
      <c r="J85" s="128" t="s">
        <v>160</v>
      </c>
      <c r="K85" s="635"/>
      <c r="L85" s="262"/>
      <c r="M85" s="262"/>
    </row>
    <row r="86" spans="1:13" s="127" customFormat="1" ht="23.25" customHeight="1" thickBot="1">
      <c r="A86" s="640"/>
      <c r="B86" s="644"/>
      <c r="C86" s="643"/>
      <c r="D86" s="126">
        <v>815</v>
      </c>
      <c r="E86" s="126">
        <v>815</v>
      </c>
      <c r="F86" s="126">
        <v>815</v>
      </c>
      <c r="G86" s="126">
        <v>815</v>
      </c>
      <c r="H86" s="126">
        <v>815</v>
      </c>
      <c r="I86" s="126">
        <v>815</v>
      </c>
      <c r="J86" s="126">
        <v>815</v>
      </c>
      <c r="K86" s="259"/>
      <c r="L86" s="262"/>
      <c r="M86" s="262"/>
    </row>
    <row r="87" spans="1:13" s="127" customFormat="1" ht="23.25" customHeight="1">
      <c r="A87" s="638">
        <v>33</v>
      </c>
      <c r="B87" s="644" t="s">
        <v>283</v>
      </c>
      <c r="C87" s="641">
        <v>520</v>
      </c>
      <c r="D87" s="128" t="s">
        <v>149</v>
      </c>
      <c r="E87" s="128" t="s">
        <v>150</v>
      </c>
      <c r="F87" s="128" t="s">
        <v>151</v>
      </c>
      <c r="G87" s="128" t="s">
        <v>152</v>
      </c>
      <c r="H87" s="128" t="s">
        <v>22</v>
      </c>
      <c r="I87" s="128" t="s">
        <v>153</v>
      </c>
      <c r="J87" s="128" t="s">
        <v>154</v>
      </c>
      <c r="K87" s="258"/>
      <c r="L87" s="262"/>
      <c r="M87" s="262"/>
    </row>
    <row r="88" spans="1:13" s="127" customFormat="1" ht="23.25" customHeight="1">
      <c r="A88" s="639"/>
      <c r="B88" s="644"/>
      <c r="C88" s="642"/>
      <c r="D88" s="126">
        <v>520</v>
      </c>
      <c r="E88" s="126">
        <v>520</v>
      </c>
      <c r="F88" s="126">
        <v>520</v>
      </c>
      <c r="G88" s="126">
        <v>520</v>
      </c>
      <c r="H88" s="126">
        <v>180</v>
      </c>
      <c r="I88" s="126">
        <v>520</v>
      </c>
      <c r="J88" s="126">
        <v>520</v>
      </c>
      <c r="K88" s="634">
        <f>SUM(D88:J88,D90:J90)</f>
        <v>6940</v>
      </c>
      <c r="L88" s="262"/>
      <c r="M88" s="262"/>
    </row>
    <row r="89" spans="1:13" s="127" customFormat="1" ht="23.25" customHeight="1">
      <c r="A89" s="639"/>
      <c r="B89" s="644"/>
      <c r="C89" s="642"/>
      <c r="D89" s="128" t="s">
        <v>155</v>
      </c>
      <c r="E89" s="128" t="s">
        <v>156</v>
      </c>
      <c r="F89" s="128" t="s">
        <v>157</v>
      </c>
      <c r="G89" s="128" t="s">
        <v>158</v>
      </c>
      <c r="H89" s="128" t="s">
        <v>159</v>
      </c>
      <c r="I89" s="128" t="s">
        <v>279</v>
      </c>
      <c r="J89" s="128" t="s">
        <v>160</v>
      </c>
      <c r="K89" s="635"/>
      <c r="L89" s="262"/>
      <c r="M89" s="262"/>
    </row>
    <row r="90" spans="1:13" s="127" customFormat="1" ht="23.25" customHeight="1" thickBot="1">
      <c r="A90" s="640"/>
      <c r="B90" s="644"/>
      <c r="C90" s="643"/>
      <c r="D90" s="126">
        <v>520</v>
      </c>
      <c r="E90" s="126">
        <v>520</v>
      </c>
      <c r="F90" s="126">
        <v>520</v>
      </c>
      <c r="G90" s="126">
        <v>520</v>
      </c>
      <c r="H90" s="126">
        <v>1040</v>
      </c>
      <c r="I90" s="126"/>
      <c r="J90" s="126">
        <v>520</v>
      </c>
      <c r="K90" s="259"/>
      <c r="L90" s="262"/>
      <c r="M90" s="262"/>
    </row>
    <row r="91" spans="1:13" s="127" customFormat="1" ht="23.25" customHeight="1">
      <c r="A91" s="644">
        <v>38</v>
      </c>
      <c r="B91" s="644" t="s">
        <v>177</v>
      </c>
      <c r="C91" s="645">
        <v>560</v>
      </c>
      <c r="D91" s="128" t="s">
        <v>149</v>
      </c>
      <c r="E91" s="128" t="s">
        <v>150</v>
      </c>
      <c r="F91" s="128" t="s">
        <v>151</v>
      </c>
      <c r="G91" s="128" t="s">
        <v>152</v>
      </c>
      <c r="H91" s="128" t="s">
        <v>22</v>
      </c>
      <c r="I91" s="128" t="s">
        <v>153</v>
      </c>
      <c r="J91" s="128" t="s">
        <v>154</v>
      </c>
      <c r="K91" s="258"/>
      <c r="L91" s="262"/>
      <c r="M91" s="262"/>
    </row>
    <row r="92" spans="1:13" s="127" customFormat="1" ht="23.25" customHeight="1">
      <c r="A92" s="644"/>
      <c r="B92" s="644"/>
      <c r="C92" s="645"/>
      <c r="D92" s="126">
        <v>560</v>
      </c>
      <c r="E92" s="126">
        <v>560</v>
      </c>
      <c r="F92" s="126">
        <v>560</v>
      </c>
      <c r="G92" s="126">
        <v>560</v>
      </c>
      <c r="H92" s="126"/>
      <c r="I92" s="126">
        <v>560</v>
      </c>
      <c r="J92" s="126">
        <v>560</v>
      </c>
      <c r="K92" s="634">
        <f>SUM(D92:J92,D94:J94)</f>
        <v>7280</v>
      </c>
      <c r="L92" s="262"/>
      <c r="M92" s="262"/>
    </row>
    <row r="93" spans="1:13" s="127" customFormat="1" ht="23.25" customHeight="1">
      <c r="A93" s="644"/>
      <c r="B93" s="644"/>
      <c r="C93" s="645"/>
      <c r="D93" s="128" t="s">
        <v>155</v>
      </c>
      <c r="E93" s="128" t="s">
        <v>156</v>
      </c>
      <c r="F93" s="128" t="s">
        <v>157</v>
      </c>
      <c r="G93" s="128" t="s">
        <v>158</v>
      </c>
      <c r="H93" s="128" t="s">
        <v>159</v>
      </c>
      <c r="I93" s="128" t="s">
        <v>279</v>
      </c>
      <c r="J93" s="128" t="s">
        <v>160</v>
      </c>
      <c r="K93" s="635"/>
      <c r="L93" s="262"/>
      <c r="M93" s="262"/>
    </row>
    <row r="94" spans="1:13" s="127" customFormat="1" ht="23.25" customHeight="1" thickBot="1">
      <c r="A94" s="644"/>
      <c r="B94" s="644"/>
      <c r="C94" s="645"/>
      <c r="D94" s="126">
        <v>560</v>
      </c>
      <c r="E94" s="126">
        <v>560</v>
      </c>
      <c r="F94" s="126">
        <v>560</v>
      </c>
      <c r="G94" s="126">
        <v>560</v>
      </c>
      <c r="H94" s="126">
        <v>560</v>
      </c>
      <c r="I94" s="126">
        <v>560</v>
      </c>
      <c r="J94" s="126">
        <v>560</v>
      </c>
      <c r="K94" s="259"/>
      <c r="L94" s="262"/>
      <c r="M94" s="262"/>
    </row>
    <row r="95" spans="1:13" s="127" customFormat="1" ht="23.25" customHeight="1">
      <c r="A95" s="644">
        <v>39</v>
      </c>
      <c r="B95" s="644" t="s">
        <v>178</v>
      </c>
      <c r="C95" s="645">
        <v>625</v>
      </c>
      <c r="D95" s="128" t="s">
        <v>149</v>
      </c>
      <c r="E95" s="128" t="s">
        <v>150</v>
      </c>
      <c r="F95" s="128" t="s">
        <v>151</v>
      </c>
      <c r="G95" s="128" t="s">
        <v>152</v>
      </c>
      <c r="H95" s="128" t="s">
        <v>22</v>
      </c>
      <c r="I95" s="128" t="s">
        <v>153</v>
      </c>
      <c r="J95" s="128" t="s">
        <v>154</v>
      </c>
      <c r="K95" s="258"/>
      <c r="L95" s="262"/>
      <c r="M95" s="262"/>
    </row>
    <row r="96" spans="1:13" s="127" customFormat="1" ht="23.25" customHeight="1">
      <c r="A96" s="644"/>
      <c r="B96" s="644"/>
      <c r="C96" s="645"/>
      <c r="D96" s="126">
        <v>625</v>
      </c>
      <c r="E96" s="126">
        <v>625</v>
      </c>
      <c r="F96" s="126">
        <v>625</v>
      </c>
      <c r="G96" s="126">
        <v>625</v>
      </c>
      <c r="H96" s="126"/>
      <c r="I96" s="126">
        <v>625</v>
      </c>
      <c r="J96" s="126">
        <v>625</v>
      </c>
      <c r="K96" s="634">
        <f>SUM(D96:J96,D98:J98)</f>
        <v>8125</v>
      </c>
      <c r="L96" s="262"/>
      <c r="M96" s="262"/>
    </row>
    <row r="97" spans="1:13" s="127" customFormat="1" ht="23.25" customHeight="1">
      <c r="A97" s="644"/>
      <c r="B97" s="644"/>
      <c r="C97" s="645"/>
      <c r="D97" s="128" t="s">
        <v>155</v>
      </c>
      <c r="E97" s="128" t="s">
        <v>156</v>
      </c>
      <c r="F97" s="128" t="s">
        <v>157</v>
      </c>
      <c r="G97" s="128" t="s">
        <v>158</v>
      </c>
      <c r="H97" s="128" t="s">
        <v>159</v>
      </c>
      <c r="I97" s="128" t="s">
        <v>279</v>
      </c>
      <c r="J97" s="128" t="s">
        <v>160</v>
      </c>
      <c r="K97" s="635"/>
      <c r="L97" s="262"/>
      <c r="M97" s="262"/>
    </row>
    <row r="98" spans="1:13" s="127" customFormat="1" ht="23.25" customHeight="1" thickBot="1">
      <c r="A98" s="644"/>
      <c r="B98" s="644"/>
      <c r="C98" s="645"/>
      <c r="D98" s="126">
        <v>625</v>
      </c>
      <c r="E98" s="126">
        <v>625</v>
      </c>
      <c r="F98" s="126">
        <v>625</v>
      </c>
      <c r="G98" s="126">
        <v>625</v>
      </c>
      <c r="H98" s="126">
        <v>625</v>
      </c>
      <c r="I98" s="126">
        <v>625</v>
      </c>
      <c r="J98" s="126">
        <v>625</v>
      </c>
      <c r="K98" s="259"/>
      <c r="L98" s="262"/>
      <c r="M98" s="262"/>
    </row>
    <row r="99" spans="1:13" ht="23.25" customHeight="1">
      <c r="A99" s="646">
        <v>41</v>
      </c>
      <c r="B99" s="647" t="s">
        <v>27</v>
      </c>
      <c r="C99" s="648">
        <v>325</v>
      </c>
      <c r="D99" s="46" t="s">
        <v>149</v>
      </c>
      <c r="E99" s="46" t="s">
        <v>150</v>
      </c>
      <c r="F99" s="46" t="s">
        <v>151</v>
      </c>
      <c r="G99" s="46" t="s">
        <v>152</v>
      </c>
      <c r="H99" s="46" t="s">
        <v>22</v>
      </c>
      <c r="I99" s="46" t="s">
        <v>153</v>
      </c>
      <c r="J99" s="46" t="s">
        <v>154</v>
      </c>
      <c r="K99" s="258"/>
      <c r="L99" s="262"/>
      <c r="M99" s="262"/>
    </row>
    <row r="100" spans="1:13" ht="23.25" customHeight="1">
      <c r="A100" s="646"/>
      <c r="B100" s="647"/>
      <c r="C100" s="648"/>
      <c r="D100" s="44"/>
      <c r="E100" s="44">
        <v>325</v>
      </c>
      <c r="F100" s="44">
        <v>325</v>
      </c>
      <c r="G100" s="44">
        <v>325</v>
      </c>
      <c r="H100" s="44"/>
      <c r="I100" s="44">
        <v>325</v>
      </c>
      <c r="J100" s="44">
        <v>325</v>
      </c>
      <c r="K100" s="634">
        <f>SUM(D100:J100,D102:J102)</f>
        <v>3250</v>
      </c>
      <c r="L100" s="262"/>
      <c r="M100" s="262"/>
    </row>
    <row r="101" spans="1:13" ht="23.25" customHeight="1">
      <c r="A101" s="646"/>
      <c r="B101" s="647"/>
      <c r="C101" s="648"/>
      <c r="D101" s="46" t="s">
        <v>155</v>
      </c>
      <c r="E101" s="46" t="s">
        <v>156</v>
      </c>
      <c r="F101" s="46" t="s">
        <v>157</v>
      </c>
      <c r="G101" s="46" t="s">
        <v>158</v>
      </c>
      <c r="H101" s="46" t="s">
        <v>159</v>
      </c>
      <c r="I101" s="46" t="s">
        <v>279</v>
      </c>
      <c r="J101" s="46" t="s">
        <v>160</v>
      </c>
      <c r="K101" s="635"/>
      <c r="L101" s="262"/>
      <c r="M101" s="262"/>
    </row>
    <row r="102" spans="1:13" ht="23.25" customHeight="1" thickBot="1">
      <c r="A102" s="646"/>
      <c r="B102" s="647"/>
      <c r="C102" s="648"/>
      <c r="D102" s="44">
        <v>325</v>
      </c>
      <c r="E102" s="44">
        <v>325</v>
      </c>
      <c r="F102" s="44">
        <v>325</v>
      </c>
      <c r="G102" s="44">
        <v>325</v>
      </c>
      <c r="H102" s="44"/>
      <c r="I102" s="44"/>
      <c r="J102" s="44">
        <v>325</v>
      </c>
      <c r="K102" s="259"/>
      <c r="L102" s="262"/>
      <c r="M102" s="262"/>
    </row>
    <row r="103" spans="1:13" ht="23.25" customHeight="1">
      <c r="A103" s="646">
        <v>43</v>
      </c>
      <c r="B103" s="652" t="s">
        <v>179</v>
      </c>
      <c r="C103" s="648">
        <v>760</v>
      </c>
      <c r="D103" s="46" t="s">
        <v>149</v>
      </c>
      <c r="E103" s="46" t="s">
        <v>150</v>
      </c>
      <c r="F103" s="46" t="s">
        <v>151</v>
      </c>
      <c r="G103" s="46" t="s">
        <v>152</v>
      </c>
      <c r="H103" s="46" t="s">
        <v>22</v>
      </c>
      <c r="I103" s="46" t="s">
        <v>153</v>
      </c>
      <c r="J103" s="46" t="s">
        <v>154</v>
      </c>
      <c r="K103" s="258"/>
      <c r="L103" s="262"/>
      <c r="M103" s="262"/>
    </row>
    <row r="104" spans="1:13" ht="23.25" customHeight="1">
      <c r="A104" s="646"/>
      <c r="B104" s="652"/>
      <c r="C104" s="648"/>
      <c r="D104" s="44"/>
      <c r="E104" s="44"/>
      <c r="F104" s="44"/>
      <c r="G104" s="44"/>
      <c r="H104" s="44"/>
      <c r="I104" s="44"/>
      <c r="J104" s="44"/>
      <c r="K104" s="634">
        <f>SUM(D104:J104,D106:J106)</f>
        <v>0</v>
      </c>
      <c r="L104" s="262"/>
      <c r="M104" s="262"/>
    </row>
    <row r="105" spans="1:13" ht="23.25" customHeight="1">
      <c r="A105" s="646"/>
      <c r="B105" s="652"/>
      <c r="C105" s="648"/>
      <c r="D105" s="46" t="s">
        <v>155</v>
      </c>
      <c r="E105" s="46" t="s">
        <v>156</v>
      </c>
      <c r="F105" s="46" t="s">
        <v>157</v>
      </c>
      <c r="G105" s="46" t="s">
        <v>158</v>
      </c>
      <c r="H105" s="46" t="s">
        <v>159</v>
      </c>
      <c r="I105" s="46" t="s">
        <v>279</v>
      </c>
      <c r="J105" s="46" t="s">
        <v>160</v>
      </c>
      <c r="K105" s="635"/>
      <c r="L105" s="262"/>
      <c r="M105" s="262"/>
    </row>
    <row r="106" spans="1:13" ht="23.25" customHeight="1" thickBot="1">
      <c r="A106" s="646"/>
      <c r="B106" s="652"/>
      <c r="C106" s="648"/>
      <c r="D106" s="44"/>
      <c r="E106" s="44"/>
      <c r="F106" s="44"/>
      <c r="G106" s="44"/>
      <c r="H106" s="44"/>
      <c r="I106" s="44"/>
      <c r="J106" s="44"/>
      <c r="K106" s="259"/>
      <c r="L106" s="262"/>
      <c r="M106" s="262"/>
    </row>
    <row r="107" spans="1:13" ht="23.25" customHeight="1">
      <c r="A107" s="646">
        <v>44</v>
      </c>
      <c r="B107" s="647" t="s">
        <v>180</v>
      </c>
      <c r="C107" s="648">
        <v>1210</v>
      </c>
      <c r="D107" s="46" t="s">
        <v>149</v>
      </c>
      <c r="E107" s="46" t="s">
        <v>150</v>
      </c>
      <c r="F107" s="46" t="s">
        <v>151</v>
      </c>
      <c r="G107" s="46" t="s">
        <v>152</v>
      </c>
      <c r="H107" s="46" t="s">
        <v>22</v>
      </c>
      <c r="I107" s="46" t="s">
        <v>153</v>
      </c>
      <c r="J107" s="46" t="s">
        <v>154</v>
      </c>
      <c r="K107" s="258"/>
      <c r="L107" s="262"/>
      <c r="M107" s="262"/>
    </row>
    <row r="108" spans="1:13" ht="23.25" customHeight="1">
      <c r="A108" s="646"/>
      <c r="B108" s="647"/>
      <c r="C108" s="648"/>
      <c r="D108" s="44"/>
      <c r="E108" s="44">
        <v>1210</v>
      </c>
      <c r="F108" s="44">
        <v>1210</v>
      </c>
      <c r="G108" s="44">
        <v>1210</v>
      </c>
      <c r="H108" s="44"/>
      <c r="I108" s="44">
        <v>1210</v>
      </c>
      <c r="J108" s="44"/>
      <c r="K108" s="634">
        <f>SUM(D108:J108,D110:J110)</f>
        <v>7545</v>
      </c>
      <c r="L108" s="262"/>
      <c r="M108" s="262"/>
    </row>
    <row r="109" spans="1:13" ht="23.25" customHeight="1">
      <c r="A109" s="646"/>
      <c r="B109" s="647"/>
      <c r="C109" s="648"/>
      <c r="D109" s="46" t="s">
        <v>155</v>
      </c>
      <c r="E109" s="46" t="s">
        <v>156</v>
      </c>
      <c r="F109" s="46" t="s">
        <v>157</v>
      </c>
      <c r="G109" s="46" t="s">
        <v>158</v>
      </c>
      <c r="H109" s="46" t="s">
        <v>159</v>
      </c>
      <c r="I109" s="46" t="s">
        <v>279</v>
      </c>
      <c r="J109" s="46" t="s">
        <v>160</v>
      </c>
      <c r="K109" s="635"/>
      <c r="L109" s="262"/>
      <c r="M109" s="262"/>
    </row>
    <row r="110" spans="1:13" ht="23.25" customHeight="1" thickBot="1">
      <c r="A110" s="646"/>
      <c r="B110" s="647"/>
      <c r="C110" s="648"/>
      <c r="D110" s="44"/>
      <c r="E110" s="44">
        <v>1495</v>
      </c>
      <c r="F110" s="44"/>
      <c r="G110" s="44"/>
      <c r="H110" s="44"/>
      <c r="I110" s="44"/>
      <c r="J110" s="44">
        <v>1210</v>
      </c>
      <c r="K110" s="259"/>
      <c r="L110" s="262"/>
      <c r="M110" s="262"/>
    </row>
    <row r="111" spans="1:13" s="127" customFormat="1" ht="23.25" customHeight="1">
      <c r="A111" s="644">
        <v>45</v>
      </c>
      <c r="B111" s="644" t="s">
        <v>181</v>
      </c>
      <c r="C111" s="645">
        <v>730</v>
      </c>
      <c r="D111" s="128" t="s">
        <v>149</v>
      </c>
      <c r="E111" s="128" t="s">
        <v>150</v>
      </c>
      <c r="F111" s="128" t="s">
        <v>151</v>
      </c>
      <c r="G111" s="128" t="s">
        <v>152</v>
      </c>
      <c r="H111" s="128" t="s">
        <v>22</v>
      </c>
      <c r="I111" s="128" t="s">
        <v>153</v>
      </c>
      <c r="J111" s="128" t="s">
        <v>154</v>
      </c>
      <c r="K111" s="258"/>
      <c r="L111" s="262"/>
      <c r="M111" s="262"/>
    </row>
    <row r="112" spans="1:13" s="127" customFormat="1" ht="23.25" customHeight="1">
      <c r="A112" s="644"/>
      <c r="B112" s="644"/>
      <c r="C112" s="645"/>
      <c r="D112" s="126">
        <v>730</v>
      </c>
      <c r="E112" s="126">
        <v>730</v>
      </c>
      <c r="F112" s="126">
        <v>730</v>
      </c>
      <c r="G112" s="126">
        <v>730</v>
      </c>
      <c r="H112" s="126">
        <v>-90</v>
      </c>
      <c r="I112" s="126">
        <v>730</v>
      </c>
      <c r="J112" s="126">
        <v>730</v>
      </c>
      <c r="K112" s="634">
        <f>SUM(D112:J112,D114:J114)</f>
        <v>8670</v>
      </c>
      <c r="L112" s="262"/>
      <c r="M112" s="262"/>
    </row>
    <row r="113" spans="1:13" s="127" customFormat="1" ht="23.25" customHeight="1">
      <c r="A113" s="644"/>
      <c r="B113" s="644"/>
      <c r="C113" s="645"/>
      <c r="D113" s="128" t="s">
        <v>155</v>
      </c>
      <c r="E113" s="128" t="s">
        <v>156</v>
      </c>
      <c r="F113" s="128" t="s">
        <v>157</v>
      </c>
      <c r="G113" s="128" t="s">
        <v>158</v>
      </c>
      <c r="H113" s="128" t="s">
        <v>159</v>
      </c>
      <c r="I113" s="128" t="s">
        <v>279</v>
      </c>
      <c r="J113" s="128" t="s">
        <v>160</v>
      </c>
      <c r="K113" s="635"/>
      <c r="L113" s="262" t="s">
        <v>404</v>
      </c>
      <c r="M113" s="262"/>
    </row>
    <row r="114" spans="1:13" s="127" customFormat="1" ht="23.25" customHeight="1" thickBot="1">
      <c r="A114" s="644"/>
      <c r="B114" s="644"/>
      <c r="C114" s="645"/>
      <c r="D114" s="126">
        <v>730</v>
      </c>
      <c r="E114" s="126">
        <v>730</v>
      </c>
      <c r="F114" s="126">
        <v>730</v>
      </c>
      <c r="G114" s="126">
        <v>730</v>
      </c>
      <c r="H114" s="126">
        <v>730</v>
      </c>
      <c r="I114" s="126"/>
      <c r="J114" s="126">
        <v>730</v>
      </c>
      <c r="K114" s="259"/>
      <c r="L114" s="262"/>
      <c r="M114" s="262"/>
    </row>
    <row r="115" spans="1:13" s="127" customFormat="1" ht="23.25" customHeight="1">
      <c r="A115" s="644">
        <v>46</v>
      </c>
      <c r="B115" s="644" t="s">
        <v>31</v>
      </c>
      <c r="C115" s="645">
        <v>290</v>
      </c>
      <c r="D115" s="128" t="s">
        <v>149</v>
      </c>
      <c r="E115" s="128" t="s">
        <v>150</v>
      </c>
      <c r="F115" s="128" t="s">
        <v>151</v>
      </c>
      <c r="G115" s="128" t="s">
        <v>152</v>
      </c>
      <c r="H115" s="128" t="s">
        <v>22</v>
      </c>
      <c r="I115" s="128" t="s">
        <v>153</v>
      </c>
      <c r="J115" s="128" t="s">
        <v>154</v>
      </c>
      <c r="K115" s="258"/>
      <c r="L115" s="262"/>
      <c r="M115" s="262"/>
    </row>
    <row r="116" spans="1:13" s="127" customFormat="1" ht="23.25" customHeight="1">
      <c r="A116" s="644"/>
      <c r="B116" s="644"/>
      <c r="C116" s="645"/>
      <c r="D116" s="126">
        <v>290</v>
      </c>
      <c r="E116" s="126">
        <v>290</v>
      </c>
      <c r="F116" s="126">
        <v>290</v>
      </c>
      <c r="G116" s="126">
        <v>290</v>
      </c>
      <c r="H116" s="126"/>
      <c r="I116" s="126">
        <v>290</v>
      </c>
      <c r="J116" s="126">
        <v>290</v>
      </c>
      <c r="K116" s="634">
        <f>SUM(D116:J116,D118:J118)</f>
        <v>3770</v>
      </c>
      <c r="L116" s="262"/>
      <c r="M116" s="262"/>
    </row>
    <row r="117" spans="1:13" s="127" customFormat="1" ht="23.25" customHeight="1">
      <c r="A117" s="644"/>
      <c r="B117" s="644"/>
      <c r="C117" s="645"/>
      <c r="D117" s="128" t="s">
        <v>155</v>
      </c>
      <c r="E117" s="128" t="s">
        <v>156</v>
      </c>
      <c r="F117" s="128" t="s">
        <v>157</v>
      </c>
      <c r="G117" s="128" t="s">
        <v>158</v>
      </c>
      <c r="H117" s="128" t="s">
        <v>159</v>
      </c>
      <c r="I117" s="128" t="s">
        <v>279</v>
      </c>
      <c r="J117" s="128" t="s">
        <v>160</v>
      </c>
      <c r="K117" s="635"/>
      <c r="L117" s="262"/>
      <c r="M117" s="262"/>
    </row>
    <row r="118" spans="1:13" s="127" customFormat="1" ht="23.25" customHeight="1" thickBot="1">
      <c r="A118" s="644"/>
      <c r="B118" s="644"/>
      <c r="C118" s="645"/>
      <c r="D118" s="126">
        <v>290</v>
      </c>
      <c r="E118" s="230">
        <v>290</v>
      </c>
      <c r="F118" s="126">
        <v>290</v>
      </c>
      <c r="G118" s="126">
        <v>290</v>
      </c>
      <c r="H118" s="126">
        <v>290</v>
      </c>
      <c r="I118" s="126">
        <v>290</v>
      </c>
      <c r="J118" s="126">
        <v>290</v>
      </c>
      <c r="K118" s="259"/>
      <c r="L118" s="262"/>
      <c r="M118" s="262"/>
    </row>
    <row r="119" spans="1:13" s="127" customFormat="1" ht="23.25" customHeight="1">
      <c r="A119" s="644">
        <v>47</v>
      </c>
      <c r="B119" s="644" t="s">
        <v>182</v>
      </c>
      <c r="C119" s="645">
        <v>525</v>
      </c>
      <c r="D119" s="128" t="s">
        <v>149</v>
      </c>
      <c r="E119" s="128" t="s">
        <v>150</v>
      </c>
      <c r="F119" s="128" t="s">
        <v>151</v>
      </c>
      <c r="G119" s="128" t="s">
        <v>152</v>
      </c>
      <c r="H119" s="128" t="s">
        <v>22</v>
      </c>
      <c r="I119" s="128" t="s">
        <v>153</v>
      </c>
      <c r="J119" s="128" t="s">
        <v>154</v>
      </c>
      <c r="K119" s="258"/>
      <c r="L119" s="265"/>
      <c r="M119" s="265"/>
    </row>
    <row r="120" spans="1:13" s="127" customFormat="1" ht="23.25" customHeight="1">
      <c r="A120" s="644"/>
      <c r="B120" s="644"/>
      <c r="C120" s="645"/>
      <c r="D120" s="126"/>
      <c r="E120" s="126">
        <v>805</v>
      </c>
      <c r="F120" s="126">
        <v>525</v>
      </c>
      <c r="G120" s="126">
        <v>525</v>
      </c>
      <c r="H120" s="126"/>
      <c r="I120" s="126">
        <v>525</v>
      </c>
      <c r="J120" s="126">
        <v>525</v>
      </c>
      <c r="K120" s="634">
        <f>SUM(D120:J120,D122:J122)</f>
        <v>8980</v>
      </c>
      <c r="L120" s="265"/>
      <c r="M120" s="265"/>
    </row>
    <row r="121" spans="1:13" s="127" customFormat="1" ht="23.25" customHeight="1">
      <c r="A121" s="644"/>
      <c r="B121" s="644"/>
      <c r="C121" s="645"/>
      <c r="D121" s="128" t="s">
        <v>155</v>
      </c>
      <c r="E121" s="128" t="s">
        <v>156</v>
      </c>
      <c r="F121" s="128" t="s">
        <v>157</v>
      </c>
      <c r="G121" s="128" t="s">
        <v>158</v>
      </c>
      <c r="H121" s="128" t="s">
        <v>159</v>
      </c>
      <c r="I121" s="128" t="s">
        <v>279</v>
      </c>
      <c r="J121" s="128" t="s">
        <v>160</v>
      </c>
      <c r="K121" s="635"/>
      <c r="L121" s="266" t="s">
        <v>967</v>
      </c>
      <c r="M121" s="265"/>
    </row>
    <row r="122" spans="1:13" s="127" customFormat="1" ht="23.25" customHeight="1" thickBot="1">
      <c r="A122" s="644"/>
      <c r="B122" s="644"/>
      <c r="C122" s="645"/>
      <c r="D122" s="126">
        <v>525</v>
      </c>
      <c r="E122" s="126">
        <v>2125</v>
      </c>
      <c r="F122" s="126">
        <v>1325</v>
      </c>
      <c r="G122" s="126">
        <v>525</v>
      </c>
      <c r="H122" s="126">
        <v>525</v>
      </c>
      <c r="I122" s="126">
        <v>525</v>
      </c>
      <c r="J122" s="126">
        <v>525</v>
      </c>
      <c r="K122" s="259"/>
      <c r="L122" s="265"/>
      <c r="M122" s="265"/>
    </row>
    <row r="123" spans="1:13" ht="23.25" customHeight="1">
      <c r="A123" s="646">
        <v>49</v>
      </c>
      <c r="B123" s="646" t="s">
        <v>183</v>
      </c>
      <c r="C123" s="648">
        <v>1045</v>
      </c>
      <c r="D123" s="46" t="s">
        <v>149</v>
      </c>
      <c r="E123" s="46" t="s">
        <v>150</v>
      </c>
      <c r="F123" s="46" t="s">
        <v>151</v>
      </c>
      <c r="G123" s="46" t="s">
        <v>152</v>
      </c>
      <c r="H123" s="46" t="s">
        <v>22</v>
      </c>
      <c r="I123" s="46" t="s">
        <v>153</v>
      </c>
      <c r="J123" s="46" t="s">
        <v>154</v>
      </c>
      <c r="K123" s="258"/>
      <c r="L123" s="262"/>
      <c r="M123" s="262"/>
    </row>
    <row r="124" spans="1:13" ht="23.25" customHeight="1">
      <c r="A124" s="646"/>
      <c r="B124" s="646"/>
      <c r="C124" s="648"/>
      <c r="D124" s="44"/>
      <c r="E124" s="44"/>
      <c r="F124" s="44"/>
      <c r="G124" s="44"/>
      <c r="H124" s="44"/>
      <c r="I124" s="44"/>
      <c r="J124" s="44"/>
      <c r="K124" s="634">
        <f>SUM(D124:J124,D126:J126)</f>
        <v>0</v>
      </c>
      <c r="L124" s="262"/>
      <c r="M124" s="262" t="s">
        <v>392</v>
      </c>
    </row>
    <row r="125" spans="1:13" ht="23.25" customHeight="1">
      <c r="A125" s="646"/>
      <c r="B125" s="646"/>
      <c r="C125" s="648"/>
      <c r="D125" s="46" t="s">
        <v>155</v>
      </c>
      <c r="E125" s="46" t="s">
        <v>156</v>
      </c>
      <c r="F125" s="46" t="s">
        <v>157</v>
      </c>
      <c r="G125" s="46" t="s">
        <v>158</v>
      </c>
      <c r="H125" s="46" t="s">
        <v>159</v>
      </c>
      <c r="I125" s="46" t="s">
        <v>279</v>
      </c>
      <c r="J125" s="46" t="s">
        <v>160</v>
      </c>
      <c r="K125" s="635"/>
      <c r="L125" s="262"/>
      <c r="M125" s="262"/>
    </row>
    <row r="126" spans="1:13" ht="23.25" customHeight="1" thickBot="1">
      <c r="A126" s="646"/>
      <c r="B126" s="646"/>
      <c r="C126" s="648"/>
      <c r="D126" s="44"/>
      <c r="E126" s="44"/>
      <c r="F126" s="44"/>
      <c r="G126" s="44"/>
      <c r="H126" s="44"/>
      <c r="I126" s="44"/>
      <c r="J126" s="44"/>
      <c r="K126" s="259"/>
      <c r="L126" s="262"/>
      <c r="M126" s="262"/>
    </row>
    <row r="127" spans="1:13" ht="23.25" customHeight="1">
      <c r="A127" s="646">
        <v>50</v>
      </c>
      <c r="B127" s="649" t="s">
        <v>184</v>
      </c>
      <c r="C127" s="648">
        <v>730</v>
      </c>
      <c r="D127" s="46" t="s">
        <v>149</v>
      </c>
      <c r="E127" s="46" t="s">
        <v>150</v>
      </c>
      <c r="F127" s="46" t="s">
        <v>151</v>
      </c>
      <c r="G127" s="46" t="s">
        <v>152</v>
      </c>
      <c r="H127" s="46" t="s">
        <v>22</v>
      </c>
      <c r="I127" s="46" t="s">
        <v>153</v>
      </c>
      <c r="J127" s="46" t="s">
        <v>154</v>
      </c>
      <c r="K127" s="258"/>
      <c r="L127" s="262"/>
      <c r="M127" s="262"/>
    </row>
    <row r="128" spans="1:13" ht="23.25" customHeight="1">
      <c r="A128" s="646"/>
      <c r="B128" s="649"/>
      <c r="C128" s="648"/>
      <c r="D128" s="44">
        <v>730</v>
      </c>
      <c r="E128" s="44">
        <v>730</v>
      </c>
      <c r="F128" s="44">
        <v>780</v>
      </c>
      <c r="G128" s="44">
        <v>730</v>
      </c>
      <c r="H128" s="44"/>
      <c r="I128" s="44">
        <v>730</v>
      </c>
      <c r="J128" s="44">
        <v>820</v>
      </c>
      <c r="K128" s="634">
        <f>SUM(D128:J128,D130:J130)</f>
        <v>7370</v>
      </c>
      <c r="L128" s="262"/>
      <c r="M128" s="262"/>
    </row>
    <row r="129" spans="1:13" ht="23.25" customHeight="1">
      <c r="A129" s="646"/>
      <c r="B129" s="649"/>
      <c r="C129" s="648"/>
      <c r="D129" s="46" t="s">
        <v>155</v>
      </c>
      <c r="E129" s="46" t="s">
        <v>156</v>
      </c>
      <c r="F129" s="46" t="s">
        <v>157</v>
      </c>
      <c r="G129" s="46" t="s">
        <v>158</v>
      </c>
      <c r="H129" s="46" t="s">
        <v>159</v>
      </c>
      <c r="I129" s="46" t="s">
        <v>279</v>
      </c>
      <c r="J129" s="46" t="s">
        <v>160</v>
      </c>
      <c r="K129" s="635"/>
      <c r="L129" s="262"/>
      <c r="M129" s="262"/>
    </row>
    <row r="130" spans="1:13" ht="23.25" customHeight="1" thickBot="1">
      <c r="A130" s="646"/>
      <c r="B130" s="649"/>
      <c r="C130" s="648"/>
      <c r="D130" s="44">
        <v>730</v>
      </c>
      <c r="E130" s="44">
        <v>730</v>
      </c>
      <c r="F130" s="44">
        <v>730</v>
      </c>
      <c r="G130" s="44"/>
      <c r="H130" s="44"/>
      <c r="I130" s="44"/>
      <c r="J130" s="44">
        <v>660</v>
      </c>
      <c r="K130" s="259"/>
      <c r="L130" s="262"/>
      <c r="M130" s="262"/>
    </row>
    <row r="131" spans="1:13" s="127" customFormat="1" ht="23.25" customHeight="1">
      <c r="A131" s="644">
        <v>51</v>
      </c>
      <c r="B131" s="644" t="s">
        <v>185</v>
      </c>
      <c r="C131" s="645">
        <v>660</v>
      </c>
      <c r="D131" s="128" t="s">
        <v>149</v>
      </c>
      <c r="E131" s="128" t="s">
        <v>150</v>
      </c>
      <c r="F131" s="128" t="s">
        <v>151</v>
      </c>
      <c r="G131" s="128" t="s">
        <v>152</v>
      </c>
      <c r="H131" s="128" t="s">
        <v>22</v>
      </c>
      <c r="I131" s="128" t="s">
        <v>153</v>
      </c>
      <c r="J131" s="128" t="s">
        <v>154</v>
      </c>
      <c r="K131" s="258"/>
      <c r="L131" s="265"/>
      <c r="M131" s="265"/>
    </row>
    <row r="132" spans="1:13" s="127" customFormat="1" ht="23.25" customHeight="1">
      <c r="A132" s="644"/>
      <c r="B132" s="644"/>
      <c r="C132" s="645"/>
      <c r="D132" s="126"/>
      <c r="E132" s="126">
        <v>660</v>
      </c>
      <c r="F132" s="126">
        <v>660</v>
      </c>
      <c r="G132" s="126">
        <v>660</v>
      </c>
      <c r="H132" s="126"/>
      <c r="I132" s="126">
        <v>660</v>
      </c>
      <c r="J132" s="126">
        <v>660</v>
      </c>
      <c r="K132" s="634">
        <f>SUM(D132:J132,D134:J134)</f>
        <v>7260</v>
      </c>
      <c r="L132" s="265" t="s">
        <v>978</v>
      </c>
      <c r="M132" s="265"/>
    </row>
    <row r="133" spans="1:13" s="127" customFormat="1" ht="23.25" customHeight="1">
      <c r="A133" s="644"/>
      <c r="B133" s="644"/>
      <c r="C133" s="645"/>
      <c r="D133" s="128" t="s">
        <v>155</v>
      </c>
      <c r="E133" s="128" t="s">
        <v>156</v>
      </c>
      <c r="F133" s="128" t="s">
        <v>157</v>
      </c>
      <c r="G133" s="128" t="s">
        <v>158</v>
      </c>
      <c r="H133" s="128" t="s">
        <v>159</v>
      </c>
      <c r="I133" s="128" t="s">
        <v>279</v>
      </c>
      <c r="J133" s="128" t="s">
        <v>160</v>
      </c>
      <c r="K133" s="635"/>
      <c r="L133" s="265" t="s">
        <v>968</v>
      </c>
      <c r="M133" s="265"/>
    </row>
    <row r="134" spans="1:13" s="127" customFormat="1" ht="23.25" customHeight="1" thickBot="1">
      <c r="A134" s="644"/>
      <c r="B134" s="644"/>
      <c r="C134" s="645"/>
      <c r="D134" s="126">
        <v>660</v>
      </c>
      <c r="E134" s="126">
        <v>660</v>
      </c>
      <c r="F134" s="126">
        <v>660</v>
      </c>
      <c r="G134" s="126">
        <v>660</v>
      </c>
      <c r="H134" s="126">
        <v>660</v>
      </c>
      <c r="I134" s="126"/>
      <c r="J134" s="126">
        <v>660</v>
      </c>
      <c r="K134" s="259"/>
      <c r="L134" s="265"/>
      <c r="M134" s="265"/>
    </row>
    <row r="135" spans="1:13" ht="23.25" customHeight="1">
      <c r="A135" s="646">
        <v>52</v>
      </c>
      <c r="B135" s="646" t="s">
        <v>186</v>
      </c>
      <c r="C135" s="648">
        <v>525</v>
      </c>
      <c r="D135" s="46" t="s">
        <v>149</v>
      </c>
      <c r="E135" s="46" t="s">
        <v>150</v>
      </c>
      <c r="F135" s="46" t="s">
        <v>151</v>
      </c>
      <c r="G135" s="46" t="s">
        <v>152</v>
      </c>
      <c r="H135" s="46" t="s">
        <v>22</v>
      </c>
      <c r="I135" s="46" t="s">
        <v>153</v>
      </c>
      <c r="J135" s="46" t="s">
        <v>154</v>
      </c>
      <c r="K135" s="258"/>
      <c r="L135" s="262"/>
      <c r="M135" s="262"/>
    </row>
    <row r="136" spans="1:13" ht="23.25" customHeight="1">
      <c r="A136" s="646"/>
      <c r="B136" s="646"/>
      <c r="C136" s="648"/>
      <c r="D136" s="44"/>
      <c r="E136" s="44"/>
      <c r="F136" s="44">
        <v>525</v>
      </c>
      <c r="G136" s="44"/>
      <c r="H136" s="44"/>
      <c r="I136" s="44"/>
      <c r="J136" s="44"/>
      <c r="K136" s="634">
        <f>SUM(D136:J136,D138:J138)</f>
        <v>3150</v>
      </c>
      <c r="L136" s="262"/>
      <c r="M136" s="262"/>
    </row>
    <row r="137" spans="1:13" ht="23.25" customHeight="1">
      <c r="A137" s="646"/>
      <c r="B137" s="646"/>
      <c r="C137" s="648"/>
      <c r="D137" s="46" t="s">
        <v>155</v>
      </c>
      <c r="E137" s="46" t="s">
        <v>156</v>
      </c>
      <c r="F137" s="46" t="s">
        <v>157</v>
      </c>
      <c r="G137" s="46" t="s">
        <v>158</v>
      </c>
      <c r="H137" s="46" t="s">
        <v>159</v>
      </c>
      <c r="I137" s="46" t="s">
        <v>279</v>
      </c>
      <c r="J137" s="46" t="s">
        <v>160</v>
      </c>
      <c r="K137" s="635"/>
      <c r="L137" s="262"/>
      <c r="M137" s="262"/>
    </row>
    <row r="138" spans="1:13" ht="23.25" customHeight="1" thickBot="1">
      <c r="A138" s="646"/>
      <c r="B138" s="646"/>
      <c r="C138" s="648"/>
      <c r="D138" s="44">
        <v>525</v>
      </c>
      <c r="E138" s="44">
        <v>525</v>
      </c>
      <c r="F138" s="44">
        <v>525</v>
      </c>
      <c r="G138" s="44">
        <v>525</v>
      </c>
      <c r="H138" s="44">
        <v>525</v>
      </c>
      <c r="I138" s="44"/>
      <c r="J138" s="44"/>
      <c r="K138" s="259"/>
      <c r="L138" s="262"/>
      <c r="M138" s="262"/>
    </row>
    <row r="139" spans="1:13" ht="23.25" customHeight="1">
      <c r="A139" s="646">
        <v>53</v>
      </c>
      <c r="B139" s="652" t="s">
        <v>187</v>
      </c>
      <c r="C139" s="648">
        <v>815</v>
      </c>
      <c r="D139" s="46" t="s">
        <v>149</v>
      </c>
      <c r="E139" s="46" t="s">
        <v>150</v>
      </c>
      <c r="F139" s="46" t="s">
        <v>151</v>
      </c>
      <c r="G139" s="46" t="s">
        <v>152</v>
      </c>
      <c r="H139" s="46" t="s">
        <v>22</v>
      </c>
      <c r="I139" s="46" t="s">
        <v>153</v>
      </c>
      <c r="J139" s="46" t="s">
        <v>154</v>
      </c>
      <c r="K139" s="258"/>
      <c r="L139" s="262"/>
      <c r="M139" s="262"/>
    </row>
    <row r="140" spans="1:13" ht="23.25" customHeight="1">
      <c r="A140" s="646"/>
      <c r="B140" s="652"/>
      <c r="C140" s="648"/>
      <c r="D140" s="44"/>
      <c r="E140" s="44"/>
      <c r="F140" s="44"/>
      <c r="G140" s="44"/>
      <c r="H140" s="44"/>
      <c r="I140" s="44"/>
      <c r="J140" s="44"/>
      <c r="K140" s="634">
        <f>SUM(D140:J140,D142:J142)</f>
        <v>0</v>
      </c>
      <c r="L140" s="262"/>
      <c r="M140" s="262"/>
    </row>
    <row r="141" spans="1:13" ht="23.25" customHeight="1">
      <c r="A141" s="646"/>
      <c r="B141" s="652"/>
      <c r="C141" s="648"/>
      <c r="D141" s="46" t="s">
        <v>155</v>
      </c>
      <c r="E141" s="46" t="s">
        <v>156</v>
      </c>
      <c r="F141" s="46" t="s">
        <v>157</v>
      </c>
      <c r="G141" s="46" t="s">
        <v>158</v>
      </c>
      <c r="H141" s="46" t="s">
        <v>159</v>
      </c>
      <c r="I141" s="46" t="s">
        <v>279</v>
      </c>
      <c r="J141" s="46" t="s">
        <v>160</v>
      </c>
      <c r="K141" s="635"/>
      <c r="L141" s="262"/>
      <c r="M141" s="262"/>
    </row>
    <row r="142" spans="1:13" ht="23.25" customHeight="1" thickBot="1">
      <c r="A142" s="646"/>
      <c r="B142" s="652"/>
      <c r="C142" s="648"/>
      <c r="D142" s="44"/>
      <c r="E142" s="44"/>
      <c r="F142" s="44"/>
      <c r="G142" s="44"/>
      <c r="H142" s="44"/>
      <c r="I142" s="44"/>
      <c r="J142" s="44"/>
      <c r="K142" s="259"/>
      <c r="L142" s="262"/>
      <c r="M142" s="262"/>
    </row>
    <row r="143" spans="1:13" ht="23.25" customHeight="1">
      <c r="A143" s="646">
        <v>55</v>
      </c>
      <c r="B143" s="649" t="s">
        <v>188</v>
      </c>
      <c r="C143" s="648">
        <v>670</v>
      </c>
      <c r="D143" s="46" t="s">
        <v>149</v>
      </c>
      <c r="E143" s="46" t="s">
        <v>150</v>
      </c>
      <c r="F143" s="46" t="s">
        <v>151</v>
      </c>
      <c r="G143" s="46" t="s">
        <v>152</v>
      </c>
      <c r="H143" s="46" t="s">
        <v>22</v>
      </c>
      <c r="I143" s="46" t="s">
        <v>153</v>
      </c>
      <c r="J143" s="46" t="s">
        <v>154</v>
      </c>
      <c r="K143" s="258"/>
      <c r="L143" s="262"/>
      <c r="M143" s="262"/>
    </row>
    <row r="144" spans="1:13" ht="23.25" customHeight="1">
      <c r="A144" s="646"/>
      <c r="B144" s="649"/>
      <c r="C144" s="648"/>
      <c r="D144" s="44"/>
      <c r="E144" s="44"/>
      <c r="F144" s="44"/>
      <c r="G144" s="44"/>
      <c r="H144" s="44"/>
      <c r="I144" s="44"/>
      <c r="J144" s="44"/>
      <c r="K144" s="634">
        <f>SUM(D144:J144,D146:J146)</f>
        <v>0</v>
      </c>
      <c r="L144" s="262"/>
      <c r="M144" s="262"/>
    </row>
    <row r="145" spans="1:13" ht="23.25" customHeight="1">
      <c r="A145" s="646"/>
      <c r="B145" s="649"/>
      <c r="C145" s="648"/>
      <c r="D145" s="46" t="s">
        <v>155</v>
      </c>
      <c r="E145" s="46" t="s">
        <v>156</v>
      </c>
      <c r="F145" s="46" t="s">
        <v>157</v>
      </c>
      <c r="G145" s="46" t="s">
        <v>158</v>
      </c>
      <c r="H145" s="46" t="s">
        <v>159</v>
      </c>
      <c r="I145" s="46" t="s">
        <v>279</v>
      </c>
      <c r="J145" s="46" t="s">
        <v>160</v>
      </c>
      <c r="K145" s="635"/>
      <c r="L145" s="262"/>
      <c r="M145" s="262"/>
    </row>
    <row r="146" spans="1:13" ht="23.25" customHeight="1" thickBot="1">
      <c r="A146" s="646"/>
      <c r="B146" s="649"/>
      <c r="C146" s="648"/>
      <c r="D146" s="44"/>
      <c r="E146" s="44"/>
      <c r="F146" s="44"/>
      <c r="G146" s="44"/>
      <c r="H146" s="44"/>
      <c r="I146" s="44"/>
      <c r="J146" s="44"/>
      <c r="K146" s="259"/>
      <c r="L146" s="262"/>
      <c r="M146" s="262"/>
    </row>
    <row r="147" spans="1:13" s="127" customFormat="1" ht="23.25" customHeight="1">
      <c r="A147" s="644">
        <v>57</v>
      </c>
      <c r="B147" s="644" t="s">
        <v>189</v>
      </c>
      <c r="C147" s="645">
        <v>385</v>
      </c>
      <c r="D147" s="128" t="s">
        <v>149</v>
      </c>
      <c r="E147" s="128" t="s">
        <v>150</v>
      </c>
      <c r="F147" s="128" t="s">
        <v>151</v>
      </c>
      <c r="G147" s="128" t="s">
        <v>152</v>
      </c>
      <c r="H147" s="128" t="s">
        <v>22</v>
      </c>
      <c r="I147" s="128" t="s">
        <v>153</v>
      </c>
      <c r="J147" s="128" t="s">
        <v>154</v>
      </c>
      <c r="K147" s="258"/>
      <c r="L147" s="262"/>
      <c r="M147" s="262"/>
    </row>
    <row r="148" spans="1:13" s="127" customFormat="1" ht="23.25" customHeight="1">
      <c r="A148" s="644"/>
      <c r="B148" s="644"/>
      <c r="C148" s="645"/>
      <c r="D148" s="126">
        <v>385</v>
      </c>
      <c r="E148" s="126">
        <v>385</v>
      </c>
      <c r="F148" s="126">
        <v>385</v>
      </c>
      <c r="G148" s="126">
        <v>385</v>
      </c>
      <c r="H148" s="126">
        <v>90</v>
      </c>
      <c r="I148" s="126">
        <v>385</v>
      </c>
      <c r="J148" s="126">
        <v>385</v>
      </c>
      <c r="K148" s="634">
        <f>SUM(D148:J148,D150:J150)</f>
        <v>5095</v>
      </c>
      <c r="L148" s="262"/>
      <c r="M148" s="262"/>
    </row>
    <row r="149" spans="1:13" s="127" customFormat="1" ht="23.25" customHeight="1">
      <c r="A149" s="644"/>
      <c r="B149" s="644"/>
      <c r="C149" s="645"/>
      <c r="D149" s="128" t="s">
        <v>155</v>
      </c>
      <c r="E149" s="128" t="s">
        <v>156</v>
      </c>
      <c r="F149" s="128" t="s">
        <v>157</v>
      </c>
      <c r="G149" s="128" t="s">
        <v>158</v>
      </c>
      <c r="H149" s="128" t="s">
        <v>159</v>
      </c>
      <c r="I149" s="128" t="s">
        <v>279</v>
      </c>
      <c r="J149" s="128" t="s">
        <v>160</v>
      </c>
      <c r="K149" s="635"/>
      <c r="L149" s="262"/>
      <c r="M149" s="262"/>
    </row>
    <row r="150" spans="1:13" s="127" customFormat="1" ht="23.25" customHeight="1" thickBot="1">
      <c r="A150" s="644"/>
      <c r="B150" s="644"/>
      <c r="C150" s="645"/>
      <c r="D150" s="126">
        <v>385</v>
      </c>
      <c r="E150" s="126">
        <v>385</v>
      </c>
      <c r="F150" s="126">
        <v>385</v>
      </c>
      <c r="G150" s="126">
        <v>385</v>
      </c>
      <c r="H150" s="126">
        <v>385</v>
      </c>
      <c r="I150" s="126">
        <v>385</v>
      </c>
      <c r="J150" s="126">
        <v>385</v>
      </c>
      <c r="K150" s="259"/>
      <c r="L150" s="262"/>
      <c r="M150" s="262"/>
    </row>
    <row r="151" spans="1:13" s="127" customFormat="1" ht="23.25" customHeight="1">
      <c r="A151" s="644">
        <v>60</v>
      </c>
      <c r="B151" s="644" t="s">
        <v>190</v>
      </c>
      <c r="C151" s="645">
        <v>600</v>
      </c>
      <c r="D151" s="128" t="s">
        <v>149</v>
      </c>
      <c r="E151" s="128" t="s">
        <v>150</v>
      </c>
      <c r="F151" s="128" t="s">
        <v>151</v>
      </c>
      <c r="G151" s="128" t="s">
        <v>152</v>
      </c>
      <c r="H151" s="128" t="s">
        <v>22</v>
      </c>
      <c r="I151" s="128" t="s">
        <v>153</v>
      </c>
      <c r="J151" s="128" t="s">
        <v>154</v>
      </c>
      <c r="K151" s="258"/>
      <c r="L151" s="265"/>
      <c r="M151" s="265"/>
    </row>
    <row r="152" spans="1:13" s="127" customFormat="1" ht="23.25" customHeight="1">
      <c r="A152" s="644"/>
      <c r="B152" s="644"/>
      <c r="C152" s="645"/>
      <c r="D152" s="126">
        <v>600</v>
      </c>
      <c r="E152" s="126">
        <v>600</v>
      </c>
      <c r="F152" s="126">
        <v>600</v>
      </c>
      <c r="G152" s="126">
        <v>600</v>
      </c>
      <c r="H152" s="126"/>
      <c r="I152" s="126">
        <v>300</v>
      </c>
      <c r="J152" s="126">
        <v>300</v>
      </c>
      <c r="K152" s="634">
        <f>SUM(D152:J152,D154:J154)</f>
        <v>5100</v>
      </c>
      <c r="L152" s="267"/>
      <c r="M152" s="265"/>
    </row>
    <row r="153" spans="1:13" s="127" customFormat="1" ht="23.25" customHeight="1">
      <c r="A153" s="644"/>
      <c r="B153" s="644"/>
      <c r="C153" s="645"/>
      <c r="D153" s="128" t="s">
        <v>155</v>
      </c>
      <c r="E153" s="128" t="s">
        <v>156</v>
      </c>
      <c r="F153" s="128" t="s">
        <v>157</v>
      </c>
      <c r="G153" s="128" t="s">
        <v>158</v>
      </c>
      <c r="H153" s="128" t="s">
        <v>159</v>
      </c>
      <c r="I153" s="128" t="s">
        <v>279</v>
      </c>
      <c r="J153" s="128" t="s">
        <v>160</v>
      </c>
      <c r="K153" s="635"/>
      <c r="L153" s="265"/>
      <c r="M153" s="265"/>
    </row>
    <row r="154" spans="1:13" s="127" customFormat="1" ht="23.25" customHeight="1" thickBot="1">
      <c r="A154" s="644"/>
      <c r="B154" s="644"/>
      <c r="C154" s="645"/>
      <c r="D154" s="126">
        <v>300</v>
      </c>
      <c r="E154" s="126">
        <v>300</v>
      </c>
      <c r="F154" s="126">
        <v>300</v>
      </c>
      <c r="G154" s="126">
        <v>300</v>
      </c>
      <c r="H154" s="126">
        <v>300</v>
      </c>
      <c r="I154" s="126">
        <v>300</v>
      </c>
      <c r="J154" s="126">
        <v>300</v>
      </c>
      <c r="K154" s="259"/>
      <c r="L154" s="265"/>
      <c r="M154" s="265"/>
    </row>
    <row r="155" spans="1:13" ht="23.25" customHeight="1">
      <c r="A155" s="646">
        <v>61</v>
      </c>
      <c r="B155" s="646" t="s">
        <v>191</v>
      </c>
      <c r="C155" s="648">
        <v>620</v>
      </c>
      <c r="D155" s="46" t="s">
        <v>149</v>
      </c>
      <c r="E155" s="46" t="s">
        <v>150</v>
      </c>
      <c r="F155" s="46" t="s">
        <v>151</v>
      </c>
      <c r="G155" s="46" t="s">
        <v>152</v>
      </c>
      <c r="H155" s="46" t="s">
        <v>22</v>
      </c>
      <c r="I155" s="46" t="s">
        <v>153</v>
      </c>
      <c r="J155" s="46" t="s">
        <v>154</v>
      </c>
      <c r="K155" s="258"/>
      <c r="L155" s="262"/>
      <c r="M155" s="262"/>
    </row>
    <row r="156" spans="1:13" ht="23.25" customHeight="1">
      <c r="A156" s="646"/>
      <c r="B156" s="646"/>
      <c r="C156" s="648"/>
      <c r="D156" s="44">
        <v>620</v>
      </c>
      <c r="E156" s="44">
        <v>620</v>
      </c>
      <c r="F156" s="44">
        <v>620</v>
      </c>
      <c r="G156" s="44">
        <v>620</v>
      </c>
      <c r="H156" s="44"/>
      <c r="I156" s="44">
        <v>620</v>
      </c>
      <c r="J156" s="44"/>
      <c r="K156" s="634">
        <f>SUM(D156:J156,D158:J158)</f>
        <v>3720</v>
      </c>
      <c r="L156" s="262"/>
      <c r="M156" s="262"/>
    </row>
    <row r="157" spans="1:13" ht="23.25" customHeight="1">
      <c r="A157" s="646"/>
      <c r="B157" s="646"/>
      <c r="C157" s="648"/>
      <c r="D157" s="46" t="s">
        <v>155</v>
      </c>
      <c r="E157" s="46" t="s">
        <v>156</v>
      </c>
      <c r="F157" s="46" t="s">
        <v>157</v>
      </c>
      <c r="G157" s="46" t="s">
        <v>158</v>
      </c>
      <c r="H157" s="46" t="s">
        <v>159</v>
      </c>
      <c r="I157" s="46" t="s">
        <v>279</v>
      </c>
      <c r="J157" s="46" t="s">
        <v>160</v>
      </c>
      <c r="K157" s="635"/>
      <c r="L157" s="262"/>
      <c r="M157" s="262"/>
    </row>
    <row r="158" spans="1:13" ht="23.25" customHeight="1" thickBot="1">
      <c r="A158" s="646"/>
      <c r="B158" s="646"/>
      <c r="C158" s="648"/>
      <c r="D158" s="44">
        <v>620</v>
      </c>
      <c r="E158" s="44"/>
      <c r="F158" s="44"/>
      <c r="G158" s="44"/>
      <c r="H158" s="44"/>
      <c r="I158" s="44"/>
      <c r="J158" s="44"/>
      <c r="K158" s="259"/>
      <c r="L158" s="262"/>
      <c r="M158" s="262"/>
    </row>
    <row r="159" spans="1:13" s="127" customFormat="1" ht="23.25" customHeight="1">
      <c r="A159" s="644">
        <v>64</v>
      </c>
      <c r="B159" s="644" t="s">
        <v>192</v>
      </c>
      <c r="C159" s="645">
        <v>1150</v>
      </c>
      <c r="D159" s="128" t="s">
        <v>149</v>
      </c>
      <c r="E159" s="128" t="s">
        <v>150</v>
      </c>
      <c r="F159" s="128" t="s">
        <v>151</v>
      </c>
      <c r="G159" s="128" t="s">
        <v>152</v>
      </c>
      <c r="H159" s="128" t="s">
        <v>22</v>
      </c>
      <c r="I159" s="128" t="s">
        <v>153</v>
      </c>
      <c r="J159" s="128" t="s">
        <v>154</v>
      </c>
      <c r="K159" s="258"/>
      <c r="L159" s="262"/>
      <c r="M159" s="262"/>
    </row>
    <row r="160" spans="1:13" s="127" customFormat="1" ht="23.25" customHeight="1">
      <c r="A160" s="644"/>
      <c r="B160" s="644"/>
      <c r="C160" s="645"/>
      <c r="D160" s="126">
        <v>1150</v>
      </c>
      <c r="E160" s="126">
        <v>1150</v>
      </c>
      <c r="F160" s="126">
        <v>1150</v>
      </c>
      <c r="G160" s="126">
        <v>1150</v>
      </c>
      <c r="H160" s="126">
        <v>270</v>
      </c>
      <c r="I160" s="126">
        <v>1150</v>
      </c>
      <c r="J160" s="126">
        <v>1150</v>
      </c>
      <c r="K160" s="634">
        <f>SUM(D160:J160,D162:J162)</f>
        <v>13670</v>
      </c>
      <c r="L160" s="262"/>
      <c r="M160" s="262"/>
    </row>
    <row r="161" spans="1:13" s="127" customFormat="1" ht="23.25" customHeight="1">
      <c r="A161" s="644"/>
      <c r="B161" s="644"/>
      <c r="C161" s="645"/>
      <c r="D161" s="128" t="s">
        <v>155</v>
      </c>
      <c r="E161" s="128" t="s">
        <v>156</v>
      </c>
      <c r="F161" s="128" t="s">
        <v>157</v>
      </c>
      <c r="G161" s="128" t="s">
        <v>158</v>
      </c>
      <c r="H161" s="128" t="s">
        <v>159</v>
      </c>
      <c r="I161" s="128" t="s">
        <v>279</v>
      </c>
      <c r="J161" s="128" t="s">
        <v>160</v>
      </c>
      <c r="K161" s="635"/>
      <c r="L161" s="262" t="s">
        <v>969</v>
      </c>
      <c r="M161" s="262"/>
    </row>
    <row r="162" spans="1:13" s="127" customFormat="1" ht="23.25" customHeight="1" thickBot="1">
      <c r="A162" s="644"/>
      <c r="B162" s="644"/>
      <c r="C162" s="645"/>
      <c r="D162" s="126">
        <v>1100</v>
      </c>
      <c r="E162" s="126">
        <v>1100</v>
      </c>
      <c r="F162" s="126">
        <v>1100</v>
      </c>
      <c r="G162" s="126">
        <v>1000</v>
      </c>
      <c r="H162" s="126">
        <v>1100</v>
      </c>
      <c r="I162" s="126"/>
      <c r="J162" s="126">
        <v>1100</v>
      </c>
      <c r="K162" s="259"/>
      <c r="L162" s="262"/>
      <c r="M162" s="262"/>
    </row>
    <row r="163" spans="1:13" s="222" customFormat="1" ht="23.25" customHeight="1">
      <c r="A163" s="636">
        <v>65</v>
      </c>
      <c r="B163" s="636" t="s">
        <v>193</v>
      </c>
      <c r="C163" s="637">
        <v>3190</v>
      </c>
      <c r="D163" s="221" t="s">
        <v>149</v>
      </c>
      <c r="E163" s="221" t="s">
        <v>150</v>
      </c>
      <c r="F163" s="221" t="s">
        <v>151</v>
      </c>
      <c r="G163" s="221" t="s">
        <v>152</v>
      </c>
      <c r="H163" s="221" t="s">
        <v>22</v>
      </c>
      <c r="I163" s="221" t="s">
        <v>153</v>
      </c>
      <c r="J163" s="221" t="s">
        <v>154</v>
      </c>
      <c r="K163" s="258"/>
      <c r="L163" s="262"/>
      <c r="M163" s="262"/>
    </row>
    <row r="164" spans="1:13" s="222" customFormat="1" ht="24" customHeight="1">
      <c r="A164" s="636"/>
      <c r="B164" s="636"/>
      <c r="C164" s="637"/>
      <c r="D164" s="223"/>
      <c r="E164" s="223">
        <v>3190</v>
      </c>
      <c r="F164" s="223">
        <v>-3190</v>
      </c>
      <c r="G164" s="223">
        <v>3190</v>
      </c>
      <c r="H164" s="223">
        <v>-180</v>
      </c>
      <c r="I164" s="223">
        <v>3190</v>
      </c>
      <c r="J164" s="223">
        <v>3190</v>
      </c>
      <c r="K164" s="634">
        <f>SUM(D164:J164,D166:J166)</f>
        <v>28830</v>
      </c>
      <c r="L164" s="262"/>
      <c r="M164" s="262"/>
    </row>
    <row r="165" spans="1:13" s="222" customFormat="1" ht="23.25" customHeight="1">
      <c r="A165" s="636"/>
      <c r="B165" s="636"/>
      <c r="C165" s="637"/>
      <c r="D165" s="221" t="s">
        <v>155</v>
      </c>
      <c r="E165" s="221" t="s">
        <v>156</v>
      </c>
      <c r="F165" s="221" t="s">
        <v>157</v>
      </c>
      <c r="G165" s="221" t="s">
        <v>158</v>
      </c>
      <c r="H165" s="221" t="s">
        <v>159</v>
      </c>
      <c r="I165" s="221" t="s">
        <v>279</v>
      </c>
      <c r="J165" s="221" t="s">
        <v>160</v>
      </c>
      <c r="K165" s="635"/>
      <c r="L165" s="262" t="s">
        <v>970</v>
      </c>
      <c r="M165" s="262"/>
    </row>
    <row r="166" spans="1:13" s="222" customFormat="1" ht="23.25" customHeight="1" thickBot="1">
      <c r="A166" s="636"/>
      <c r="B166" s="636"/>
      <c r="C166" s="637"/>
      <c r="D166" s="223">
        <v>3190</v>
      </c>
      <c r="E166" s="223">
        <v>3190</v>
      </c>
      <c r="F166" s="223">
        <v>3370</v>
      </c>
      <c r="G166" s="223">
        <v>3230</v>
      </c>
      <c r="H166" s="223">
        <v>3230</v>
      </c>
      <c r="I166" s="223">
        <v>3230</v>
      </c>
      <c r="J166" s="223"/>
      <c r="K166" s="259"/>
      <c r="L166" s="262"/>
      <c r="M166" s="262"/>
    </row>
    <row r="167" spans="1:13" ht="23.25" customHeight="1">
      <c r="A167" s="646">
        <v>66</v>
      </c>
      <c r="B167" s="652" t="s">
        <v>194</v>
      </c>
      <c r="C167" s="648">
        <v>1265</v>
      </c>
      <c r="D167" s="46" t="s">
        <v>149</v>
      </c>
      <c r="E167" s="46" t="s">
        <v>150</v>
      </c>
      <c r="F167" s="46" t="s">
        <v>151</v>
      </c>
      <c r="G167" s="46" t="s">
        <v>152</v>
      </c>
      <c r="H167" s="46" t="s">
        <v>22</v>
      </c>
      <c r="I167" s="46" t="s">
        <v>153</v>
      </c>
      <c r="J167" s="46" t="s">
        <v>154</v>
      </c>
      <c r="K167" s="258"/>
      <c r="L167" s="262"/>
      <c r="M167" s="262"/>
    </row>
    <row r="168" spans="1:13" ht="23.25" customHeight="1">
      <c r="A168" s="646"/>
      <c r="B168" s="652"/>
      <c r="C168" s="648"/>
      <c r="D168" s="44"/>
      <c r="E168" s="44"/>
      <c r="F168" s="44"/>
      <c r="G168" s="44"/>
      <c r="H168" s="44"/>
      <c r="I168" s="44"/>
      <c r="J168" s="44"/>
      <c r="K168" s="634">
        <f>SUM(D168:J168,D170:J170)</f>
        <v>0</v>
      </c>
      <c r="L168" s="262"/>
      <c r="M168" s="262"/>
    </row>
    <row r="169" spans="1:13" ht="23.25" customHeight="1">
      <c r="A169" s="646"/>
      <c r="B169" s="652"/>
      <c r="C169" s="648"/>
      <c r="D169" s="46" t="s">
        <v>155</v>
      </c>
      <c r="E169" s="46" t="s">
        <v>156</v>
      </c>
      <c r="F169" s="46" t="s">
        <v>157</v>
      </c>
      <c r="G169" s="46" t="s">
        <v>158</v>
      </c>
      <c r="H169" s="46" t="s">
        <v>159</v>
      </c>
      <c r="I169" s="46" t="s">
        <v>279</v>
      </c>
      <c r="J169" s="46" t="s">
        <v>160</v>
      </c>
      <c r="K169" s="635"/>
      <c r="L169" s="262"/>
      <c r="M169" s="262"/>
    </row>
    <row r="170" spans="1:13" ht="23.25" customHeight="1" thickBot="1">
      <c r="A170" s="646"/>
      <c r="B170" s="652"/>
      <c r="C170" s="648"/>
      <c r="D170" s="44"/>
      <c r="E170" s="44"/>
      <c r="F170" s="44"/>
      <c r="G170" s="44"/>
      <c r="H170" s="44"/>
      <c r="I170" s="44"/>
      <c r="J170" s="44"/>
      <c r="K170" s="259"/>
      <c r="L170" s="262"/>
      <c r="M170" s="262"/>
    </row>
    <row r="171" spans="1:13" s="224" customFormat="1" ht="23.25" customHeight="1">
      <c r="A171" s="650">
        <v>69</v>
      </c>
      <c r="B171" s="650" t="s">
        <v>195</v>
      </c>
      <c r="C171" s="651">
        <v>1265</v>
      </c>
      <c r="D171" s="225" t="s">
        <v>149</v>
      </c>
      <c r="E171" s="225" t="s">
        <v>150</v>
      </c>
      <c r="F171" s="225" t="s">
        <v>151</v>
      </c>
      <c r="G171" s="225" t="s">
        <v>152</v>
      </c>
      <c r="H171" s="225" t="s">
        <v>22</v>
      </c>
      <c r="I171" s="225" t="s">
        <v>153</v>
      </c>
      <c r="J171" s="225" t="s">
        <v>154</v>
      </c>
      <c r="K171" s="258"/>
      <c r="L171" s="262"/>
      <c r="M171" s="262"/>
    </row>
    <row r="172" spans="1:13" s="224" customFormat="1" ht="23.25" customHeight="1">
      <c r="A172" s="650"/>
      <c r="B172" s="650"/>
      <c r="C172" s="651"/>
      <c r="D172" s="226">
        <v>1265</v>
      </c>
      <c r="E172" s="226">
        <v>1265</v>
      </c>
      <c r="F172" s="226">
        <v>1265</v>
      </c>
      <c r="G172" s="226">
        <v>1265</v>
      </c>
      <c r="H172" s="226">
        <v>-180</v>
      </c>
      <c r="I172" s="226"/>
      <c r="J172" s="226"/>
      <c r="K172" s="634">
        <f>SUM(D172:J172,D174:J174)</f>
        <v>12470</v>
      </c>
      <c r="L172" s="262"/>
      <c r="M172" s="262"/>
    </row>
    <row r="173" spans="1:13" s="224" customFormat="1" ht="23.25" customHeight="1">
      <c r="A173" s="650"/>
      <c r="B173" s="650"/>
      <c r="C173" s="651"/>
      <c r="D173" s="225" t="s">
        <v>155</v>
      </c>
      <c r="E173" s="225" t="s">
        <v>156</v>
      </c>
      <c r="F173" s="225" t="s">
        <v>157</v>
      </c>
      <c r="G173" s="225" t="s">
        <v>158</v>
      </c>
      <c r="H173" s="225" t="s">
        <v>159</v>
      </c>
      <c r="I173" s="225" t="s">
        <v>279</v>
      </c>
      <c r="J173" s="225" t="s">
        <v>160</v>
      </c>
      <c r="K173" s="635"/>
      <c r="L173" s="262" t="s">
        <v>971</v>
      </c>
      <c r="M173" s="262"/>
    </row>
    <row r="174" spans="1:13" s="224" customFormat="1" ht="23.25" customHeight="1" thickBot="1">
      <c r="A174" s="650"/>
      <c r="B174" s="650"/>
      <c r="C174" s="651"/>
      <c r="D174" s="226">
        <v>1265</v>
      </c>
      <c r="E174" s="226">
        <v>1265</v>
      </c>
      <c r="F174" s="226">
        <v>1265</v>
      </c>
      <c r="G174" s="226"/>
      <c r="H174" s="226">
        <v>1265</v>
      </c>
      <c r="I174" s="226">
        <v>1265</v>
      </c>
      <c r="J174" s="226">
        <v>1265</v>
      </c>
      <c r="K174" s="259"/>
      <c r="L174" s="262"/>
      <c r="M174" s="262"/>
    </row>
    <row r="175" spans="1:13" s="127" customFormat="1" ht="23.25" customHeight="1">
      <c r="A175" s="644">
        <v>72</v>
      </c>
      <c r="B175" s="644" t="s">
        <v>196</v>
      </c>
      <c r="C175" s="645">
        <v>475</v>
      </c>
      <c r="D175" s="128" t="s">
        <v>149</v>
      </c>
      <c r="E175" s="128" t="s">
        <v>150</v>
      </c>
      <c r="F175" s="128" t="s">
        <v>151</v>
      </c>
      <c r="G175" s="128" t="s">
        <v>152</v>
      </c>
      <c r="H175" s="128" t="s">
        <v>22</v>
      </c>
      <c r="I175" s="128" t="s">
        <v>153</v>
      </c>
      <c r="J175" s="128" t="s">
        <v>154</v>
      </c>
      <c r="K175" s="258"/>
      <c r="L175" s="262"/>
      <c r="M175" s="262"/>
    </row>
    <row r="176" spans="1:13" s="127" customFormat="1" ht="23.25" customHeight="1">
      <c r="A176" s="644"/>
      <c r="B176" s="644"/>
      <c r="C176" s="645"/>
      <c r="D176" s="126">
        <v>475</v>
      </c>
      <c r="E176" s="126">
        <v>475</v>
      </c>
      <c r="F176" s="126">
        <v>475</v>
      </c>
      <c r="G176" s="126">
        <v>475</v>
      </c>
      <c r="H176" s="126">
        <v>-180</v>
      </c>
      <c r="I176" s="126">
        <v>475</v>
      </c>
      <c r="J176" s="126">
        <v>475</v>
      </c>
      <c r="K176" s="634">
        <f>SUM(D176:J176,D178:J178)</f>
        <v>5980</v>
      </c>
      <c r="L176" s="262"/>
      <c r="M176" s="262"/>
    </row>
    <row r="177" spans="1:13" s="127" customFormat="1" ht="23.25" customHeight="1">
      <c r="A177" s="644"/>
      <c r="B177" s="644"/>
      <c r="C177" s="645"/>
      <c r="D177" s="128" t="s">
        <v>155</v>
      </c>
      <c r="E177" s="128" t="s">
        <v>156</v>
      </c>
      <c r="F177" s="128" t="s">
        <v>157</v>
      </c>
      <c r="G177" s="128" t="s">
        <v>158</v>
      </c>
      <c r="H177" s="128" t="s">
        <v>159</v>
      </c>
      <c r="I177" s="128" t="s">
        <v>279</v>
      </c>
      <c r="J177" s="128" t="s">
        <v>160</v>
      </c>
      <c r="K177" s="635"/>
      <c r="L177" s="262"/>
      <c r="M177" s="262"/>
    </row>
    <row r="178" spans="1:13" s="127" customFormat="1" ht="23.25" customHeight="1" thickBot="1">
      <c r="A178" s="644"/>
      <c r="B178" s="644"/>
      <c r="C178" s="645"/>
      <c r="D178" s="126">
        <v>475</v>
      </c>
      <c r="E178" s="126">
        <v>475</v>
      </c>
      <c r="F178" s="126">
        <v>475</v>
      </c>
      <c r="G178" s="126">
        <v>470</v>
      </c>
      <c r="H178" s="126">
        <v>470</v>
      </c>
      <c r="I178" s="126">
        <v>470</v>
      </c>
      <c r="J178" s="126">
        <v>475</v>
      </c>
      <c r="K178" s="259"/>
      <c r="L178" s="262"/>
      <c r="M178" s="262"/>
    </row>
    <row r="179" spans="1:13" s="127" customFormat="1" ht="23.25" customHeight="1">
      <c r="A179" s="644">
        <v>74</v>
      </c>
      <c r="B179" s="644" t="s">
        <v>197</v>
      </c>
      <c r="C179" s="645">
        <v>800</v>
      </c>
      <c r="D179" s="128" t="s">
        <v>149</v>
      </c>
      <c r="E179" s="128" t="s">
        <v>150</v>
      </c>
      <c r="F179" s="128" t="s">
        <v>151</v>
      </c>
      <c r="G179" s="128" t="s">
        <v>152</v>
      </c>
      <c r="H179" s="128" t="s">
        <v>22</v>
      </c>
      <c r="I179" s="128" t="s">
        <v>153</v>
      </c>
      <c r="J179" s="128" t="s">
        <v>154</v>
      </c>
      <c r="K179" s="258"/>
      <c r="L179" s="262"/>
      <c r="M179" s="262"/>
    </row>
    <row r="180" spans="1:13" s="127" customFormat="1" ht="23.25" customHeight="1">
      <c r="A180" s="644"/>
      <c r="B180" s="644"/>
      <c r="C180" s="645"/>
      <c r="D180" s="126">
        <v>800</v>
      </c>
      <c r="E180" s="126">
        <v>800</v>
      </c>
      <c r="F180" s="126">
        <v>800</v>
      </c>
      <c r="G180" s="126">
        <v>800</v>
      </c>
      <c r="H180" s="126">
        <v>90</v>
      </c>
      <c r="I180" s="126">
        <v>800</v>
      </c>
      <c r="J180" s="126">
        <v>800</v>
      </c>
      <c r="K180" s="634">
        <f>SUM(D180:J180,D182:J182)</f>
        <v>10490</v>
      </c>
      <c r="L180" s="262"/>
      <c r="M180" s="262"/>
    </row>
    <row r="181" spans="1:13" s="127" customFormat="1" ht="23.25" customHeight="1">
      <c r="A181" s="644"/>
      <c r="B181" s="644"/>
      <c r="C181" s="645"/>
      <c r="D181" s="128" t="s">
        <v>155</v>
      </c>
      <c r="E181" s="128" t="s">
        <v>156</v>
      </c>
      <c r="F181" s="128" t="s">
        <v>157</v>
      </c>
      <c r="G181" s="128" t="s">
        <v>158</v>
      </c>
      <c r="H181" s="128" t="s">
        <v>159</v>
      </c>
      <c r="I181" s="128" t="s">
        <v>279</v>
      </c>
      <c r="J181" s="128" t="s">
        <v>160</v>
      </c>
      <c r="K181" s="635"/>
      <c r="L181" s="262"/>
      <c r="M181" s="262"/>
    </row>
    <row r="182" spans="1:13" s="127" customFormat="1" ht="23.25" customHeight="1" thickBot="1">
      <c r="A182" s="644"/>
      <c r="B182" s="644"/>
      <c r="C182" s="645"/>
      <c r="D182" s="126">
        <v>800</v>
      </c>
      <c r="E182" s="126">
        <v>800</v>
      </c>
      <c r="F182" s="126">
        <v>800</v>
      </c>
      <c r="G182" s="126">
        <v>800</v>
      </c>
      <c r="H182" s="126">
        <v>800</v>
      </c>
      <c r="I182" s="126">
        <v>800</v>
      </c>
      <c r="J182" s="126">
        <v>800</v>
      </c>
      <c r="K182" s="259"/>
      <c r="L182" s="262"/>
      <c r="M182" s="262"/>
    </row>
    <row r="183" spans="1:13" s="127" customFormat="1" ht="23.25" customHeight="1">
      <c r="A183" s="644">
        <v>75</v>
      </c>
      <c r="B183" s="644" t="s">
        <v>198</v>
      </c>
      <c r="C183" s="645">
        <v>220</v>
      </c>
      <c r="D183" s="128" t="s">
        <v>149</v>
      </c>
      <c r="E183" s="128" t="s">
        <v>150</v>
      </c>
      <c r="F183" s="128" t="s">
        <v>151</v>
      </c>
      <c r="G183" s="128" t="s">
        <v>152</v>
      </c>
      <c r="H183" s="128" t="s">
        <v>22</v>
      </c>
      <c r="I183" s="128" t="s">
        <v>153</v>
      </c>
      <c r="J183" s="128" t="s">
        <v>154</v>
      </c>
      <c r="K183" s="258"/>
      <c r="L183" s="262"/>
      <c r="M183" s="262"/>
    </row>
    <row r="184" spans="1:13" s="127" customFormat="1" ht="23.25" customHeight="1">
      <c r="A184" s="644"/>
      <c r="B184" s="644"/>
      <c r="C184" s="645"/>
      <c r="D184" s="126">
        <v>220</v>
      </c>
      <c r="E184" s="126">
        <v>220</v>
      </c>
      <c r="F184" s="126">
        <v>220</v>
      </c>
      <c r="G184" s="126">
        <v>220</v>
      </c>
      <c r="H184" s="126"/>
      <c r="I184" s="126">
        <v>220</v>
      </c>
      <c r="J184" s="126">
        <v>220</v>
      </c>
      <c r="K184" s="634">
        <f>SUM(D184:J184,D186:J186)</f>
        <v>2640</v>
      </c>
      <c r="L184" s="262"/>
      <c r="M184" s="262"/>
    </row>
    <row r="185" spans="1:13" s="127" customFormat="1" ht="23.25" customHeight="1">
      <c r="A185" s="644"/>
      <c r="B185" s="644"/>
      <c r="C185" s="645"/>
      <c r="D185" s="128" t="s">
        <v>155</v>
      </c>
      <c r="E185" s="128" t="s">
        <v>156</v>
      </c>
      <c r="F185" s="128" t="s">
        <v>157</v>
      </c>
      <c r="G185" s="128" t="s">
        <v>158</v>
      </c>
      <c r="H185" s="128" t="s">
        <v>159</v>
      </c>
      <c r="I185" s="128" t="s">
        <v>279</v>
      </c>
      <c r="J185" s="128" t="s">
        <v>160</v>
      </c>
      <c r="K185" s="635"/>
      <c r="L185" s="262"/>
      <c r="M185" s="262"/>
    </row>
    <row r="186" spans="1:13" s="127" customFormat="1" ht="23.25" customHeight="1" thickBot="1">
      <c r="A186" s="644"/>
      <c r="B186" s="644"/>
      <c r="C186" s="645"/>
      <c r="D186" s="126">
        <v>220</v>
      </c>
      <c r="E186" s="126">
        <v>220</v>
      </c>
      <c r="F186" s="126">
        <v>220</v>
      </c>
      <c r="G186" s="126">
        <v>220</v>
      </c>
      <c r="H186" s="126">
        <v>220</v>
      </c>
      <c r="I186" s="126"/>
      <c r="J186" s="126">
        <v>220</v>
      </c>
      <c r="K186" s="259"/>
      <c r="L186" s="262"/>
      <c r="M186" s="262"/>
    </row>
    <row r="187" spans="1:13" ht="23.25" customHeight="1">
      <c r="A187" s="646">
        <v>77</v>
      </c>
      <c r="B187" s="646" t="s">
        <v>199</v>
      </c>
      <c r="C187" s="648">
        <v>605</v>
      </c>
      <c r="D187" s="46" t="s">
        <v>149</v>
      </c>
      <c r="E187" s="46" t="s">
        <v>150</v>
      </c>
      <c r="F187" s="46" t="s">
        <v>151</v>
      </c>
      <c r="G187" s="46" t="s">
        <v>152</v>
      </c>
      <c r="H187" s="46" t="s">
        <v>22</v>
      </c>
      <c r="I187" s="46" t="s">
        <v>153</v>
      </c>
      <c r="J187" s="46" t="s">
        <v>154</v>
      </c>
      <c r="K187" s="258"/>
      <c r="L187" s="262"/>
      <c r="M187" s="262"/>
    </row>
    <row r="188" spans="1:13" ht="23.25" customHeight="1">
      <c r="A188" s="646"/>
      <c r="B188" s="646"/>
      <c r="C188" s="648"/>
      <c r="D188" s="44">
        <v>605</v>
      </c>
      <c r="E188" s="44">
        <v>605</v>
      </c>
      <c r="F188" s="44">
        <v>605</v>
      </c>
      <c r="G188" s="44">
        <v>605</v>
      </c>
      <c r="H188" s="44">
        <v>270</v>
      </c>
      <c r="I188" s="44">
        <v>605</v>
      </c>
      <c r="J188" s="44">
        <v>605</v>
      </c>
      <c r="K188" s="634">
        <f>SUM(D188:J188,D190:J190)</f>
        <v>8135</v>
      </c>
      <c r="L188" s="262"/>
      <c r="M188" s="262" t="s">
        <v>392</v>
      </c>
    </row>
    <row r="189" spans="1:13" ht="23.25" customHeight="1">
      <c r="A189" s="646"/>
      <c r="B189" s="646"/>
      <c r="C189" s="648"/>
      <c r="D189" s="46" t="s">
        <v>155</v>
      </c>
      <c r="E189" s="46" t="s">
        <v>156</v>
      </c>
      <c r="F189" s="46" t="s">
        <v>157</v>
      </c>
      <c r="G189" s="46" t="s">
        <v>158</v>
      </c>
      <c r="H189" s="46" t="s">
        <v>159</v>
      </c>
      <c r="I189" s="46" t="s">
        <v>279</v>
      </c>
      <c r="J189" s="46" t="s">
        <v>160</v>
      </c>
      <c r="K189" s="635"/>
      <c r="L189" s="262"/>
      <c r="M189" s="262"/>
    </row>
    <row r="190" spans="1:13" ht="23.25" customHeight="1" thickBot="1">
      <c r="A190" s="646"/>
      <c r="B190" s="646"/>
      <c r="C190" s="648"/>
      <c r="D190" s="44">
        <v>726</v>
      </c>
      <c r="E190" s="44">
        <v>726</v>
      </c>
      <c r="F190" s="44">
        <v>726</v>
      </c>
      <c r="G190" s="44">
        <v>726</v>
      </c>
      <c r="H190" s="44">
        <v>726</v>
      </c>
      <c r="I190" s="44" t="s">
        <v>998</v>
      </c>
      <c r="J190" s="44">
        <v>605</v>
      </c>
      <c r="K190" s="259"/>
      <c r="L190" s="262"/>
      <c r="M190" s="262"/>
    </row>
    <row r="191" spans="1:13" s="127" customFormat="1" ht="23.25" customHeight="1">
      <c r="A191" s="644">
        <v>79</v>
      </c>
      <c r="B191" s="644" t="s">
        <v>200</v>
      </c>
      <c r="C191" s="645">
        <v>1735</v>
      </c>
      <c r="D191" s="128" t="s">
        <v>149</v>
      </c>
      <c r="E191" s="128" t="s">
        <v>150</v>
      </c>
      <c r="F191" s="128" t="s">
        <v>151</v>
      </c>
      <c r="G191" s="128" t="s">
        <v>152</v>
      </c>
      <c r="H191" s="128" t="s">
        <v>22</v>
      </c>
      <c r="I191" s="128" t="s">
        <v>153</v>
      </c>
      <c r="J191" s="128" t="s">
        <v>154</v>
      </c>
      <c r="K191" s="258"/>
      <c r="L191" s="262"/>
      <c r="M191" s="262"/>
    </row>
    <row r="192" spans="1:13" s="127" customFormat="1" ht="23.25" customHeight="1">
      <c r="A192" s="644"/>
      <c r="B192" s="644"/>
      <c r="C192" s="645"/>
      <c r="D192" s="126">
        <v>1735</v>
      </c>
      <c r="E192" s="126">
        <v>1735</v>
      </c>
      <c r="F192" s="126">
        <v>1735</v>
      </c>
      <c r="G192" s="126">
        <v>1735</v>
      </c>
      <c r="H192" s="126"/>
      <c r="I192" s="126">
        <v>1735</v>
      </c>
      <c r="J192" s="126">
        <v>1735</v>
      </c>
      <c r="K192" s="634">
        <f>SUM(D192:J192,D194:J194)</f>
        <v>22555</v>
      </c>
      <c r="L192" s="262"/>
      <c r="M192" s="262"/>
    </row>
    <row r="193" spans="1:13" s="127" customFormat="1" ht="23.25" customHeight="1">
      <c r="A193" s="644"/>
      <c r="B193" s="644"/>
      <c r="C193" s="645"/>
      <c r="D193" s="128" t="s">
        <v>155</v>
      </c>
      <c r="E193" s="128" t="s">
        <v>156</v>
      </c>
      <c r="F193" s="128" t="s">
        <v>157</v>
      </c>
      <c r="G193" s="128" t="s">
        <v>158</v>
      </c>
      <c r="H193" s="128" t="s">
        <v>159</v>
      </c>
      <c r="I193" s="128" t="s">
        <v>279</v>
      </c>
      <c r="J193" s="128" t="s">
        <v>160</v>
      </c>
      <c r="K193" s="635"/>
      <c r="L193" s="262"/>
      <c r="M193" s="262"/>
    </row>
    <row r="194" spans="1:13" s="127" customFormat="1" ht="23.25" customHeight="1" thickBot="1">
      <c r="A194" s="644"/>
      <c r="B194" s="644"/>
      <c r="C194" s="645"/>
      <c r="D194" s="126">
        <v>1735</v>
      </c>
      <c r="E194" s="126">
        <v>1735</v>
      </c>
      <c r="F194" s="126">
        <v>1735</v>
      </c>
      <c r="G194" s="126">
        <v>1735</v>
      </c>
      <c r="H194" s="126">
        <v>1735</v>
      </c>
      <c r="I194" s="126">
        <v>1735</v>
      </c>
      <c r="J194" s="126">
        <v>1735</v>
      </c>
      <c r="K194" s="259"/>
      <c r="L194" s="262"/>
      <c r="M194" s="262"/>
    </row>
    <row r="195" spans="1:13" s="127" customFormat="1" ht="23.25" customHeight="1">
      <c r="A195" s="644">
        <v>80</v>
      </c>
      <c r="B195" s="644" t="s">
        <v>201</v>
      </c>
      <c r="C195" s="645">
        <v>620</v>
      </c>
      <c r="D195" s="128" t="s">
        <v>149</v>
      </c>
      <c r="E195" s="128" t="s">
        <v>150</v>
      </c>
      <c r="F195" s="128" t="s">
        <v>151</v>
      </c>
      <c r="G195" s="128" t="s">
        <v>152</v>
      </c>
      <c r="H195" s="128" t="s">
        <v>22</v>
      </c>
      <c r="I195" s="128" t="s">
        <v>153</v>
      </c>
      <c r="J195" s="128" t="s">
        <v>154</v>
      </c>
      <c r="K195" s="258"/>
      <c r="L195" s="262"/>
      <c r="M195" s="262"/>
    </row>
    <row r="196" spans="1:13" s="127" customFormat="1" ht="23.25" customHeight="1">
      <c r="A196" s="644"/>
      <c r="B196" s="644"/>
      <c r="C196" s="645"/>
      <c r="D196" s="126">
        <v>620</v>
      </c>
      <c r="E196" s="126">
        <v>720</v>
      </c>
      <c r="F196" s="126">
        <v>620</v>
      </c>
      <c r="G196" s="126">
        <v>620</v>
      </c>
      <c r="H196" s="126"/>
      <c r="I196" s="126">
        <v>620</v>
      </c>
      <c r="J196" s="126">
        <v>620</v>
      </c>
      <c r="K196" s="634">
        <f>SUM(D196:J196,D198:J198)</f>
        <v>8160</v>
      </c>
      <c r="L196" s="262"/>
      <c r="M196" s="262"/>
    </row>
    <row r="197" spans="1:13" s="127" customFormat="1" ht="23.25" customHeight="1">
      <c r="A197" s="644"/>
      <c r="B197" s="644"/>
      <c r="C197" s="645"/>
      <c r="D197" s="128" t="s">
        <v>155</v>
      </c>
      <c r="E197" s="128" t="s">
        <v>156</v>
      </c>
      <c r="F197" s="128" t="s">
        <v>157</v>
      </c>
      <c r="G197" s="128" t="s">
        <v>158</v>
      </c>
      <c r="H197" s="128" t="s">
        <v>159</v>
      </c>
      <c r="I197" s="128" t="s">
        <v>279</v>
      </c>
      <c r="J197" s="128" t="s">
        <v>160</v>
      </c>
      <c r="K197" s="635"/>
      <c r="L197" s="262"/>
      <c r="M197" s="262"/>
    </row>
    <row r="198" spans="1:13" s="127" customFormat="1" ht="23.25" customHeight="1" thickBot="1">
      <c r="A198" s="644"/>
      <c r="B198" s="644"/>
      <c r="C198" s="645"/>
      <c r="D198" s="126">
        <v>620</v>
      </c>
      <c r="E198" s="126">
        <v>620</v>
      </c>
      <c r="F198" s="126">
        <v>620</v>
      </c>
      <c r="G198" s="126">
        <v>620</v>
      </c>
      <c r="H198" s="126">
        <v>620</v>
      </c>
      <c r="I198" s="126">
        <v>620</v>
      </c>
      <c r="J198" s="126">
        <v>620</v>
      </c>
      <c r="K198" s="259"/>
      <c r="L198" s="262"/>
      <c r="M198" s="262"/>
    </row>
    <row r="199" spans="1:13" s="127" customFormat="1" ht="23.25" customHeight="1">
      <c r="A199" s="644">
        <v>82</v>
      </c>
      <c r="B199" s="644" t="s">
        <v>202</v>
      </c>
      <c r="C199" s="645">
        <v>510</v>
      </c>
      <c r="D199" s="128" t="s">
        <v>149</v>
      </c>
      <c r="E199" s="128" t="s">
        <v>150</v>
      </c>
      <c r="F199" s="128" t="s">
        <v>151</v>
      </c>
      <c r="G199" s="128" t="s">
        <v>152</v>
      </c>
      <c r="H199" s="128" t="s">
        <v>22</v>
      </c>
      <c r="I199" s="128" t="s">
        <v>153</v>
      </c>
      <c r="J199" s="128" t="s">
        <v>154</v>
      </c>
      <c r="K199" s="258"/>
      <c r="L199" s="262"/>
      <c r="M199" s="262"/>
    </row>
    <row r="200" spans="1:13" s="127" customFormat="1" ht="23.25" customHeight="1">
      <c r="A200" s="644"/>
      <c r="B200" s="644"/>
      <c r="C200" s="645"/>
      <c r="D200" s="126">
        <v>510</v>
      </c>
      <c r="E200" s="126">
        <v>510</v>
      </c>
      <c r="F200" s="126">
        <v>685</v>
      </c>
      <c r="G200" s="126">
        <v>510</v>
      </c>
      <c r="H200" s="126">
        <v>180</v>
      </c>
      <c r="I200" s="126">
        <v>510</v>
      </c>
      <c r="J200" s="126">
        <v>510</v>
      </c>
      <c r="K200" s="634">
        <f>SUM(D200:J200,D202:J202)</f>
        <v>6985</v>
      </c>
      <c r="L200" s="262"/>
      <c r="M200" s="262"/>
    </row>
    <row r="201" spans="1:13" s="127" customFormat="1" ht="23.25" customHeight="1">
      <c r="A201" s="644"/>
      <c r="B201" s="644"/>
      <c r="C201" s="645"/>
      <c r="D201" s="128" t="s">
        <v>155</v>
      </c>
      <c r="E201" s="128" t="s">
        <v>156</v>
      </c>
      <c r="F201" s="128" t="s">
        <v>157</v>
      </c>
      <c r="G201" s="128" t="s">
        <v>158</v>
      </c>
      <c r="H201" s="128" t="s">
        <v>159</v>
      </c>
      <c r="I201" s="128" t="s">
        <v>279</v>
      </c>
      <c r="J201" s="128" t="s">
        <v>160</v>
      </c>
      <c r="K201" s="635"/>
      <c r="L201" s="262"/>
      <c r="M201" s="262"/>
    </row>
    <row r="202" spans="1:13" s="127" customFormat="1" ht="23.25" customHeight="1" thickBot="1">
      <c r="A202" s="644"/>
      <c r="B202" s="644"/>
      <c r="C202" s="645"/>
      <c r="D202" s="126">
        <v>510</v>
      </c>
      <c r="E202" s="126">
        <v>510</v>
      </c>
      <c r="F202" s="126">
        <v>510</v>
      </c>
      <c r="G202" s="126">
        <v>510</v>
      </c>
      <c r="H202" s="126">
        <v>510</v>
      </c>
      <c r="I202" s="126">
        <v>510</v>
      </c>
      <c r="J202" s="126">
        <v>510</v>
      </c>
      <c r="K202" s="259"/>
      <c r="L202" s="262"/>
      <c r="M202" s="262"/>
    </row>
    <row r="203" spans="1:13" ht="23.25" customHeight="1">
      <c r="A203" s="646">
        <v>85</v>
      </c>
      <c r="B203" s="646" t="s">
        <v>203</v>
      </c>
      <c r="C203" s="648">
        <v>3960</v>
      </c>
      <c r="D203" s="46" t="s">
        <v>149</v>
      </c>
      <c r="E203" s="46" t="s">
        <v>150</v>
      </c>
      <c r="F203" s="46" t="s">
        <v>151</v>
      </c>
      <c r="G203" s="46" t="s">
        <v>152</v>
      </c>
      <c r="H203" s="46" t="s">
        <v>22</v>
      </c>
      <c r="I203" s="46" t="s">
        <v>153</v>
      </c>
      <c r="J203" s="46" t="s">
        <v>154</v>
      </c>
      <c r="K203" s="258"/>
      <c r="L203" s="262"/>
      <c r="M203" s="262"/>
    </row>
    <row r="204" spans="1:13" ht="23.25" customHeight="1">
      <c r="A204" s="646"/>
      <c r="B204" s="646"/>
      <c r="C204" s="648"/>
      <c r="D204" s="44">
        <v>3960</v>
      </c>
      <c r="E204" s="44">
        <v>3960</v>
      </c>
      <c r="F204" s="44">
        <v>3960</v>
      </c>
      <c r="G204" s="44">
        <v>3960</v>
      </c>
      <c r="H204" s="44"/>
      <c r="I204" s="44">
        <v>3960</v>
      </c>
      <c r="J204" s="44">
        <v>4050</v>
      </c>
      <c r="K204" s="634">
        <f>SUM(D204:J204,D206:J206)</f>
        <v>43650</v>
      </c>
      <c r="L204" s="262"/>
      <c r="M204" s="262"/>
    </row>
    <row r="205" spans="1:13" ht="23.25" customHeight="1">
      <c r="A205" s="646"/>
      <c r="B205" s="646"/>
      <c r="C205" s="648"/>
      <c r="D205" s="46" t="s">
        <v>155</v>
      </c>
      <c r="E205" s="46" t="s">
        <v>156</v>
      </c>
      <c r="F205" s="46" t="s">
        <v>157</v>
      </c>
      <c r="G205" s="46" t="s">
        <v>158</v>
      </c>
      <c r="H205" s="46" t="s">
        <v>159</v>
      </c>
      <c r="I205" s="46" t="s">
        <v>279</v>
      </c>
      <c r="J205" s="46" t="s">
        <v>160</v>
      </c>
      <c r="K205" s="635"/>
      <c r="L205" s="262"/>
      <c r="M205" s="262"/>
    </row>
    <row r="206" spans="1:13" ht="23.25" customHeight="1" thickBot="1">
      <c r="A206" s="646"/>
      <c r="B206" s="646"/>
      <c r="C206" s="648"/>
      <c r="D206" s="44">
        <v>3960</v>
      </c>
      <c r="E206" s="44"/>
      <c r="F206" s="44">
        <v>3960</v>
      </c>
      <c r="G206" s="44">
        <v>3960</v>
      </c>
      <c r="H206" s="44">
        <v>3960</v>
      </c>
      <c r="I206" s="44"/>
      <c r="J206" s="44">
        <v>3960</v>
      </c>
      <c r="K206" s="259"/>
      <c r="L206" s="262"/>
      <c r="M206" s="262"/>
    </row>
    <row r="207" spans="1:13" s="127" customFormat="1" ht="23.25" customHeight="1">
      <c r="A207" s="644">
        <v>87</v>
      </c>
      <c r="B207" s="644" t="s">
        <v>204</v>
      </c>
      <c r="C207" s="645">
        <v>510</v>
      </c>
      <c r="D207" s="128" t="s">
        <v>149</v>
      </c>
      <c r="E207" s="128" t="s">
        <v>150</v>
      </c>
      <c r="F207" s="128" t="s">
        <v>151</v>
      </c>
      <c r="G207" s="128" t="s">
        <v>152</v>
      </c>
      <c r="H207" s="128" t="s">
        <v>22</v>
      </c>
      <c r="I207" s="128" t="s">
        <v>153</v>
      </c>
      <c r="J207" s="360">
        <v>45603</v>
      </c>
      <c r="K207" s="258"/>
      <c r="L207" s="262"/>
      <c r="M207" s="262"/>
    </row>
    <row r="208" spans="1:13" s="127" customFormat="1" ht="23.25" customHeight="1">
      <c r="A208" s="644"/>
      <c r="B208" s="644"/>
      <c r="C208" s="645"/>
      <c r="D208" s="126">
        <v>510</v>
      </c>
      <c r="E208" s="126">
        <v>510</v>
      </c>
      <c r="F208" s="126">
        <v>510</v>
      </c>
      <c r="G208" s="126">
        <v>510</v>
      </c>
      <c r="H208" s="126">
        <v>-90</v>
      </c>
      <c r="I208" s="126">
        <v>510</v>
      </c>
      <c r="J208" s="126">
        <v>510</v>
      </c>
      <c r="K208" s="634">
        <f>SUM(D208:J208,D210:J210)</f>
        <v>6540</v>
      </c>
      <c r="L208" s="262"/>
      <c r="M208" s="262"/>
    </row>
    <row r="209" spans="1:13" s="127" customFormat="1" ht="23.25" customHeight="1">
      <c r="A209" s="644"/>
      <c r="B209" s="644"/>
      <c r="C209" s="645"/>
      <c r="D209" s="128" t="s">
        <v>155</v>
      </c>
      <c r="E209" s="128" t="s">
        <v>156</v>
      </c>
      <c r="F209" s="128" t="s">
        <v>157</v>
      </c>
      <c r="G209" s="128" t="s">
        <v>158</v>
      </c>
      <c r="H209" s="128" t="s">
        <v>159</v>
      </c>
      <c r="I209" s="128" t="s">
        <v>279</v>
      </c>
      <c r="J209" s="128" t="s">
        <v>160</v>
      </c>
      <c r="K209" s="635"/>
      <c r="L209" s="262"/>
      <c r="M209" s="262"/>
    </row>
    <row r="210" spans="1:13" s="127" customFormat="1" ht="23.25" customHeight="1" thickBot="1">
      <c r="A210" s="644"/>
      <c r="B210" s="644"/>
      <c r="C210" s="645"/>
      <c r="D210" s="126">
        <v>510</v>
      </c>
      <c r="E210" s="126">
        <v>510</v>
      </c>
      <c r="F210" s="126">
        <v>510</v>
      </c>
      <c r="G210" s="126">
        <v>510</v>
      </c>
      <c r="H210" s="126">
        <v>510</v>
      </c>
      <c r="I210" s="126">
        <v>510</v>
      </c>
      <c r="J210" s="126">
        <v>510</v>
      </c>
      <c r="K210" s="259"/>
      <c r="L210" s="262"/>
      <c r="M210" s="262"/>
    </row>
    <row r="211" spans="1:13" ht="23.25" customHeight="1">
      <c r="A211" s="646">
        <v>92</v>
      </c>
      <c r="B211" s="646" t="s">
        <v>205</v>
      </c>
      <c r="C211" s="648">
        <v>435</v>
      </c>
      <c r="D211" s="46" t="s">
        <v>149</v>
      </c>
      <c r="E211" s="46" t="s">
        <v>150</v>
      </c>
      <c r="F211" s="46" t="s">
        <v>151</v>
      </c>
      <c r="G211" s="46" t="s">
        <v>152</v>
      </c>
      <c r="H211" s="46" t="s">
        <v>22</v>
      </c>
      <c r="I211" s="46" t="s">
        <v>153</v>
      </c>
      <c r="J211" s="46" t="s">
        <v>154</v>
      </c>
      <c r="K211" s="258"/>
      <c r="L211" s="262"/>
      <c r="M211" s="262"/>
    </row>
    <row r="212" spans="1:13" ht="23.25" customHeight="1">
      <c r="A212" s="646"/>
      <c r="B212" s="646"/>
      <c r="C212" s="648"/>
      <c r="D212" s="44">
        <v>435</v>
      </c>
      <c r="E212" s="44"/>
      <c r="F212" s="44"/>
      <c r="G212" s="44"/>
      <c r="H212" s="44"/>
      <c r="I212" s="44"/>
      <c r="J212" s="44"/>
      <c r="K212" s="634">
        <f>SUM(D212:J212,D214:J214)</f>
        <v>435</v>
      </c>
      <c r="L212" s="262"/>
      <c r="M212" s="262" t="s">
        <v>392</v>
      </c>
    </row>
    <row r="213" spans="1:13" ht="23.25" customHeight="1">
      <c r="A213" s="646"/>
      <c r="B213" s="646"/>
      <c r="C213" s="648"/>
      <c r="D213" s="46" t="s">
        <v>155</v>
      </c>
      <c r="E213" s="46" t="s">
        <v>156</v>
      </c>
      <c r="F213" s="46" t="s">
        <v>157</v>
      </c>
      <c r="G213" s="46" t="s">
        <v>158</v>
      </c>
      <c r="H213" s="46" t="s">
        <v>159</v>
      </c>
      <c r="I213" s="46" t="s">
        <v>279</v>
      </c>
      <c r="J213" s="46" t="s">
        <v>160</v>
      </c>
      <c r="K213" s="635"/>
      <c r="L213" s="262"/>
      <c r="M213" s="262"/>
    </row>
    <row r="214" spans="1:13" ht="23.25" customHeight="1" thickBot="1">
      <c r="A214" s="646"/>
      <c r="B214" s="646"/>
      <c r="C214" s="648"/>
      <c r="D214" s="44"/>
      <c r="E214" s="44"/>
      <c r="F214" s="44"/>
      <c r="G214" s="44"/>
      <c r="H214" s="44"/>
      <c r="I214" s="44"/>
      <c r="J214" s="44"/>
      <c r="K214" s="259"/>
      <c r="L214" s="262"/>
      <c r="M214" s="262"/>
    </row>
    <row r="215" spans="1:13" ht="23.25" customHeight="1">
      <c r="A215" s="646">
        <v>93</v>
      </c>
      <c r="B215" s="646" t="s">
        <v>206</v>
      </c>
      <c r="C215" s="648">
        <v>1270</v>
      </c>
      <c r="D215" s="46" t="s">
        <v>149</v>
      </c>
      <c r="E215" s="46" t="s">
        <v>150</v>
      </c>
      <c r="F215" s="46" t="s">
        <v>151</v>
      </c>
      <c r="G215" s="46" t="s">
        <v>152</v>
      </c>
      <c r="H215" s="46" t="s">
        <v>22</v>
      </c>
      <c r="I215" s="46" t="s">
        <v>153</v>
      </c>
      <c r="J215" s="46" t="s">
        <v>154</v>
      </c>
      <c r="K215" s="258"/>
      <c r="L215" s="262"/>
      <c r="M215" s="262"/>
    </row>
    <row r="216" spans="1:13" ht="23.25" customHeight="1">
      <c r="A216" s="646"/>
      <c r="B216" s="646"/>
      <c r="C216" s="648"/>
      <c r="D216" s="44"/>
      <c r="E216" s="44">
        <v>1270</v>
      </c>
      <c r="F216" s="44">
        <v>1270</v>
      </c>
      <c r="G216" s="44"/>
      <c r="H216" s="44"/>
      <c r="I216" s="44"/>
      <c r="J216" s="44"/>
      <c r="K216" s="634">
        <f>SUM(D216:J216,D218:J218)</f>
        <v>2540</v>
      </c>
      <c r="L216" s="262"/>
      <c r="M216" s="262" t="s">
        <v>392</v>
      </c>
    </row>
    <row r="217" spans="1:13" ht="23.25" customHeight="1">
      <c r="A217" s="646"/>
      <c r="B217" s="646"/>
      <c r="C217" s="648"/>
      <c r="D217" s="46" t="s">
        <v>155</v>
      </c>
      <c r="E217" s="46" t="s">
        <v>156</v>
      </c>
      <c r="F217" s="46" t="s">
        <v>157</v>
      </c>
      <c r="G217" s="46" t="s">
        <v>158</v>
      </c>
      <c r="H217" s="46" t="s">
        <v>159</v>
      </c>
      <c r="I217" s="46" t="s">
        <v>279</v>
      </c>
      <c r="J217" s="46" t="s">
        <v>160</v>
      </c>
      <c r="K217" s="635"/>
      <c r="L217" s="262"/>
      <c r="M217" s="262"/>
    </row>
    <row r="218" spans="1:13" ht="23.25" customHeight="1" thickBot="1">
      <c r="A218" s="646"/>
      <c r="B218" s="646"/>
      <c r="C218" s="648"/>
      <c r="D218" s="44"/>
      <c r="E218" s="44"/>
      <c r="F218" s="44"/>
      <c r="G218" s="44"/>
      <c r="H218" s="44"/>
      <c r="I218" s="44"/>
      <c r="J218" s="44"/>
      <c r="K218" s="259"/>
      <c r="L218" s="262"/>
      <c r="M218" s="262"/>
    </row>
    <row r="219" spans="1:13" ht="23.25" customHeight="1">
      <c r="A219" s="646">
        <v>94</v>
      </c>
      <c r="B219" s="646" t="s">
        <v>207</v>
      </c>
      <c r="C219" s="648">
        <v>1500</v>
      </c>
      <c r="D219" s="46" t="s">
        <v>149</v>
      </c>
      <c r="E219" s="46" t="s">
        <v>150</v>
      </c>
      <c r="F219" s="46" t="s">
        <v>151</v>
      </c>
      <c r="G219" s="46" t="s">
        <v>152</v>
      </c>
      <c r="H219" s="46" t="s">
        <v>22</v>
      </c>
      <c r="I219" s="46" t="s">
        <v>153</v>
      </c>
      <c r="J219" s="46" t="s">
        <v>154</v>
      </c>
      <c r="K219" s="258"/>
      <c r="L219" s="262"/>
      <c r="M219" s="262"/>
    </row>
    <row r="220" spans="1:13" ht="23.25" customHeight="1">
      <c r="A220" s="646"/>
      <c r="B220" s="646"/>
      <c r="C220" s="648"/>
      <c r="D220" s="44"/>
      <c r="E220" s="44"/>
      <c r="F220" s="44"/>
      <c r="G220" s="44"/>
      <c r="H220" s="44"/>
      <c r="I220" s="44"/>
      <c r="J220" s="44"/>
      <c r="K220" s="634">
        <f>SUM(D220:J220,D222:J222)</f>
        <v>0</v>
      </c>
      <c r="L220" s="262"/>
      <c r="M220" s="262" t="s">
        <v>392</v>
      </c>
    </row>
    <row r="221" spans="1:13" ht="23.25" customHeight="1">
      <c r="A221" s="646"/>
      <c r="B221" s="646"/>
      <c r="C221" s="648"/>
      <c r="D221" s="46" t="s">
        <v>155</v>
      </c>
      <c r="E221" s="46" t="s">
        <v>156</v>
      </c>
      <c r="F221" s="46" t="s">
        <v>157</v>
      </c>
      <c r="G221" s="46" t="s">
        <v>158</v>
      </c>
      <c r="H221" s="46" t="s">
        <v>159</v>
      </c>
      <c r="I221" s="46" t="s">
        <v>279</v>
      </c>
      <c r="J221" s="46" t="s">
        <v>160</v>
      </c>
      <c r="K221" s="635"/>
      <c r="L221" s="262"/>
      <c r="M221" s="262"/>
    </row>
    <row r="222" spans="1:13" ht="23.25" customHeight="1" thickBot="1">
      <c r="A222" s="646"/>
      <c r="B222" s="646"/>
      <c r="C222" s="648"/>
      <c r="D222" s="44"/>
      <c r="E222" s="44"/>
      <c r="F222" s="44"/>
      <c r="G222" s="44"/>
      <c r="H222" s="44"/>
      <c r="I222" s="44"/>
      <c r="J222" s="44"/>
      <c r="K222" s="259"/>
      <c r="L222" s="262"/>
      <c r="M222" s="262"/>
    </row>
    <row r="223" spans="1:13" ht="23.25" customHeight="1">
      <c r="A223" s="646">
        <v>101</v>
      </c>
      <c r="B223" s="646" t="s">
        <v>208</v>
      </c>
      <c r="C223" s="648">
        <v>790</v>
      </c>
      <c r="D223" s="46" t="s">
        <v>149</v>
      </c>
      <c r="E223" s="46" t="s">
        <v>150</v>
      </c>
      <c r="F223" s="46" t="s">
        <v>151</v>
      </c>
      <c r="G223" s="46" t="s">
        <v>152</v>
      </c>
      <c r="H223" s="46" t="s">
        <v>22</v>
      </c>
      <c r="I223" s="46" t="s">
        <v>153</v>
      </c>
      <c r="J223" s="46" t="s">
        <v>154</v>
      </c>
      <c r="K223" s="258"/>
      <c r="L223" s="262"/>
      <c r="M223" s="262"/>
    </row>
    <row r="224" spans="1:13" ht="23.25" customHeight="1">
      <c r="A224" s="646"/>
      <c r="B224" s="646"/>
      <c r="C224" s="648"/>
      <c r="D224" s="44"/>
      <c r="E224" s="44"/>
      <c r="F224" s="44"/>
      <c r="G224" s="44"/>
      <c r="H224" s="44"/>
      <c r="I224" s="44"/>
      <c r="J224" s="44"/>
      <c r="K224" s="634">
        <f>SUM(D224:J224,D226:J226)</f>
        <v>0</v>
      </c>
      <c r="L224" s="262"/>
      <c r="M224" s="262" t="s">
        <v>392</v>
      </c>
    </row>
    <row r="225" spans="1:13" ht="23.25" customHeight="1">
      <c r="A225" s="646"/>
      <c r="B225" s="646"/>
      <c r="C225" s="648"/>
      <c r="D225" s="46" t="s">
        <v>155</v>
      </c>
      <c r="E225" s="46" t="s">
        <v>156</v>
      </c>
      <c r="F225" s="46" t="s">
        <v>157</v>
      </c>
      <c r="G225" s="46" t="s">
        <v>158</v>
      </c>
      <c r="H225" s="46" t="s">
        <v>159</v>
      </c>
      <c r="I225" s="46" t="s">
        <v>279</v>
      </c>
      <c r="J225" s="46" t="s">
        <v>160</v>
      </c>
      <c r="K225" s="635"/>
      <c r="L225" s="262"/>
      <c r="M225" s="262"/>
    </row>
    <row r="226" spans="1:13" ht="23.25" customHeight="1" thickBot="1">
      <c r="A226" s="646"/>
      <c r="B226" s="646"/>
      <c r="C226" s="648"/>
      <c r="D226" s="44"/>
      <c r="E226" s="44"/>
      <c r="F226" s="44"/>
      <c r="G226" s="44"/>
      <c r="H226" s="44"/>
      <c r="I226" s="44"/>
      <c r="J226" s="44"/>
      <c r="K226" s="259"/>
      <c r="L226" s="262"/>
      <c r="M226" s="262"/>
    </row>
    <row r="227" spans="1:13" ht="23.25" customHeight="1">
      <c r="A227" s="646">
        <v>103</v>
      </c>
      <c r="B227" s="647" t="s">
        <v>209</v>
      </c>
      <c r="C227" s="648">
        <v>3080</v>
      </c>
      <c r="D227" s="46" t="s">
        <v>149</v>
      </c>
      <c r="E227" s="46" t="s">
        <v>150</v>
      </c>
      <c r="F227" s="46" t="s">
        <v>151</v>
      </c>
      <c r="G227" s="46" t="s">
        <v>152</v>
      </c>
      <c r="H227" s="46" t="s">
        <v>22</v>
      </c>
      <c r="I227" s="46" t="s">
        <v>153</v>
      </c>
      <c r="J227" s="46" t="s">
        <v>154</v>
      </c>
      <c r="K227" s="258"/>
      <c r="L227" s="262"/>
      <c r="M227" s="262"/>
    </row>
    <row r="228" spans="1:13" ht="23.25" customHeight="1">
      <c r="A228" s="646"/>
      <c r="B228" s="647"/>
      <c r="C228" s="648"/>
      <c r="D228" s="44">
        <v>3080</v>
      </c>
      <c r="E228" s="44">
        <v>3080</v>
      </c>
      <c r="F228" s="44"/>
      <c r="G228" s="44"/>
      <c r="H228" s="44"/>
      <c r="I228" s="44">
        <v>3080</v>
      </c>
      <c r="J228" s="44">
        <v>3080</v>
      </c>
      <c r="K228" s="634">
        <f>SUM(D228:J228,D230:J230)</f>
        <v>18480</v>
      </c>
      <c r="L228" s="262"/>
      <c r="M228" s="262"/>
    </row>
    <row r="229" spans="1:13" ht="23.25" customHeight="1">
      <c r="A229" s="646"/>
      <c r="B229" s="647"/>
      <c r="C229" s="648"/>
      <c r="D229" s="46" t="s">
        <v>155</v>
      </c>
      <c r="E229" s="46" t="s">
        <v>156</v>
      </c>
      <c r="F229" s="46" t="s">
        <v>157</v>
      </c>
      <c r="G229" s="46" t="s">
        <v>158</v>
      </c>
      <c r="H229" s="46" t="s">
        <v>159</v>
      </c>
      <c r="I229" s="46" t="s">
        <v>279</v>
      </c>
      <c r="J229" s="46" t="s">
        <v>160</v>
      </c>
      <c r="K229" s="635"/>
      <c r="L229" s="262"/>
      <c r="M229" s="262"/>
    </row>
    <row r="230" spans="1:13" ht="23.25" customHeight="1" thickBot="1">
      <c r="A230" s="646"/>
      <c r="B230" s="647"/>
      <c r="C230" s="648"/>
      <c r="D230" s="44">
        <v>3080</v>
      </c>
      <c r="E230" s="44">
        <v>3080</v>
      </c>
      <c r="F230" s="44"/>
      <c r="G230" s="44"/>
      <c r="H230" s="44"/>
      <c r="I230" s="44"/>
      <c r="J230" s="44"/>
      <c r="K230" s="259"/>
      <c r="L230" s="262"/>
      <c r="M230" s="262"/>
    </row>
    <row r="231" spans="1:13" s="127" customFormat="1" ht="23.25" customHeight="1">
      <c r="A231" s="644">
        <v>104</v>
      </c>
      <c r="B231" s="644" t="s">
        <v>60</v>
      </c>
      <c r="C231" s="645">
        <v>755</v>
      </c>
      <c r="D231" s="128" t="s">
        <v>149</v>
      </c>
      <c r="E231" s="128" t="s">
        <v>150</v>
      </c>
      <c r="F231" s="128" t="s">
        <v>151</v>
      </c>
      <c r="G231" s="128" t="s">
        <v>152</v>
      </c>
      <c r="H231" s="128" t="s">
        <v>22</v>
      </c>
      <c r="I231" s="128" t="s">
        <v>153</v>
      </c>
      <c r="J231" s="128" t="s">
        <v>154</v>
      </c>
      <c r="K231" s="258"/>
      <c r="L231" s="262"/>
      <c r="M231" s="262"/>
    </row>
    <row r="232" spans="1:13" s="127" customFormat="1" ht="23.25" customHeight="1">
      <c r="A232" s="644"/>
      <c r="B232" s="644"/>
      <c r="C232" s="645"/>
      <c r="D232" s="126">
        <v>755</v>
      </c>
      <c r="E232" s="126">
        <v>755</v>
      </c>
      <c r="F232" s="126">
        <v>755</v>
      </c>
      <c r="G232" s="126">
        <v>755</v>
      </c>
      <c r="H232" s="126">
        <v>90</v>
      </c>
      <c r="I232" s="126">
        <v>755</v>
      </c>
      <c r="J232" s="126">
        <v>755</v>
      </c>
      <c r="K232" s="634">
        <f>SUM(D232:J232,D234:J234)</f>
        <v>9905</v>
      </c>
      <c r="L232" s="262"/>
      <c r="M232" s="262"/>
    </row>
    <row r="233" spans="1:13" s="127" customFormat="1" ht="23.25" customHeight="1">
      <c r="A233" s="644"/>
      <c r="B233" s="644"/>
      <c r="C233" s="645"/>
      <c r="D233" s="128" t="s">
        <v>155</v>
      </c>
      <c r="E233" s="128" t="s">
        <v>156</v>
      </c>
      <c r="F233" s="128" t="s">
        <v>157</v>
      </c>
      <c r="G233" s="128" t="s">
        <v>158</v>
      </c>
      <c r="H233" s="128" t="s">
        <v>159</v>
      </c>
      <c r="I233" s="128" t="s">
        <v>279</v>
      </c>
      <c r="J233" s="128" t="s">
        <v>160</v>
      </c>
      <c r="K233" s="635"/>
      <c r="L233" s="262"/>
      <c r="M233" s="262"/>
    </row>
    <row r="234" spans="1:13" s="127" customFormat="1" ht="23.25" customHeight="1" thickBot="1">
      <c r="A234" s="644"/>
      <c r="B234" s="644"/>
      <c r="C234" s="645"/>
      <c r="D234" s="126">
        <v>755</v>
      </c>
      <c r="E234" s="126">
        <v>755</v>
      </c>
      <c r="F234" s="126">
        <v>755</v>
      </c>
      <c r="G234" s="126">
        <v>755</v>
      </c>
      <c r="H234" s="126">
        <v>755</v>
      </c>
      <c r="I234" s="126">
        <v>755</v>
      </c>
      <c r="J234" s="126">
        <v>755</v>
      </c>
      <c r="K234" s="259"/>
      <c r="L234" s="262"/>
      <c r="M234" s="262"/>
    </row>
    <row r="235" spans="1:13" ht="23.25" customHeight="1">
      <c r="A235" s="646">
        <v>107</v>
      </c>
      <c r="B235" s="649" t="s">
        <v>210</v>
      </c>
      <c r="C235" s="648">
        <v>465</v>
      </c>
      <c r="D235" s="46" t="s">
        <v>149</v>
      </c>
      <c r="E235" s="46" t="s">
        <v>150</v>
      </c>
      <c r="F235" s="46" t="s">
        <v>151</v>
      </c>
      <c r="G235" s="46" t="s">
        <v>152</v>
      </c>
      <c r="H235" s="46" t="s">
        <v>22</v>
      </c>
      <c r="I235" s="46" t="s">
        <v>153</v>
      </c>
      <c r="J235" s="46" t="s">
        <v>154</v>
      </c>
      <c r="K235" s="258"/>
      <c r="L235" s="262"/>
      <c r="M235" s="262"/>
    </row>
    <row r="236" spans="1:13" ht="23.25" customHeight="1">
      <c r="A236" s="646"/>
      <c r="B236" s="649"/>
      <c r="C236" s="648"/>
      <c r="D236" s="44"/>
      <c r="E236" s="44"/>
      <c r="F236" s="44"/>
      <c r="G236" s="44"/>
      <c r="H236" s="44"/>
      <c r="I236" s="44"/>
      <c r="J236" s="44"/>
      <c r="K236" s="634">
        <f>SUM(D236:J236,D238:J238)</f>
        <v>0</v>
      </c>
      <c r="L236" s="262"/>
      <c r="M236" s="262"/>
    </row>
    <row r="237" spans="1:13" ht="23.25" customHeight="1">
      <c r="A237" s="646"/>
      <c r="B237" s="649"/>
      <c r="C237" s="648"/>
      <c r="D237" s="46" t="s">
        <v>155</v>
      </c>
      <c r="E237" s="46" t="s">
        <v>156</v>
      </c>
      <c r="F237" s="46" t="s">
        <v>157</v>
      </c>
      <c r="G237" s="46" t="s">
        <v>158</v>
      </c>
      <c r="H237" s="46" t="s">
        <v>159</v>
      </c>
      <c r="I237" s="46" t="s">
        <v>279</v>
      </c>
      <c r="J237" s="46" t="s">
        <v>160</v>
      </c>
      <c r="K237" s="635"/>
      <c r="L237" s="262"/>
      <c r="M237" s="262"/>
    </row>
    <row r="238" spans="1:13" ht="23.25" customHeight="1" thickBot="1">
      <c r="A238" s="646"/>
      <c r="B238" s="649"/>
      <c r="C238" s="648"/>
      <c r="D238" s="44"/>
      <c r="E238" s="44"/>
      <c r="F238" s="44"/>
      <c r="G238" s="44"/>
      <c r="H238" s="44"/>
      <c r="I238" s="44"/>
      <c r="J238" s="44"/>
      <c r="K238" s="259"/>
      <c r="L238" s="262"/>
      <c r="M238" s="262"/>
    </row>
    <row r="239" spans="1:13" ht="23.25" customHeight="1">
      <c r="A239" s="646">
        <v>108</v>
      </c>
      <c r="B239" s="649" t="s">
        <v>211</v>
      </c>
      <c r="C239" s="648">
        <v>2085</v>
      </c>
      <c r="D239" s="46" t="s">
        <v>149</v>
      </c>
      <c r="E239" s="46" t="s">
        <v>150</v>
      </c>
      <c r="F239" s="46" t="s">
        <v>151</v>
      </c>
      <c r="G239" s="46" t="s">
        <v>152</v>
      </c>
      <c r="H239" s="46" t="s">
        <v>22</v>
      </c>
      <c r="I239" s="46" t="s">
        <v>153</v>
      </c>
      <c r="J239" s="46" t="s">
        <v>154</v>
      </c>
      <c r="K239" s="258"/>
      <c r="L239" s="262"/>
      <c r="M239" s="262"/>
    </row>
    <row r="240" spans="1:13" ht="23.25" customHeight="1">
      <c r="A240" s="646"/>
      <c r="B240" s="649"/>
      <c r="C240" s="648"/>
      <c r="D240" s="44"/>
      <c r="E240" s="44"/>
      <c r="F240" s="44"/>
      <c r="G240" s="44"/>
      <c r="H240" s="44"/>
      <c r="I240" s="44"/>
      <c r="J240" s="44"/>
      <c r="K240" s="634">
        <f>SUM(D240:J240,D242:J242)</f>
        <v>0</v>
      </c>
      <c r="L240" s="262"/>
      <c r="M240" s="262"/>
    </row>
    <row r="241" spans="1:13" ht="23.25" customHeight="1">
      <c r="A241" s="646"/>
      <c r="B241" s="649"/>
      <c r="C241" s="648"/>
      <c r="D241" s="46" t="s">
        <v>155</v>
      </c>
      <c r="E241" s="46" t="s">
        <v>156</v>
      </c>
      <c r="F241" s="46" t="s">
        <v>157</v>
      </c>
      <c r="G241" s="46" t="s">
        <v>158</v>
      </c>
      <c r="H241" s="46" t="s">
        <v>159</v>
      </c>
      <c r="I241" s="46" t="s">
        <v>279</v>
      </c>
      <c r="J241" s="46" t="s">
        <v>160</v>
      </c>
      <c r="K241" s="635"/>
      <c r="L241" s="262"/>
      <c r="M241" s="262"/>
    </row>
    <row r="242" spans="1:13" ht="23.25" customHeight="1" thickBot="1">
      <c r="A242" s="646"/>
      <c r="B242" s="649"/>
      <c r="C242" s="648"/>
      <c r="D242" s="44"/>
      <c r="E242" s="44"/>
      <c r="F242" s="44"/>
      <c r="G242" s="44"/>
      <c r="H242" s="44"/>
      <c r="I242" s="44"/>
      <c r="J242" s="44"/>
      <c r="K242" s="259"/>
      <c r="L242" s="262"/>
      <c r="M242" s="262"/>
    </row>
    <row r="243" spans="1:13" s="127" customFormat="1" ht="23.25" customHeight="1">
      <c r="A243" s="644">
        <v>109</v>
      </c>
      <c r="B243" s="644" t="s">
        <v>212</v>
      </c>
      <c r="C243" s="645">
        <v>290</v>
      </c>
      <c r="D243" s="128" t="s">
        <v>149</v>
      </c>
      <c r="E243" s="128" t="s">
        <v>150</v>
      </c>
      <c r="F243" s="128" t="s">
        <v>151</v>
      </c>
      <c r="G243" s="128" t="s">
        <v>152</v>
      </c>
      <c r="H243" s="128" t="s">
        <v>22</v>
      </c>
      <c r="I243" s="128" t="s">
        <v>153</v>
      </c>
      <c r="J243" s="128" t="s">
        <v>154</v>
      </c>
      <c r="K243" s="258"/>
      <c r="L243" s="262"/>
      <c r="M243" s="262"/>
    </row>
    <row r="244" spans="1:13" s="127" customFormat="1" ht="23.25" customHeight="1">
      <c r="A244" s="644"/>
      <c r="B244" s="644"/>
      <c r="C244" s="645"/>
      <c r="D244" s="126">
        <v>290</v>
      </c>
      <c r="E244" s="126">
        <v>290</v>
      </c>
      <c r="F244" s="126">
        <v>290</v>
      </c>
      <c r="G244" s="126">
        <v>290</v>
      </c>
      <c r="H244" s="126"/>
      <c r="I244" s="126">
        <v>290</v>
      </c>
      <c r="J244" s="126">
        <v>290</v>
      </c>
      <c r="K244" s="634">
        <f>SUM(D244:J244,D246:J246)</f>
        <v>3480</v>
      </c>
      <c r="L244" s="262"/>
      <c r="M244" s="262"/>
    </row>
    <row r="245" spans="1:13" s="127" customFormat="1" ht="23.25" customHeight="1">
      <c r="A245" s="644"/>
      <c r="B245" s="644"/>
      <c r="C245" s="645"/>
      <c r="D245" s="128" t="s">
        <v>155</v>
      </c>
      <c r="E245" s="128" t="s">
        <v>156</v>
      </c>
      <c r="F245" s="128" t="s">
        <v>157</v>
      </c>
      <c r="G245" s="128" t="s">
        <v>158</v>
      </c>
      <c r="H245" s="128" t="s">
        <v>159</v>
      </c>
      <c r="I245" s="128" t="s">
        <v>279</v>
      </c>
      <c r="J245" s="128" t="s">
        <v>160</v>
      </c>
      <c r="K245" s="635"/>
      <c r="L245" s="262"/>
      <c r="M245" s="262"/>
    </row>
    <row r="246" spans="1:13" s="127" customFormat="1" ht="23.25" customHeight="1" thickBot="1">
      <c r="A246" s="644"/>
      <c r="B246" s="644"/>
      <c r="C246" s="645"/>
      <c r="D246" s="126">
        <v>290</v>
      </c>
      <c r="E246" s="126">
        <v>290</v>
      </c>
      <c r="F246" s="126">
        <v>290</v>
      </c>
      <c r="G246" s="126">
        <v>290</v>
      </c>
      <c r="H246" s="126">
        <v>290</v>
      </c>
      <c r="I246" s="126"/>
      <c r="J246" s="126">
        <v>290</v>
      </c>
      <c r="K246" s="259"/>
      <c r="L246" s="262"/>
      <c r="M246" s="262"/>
    </row>
    <row r="247" spans="1:13" ht="23.25" customHeight="1">
      <c r="A247" s="646">
        <v>110</v>
      </c>
      <c r="B247" s="649" t="s">
        <v>213</v>
      </c>
      <c r="C247" s="648">
        <v>275</v>
      </c>
      <c r="D247" s="46" t="s">
        <v>149</v>
      </c>
      <c r="E247" s="46" t="s">
        <v>150</v>
      </c>
      <c r="F247" s="46" t="s">
        <v>151</v>
      </c>
      <c r="G247" s="46" t="s">
        <v>152</v>
      </c>
      <c r="H247" s="46" t="s">
        <v>22</v>
      </c>
      <c r="I247" s="46" t="s">
        <v>153</v>
      </c>
      <c r="J247" s="46" t="s">
        <v>154</v>
      </c>
      <c r="K247" s="258"/>
      <c r="L247" s="262"/>
      <c r="M247" s="262"/>
    </row>
    <row r="248" spans="1:13" ht="23.25" customHeight="1">
      <c r="A248" s="646"/>
      <c r="B248" s="649"/>
      <c r="C248" s="648"/>
      <c r="D248" s="44"/>
      <c r="E248" s="44"/>
      <c r="F248" s="44"/>
      <c r="G248" s="44"/>
      <c r="H248" s="44"/>
      <c r="I248" s="44"/>
      <c r="J248" s="44"/>
      <c r="K248" s="634">
        <f>SUM(D248:J248,D250:J250)</f>
        <v>0</v>
      </c>
      <c r="L248" s="262"/>
      <c r="M248" s="262"/>
    </row>
    <row r="249" spans="1:13" ht="23.25" customHeight="1">
      <c r="A249" s="646"/>
      <c r="B249" s="649"/>
      <c r="C249" s="648"/>
      <c r="D249" s="46" t="s">
        <v>155</v>
      </c>
      <c r="E249" s="46" t="s">
        <v>156</v>
      </c>
      <c r="F249" s="46" t="s">
        <v>157</v>
      </c>
      <c r="G249" s="46" t="s">
        <v>158</v>
      </c>
      <c r="H249" s="46" t="s">
        <v>159</v>
      </c>
      <c r="I249" s="46" t="s">
        <v>279</v>
      </c>
      <c r="J249" s="46" t="s">
        <v>160</v>
      </c>
      <c r="K249" s="635"/>
      <c r="L249" s="262"/>
      <c r="M249" s="262"/>
    </row>
    <row r="250" spans="1:13" ht="23.25" customHeight="1" thickBot="1">
      <c r="A250" s="646"/>
      <c r="B250" s="649"/>
      <c r="C250" s="648"/>
      <c r="D250" s="44"/>
      <c r="E250" s="44"/>
      <c r="F250" s="44"/>
      <c r="G250" s="44"/>
      <c r="H250" s="44"/>
      <c r="I250" s="44"/>
      <c r="J250" s="44"/>
      <c r="K250" s="259"/>
      <c r="L250" s="262"/>
      <c r="M250" s="262"/>
    </row>
    <row r="251" spans="1:13" s="127" customFormat="1" ht="23.25" customHeight="1">
      <c r="A251" s="644">
        <v>111</v>
      </c>
      <c r="B251" s="644" t="s">
        <v>214</v>
      </c>
      <c r="C251" s="645">
        <v>290</v>
      </c>
      <c r="D251" s="128" t="s">
        <v>149</v>
      </c>
      <c r="E251" s="128" t="s">
        <v>150</v>
      </c>
      <c r="F251" s="128" t="s">
        <v>151</v>
      </c>
      <c r="G251" s="128" t="s">
        <v>152</v>
      </c>
      <c r="H251" s="128" t="s">
        <v>22</v>
      </c>
      <c r="I251" s="128" t="s">
        <v>153</v>
      </c>
      <c r="J251" s="128" t="s">
        <v>154</v>
      </c>
      <c r="K251" s="258"/>
      <c r="L251" s="262"/>
      <c r="M251" s="262"/>
    </row>
    <row r="252" spans="1:13" s="127" customFormat="1" ht="23.25" customHeight="1">
      <c r="A252" s="644"/>
      <c r="B252" s="644"/>
      <c r="C252" s="645"/>
      <c r="D252" s="126">
        <v>290</v>
      </c>
      <c r="E252" s="126">
        <v>290</v>
      </c>
      <c r="F252" s="126">
        <v>290</v>
      </c>
      <c r="G252" s="126">
        <v>290</v>
      </c>
      <c r="H252" s="126"/>
      <c r="I252" s="126">
        <v>290</v>
      </c>
      <c r="J252" s="126">
        <v>290</v>
      </c>
      <c r="K252" s="634">
        <f>SUM(D252:J252,D254:J254)</f>
        <v>3480</v>
      </c>
      <c r="L252" s="262"/>
      <c r="M252" s="262"/>
    </row>
    <row r="253" spans="1:13" s="127" customFormat="1" ht="23.25" customHeight="1">
      <c r="A253" s="644"/>
      <c r="B253" s="644"/>
      <c r="C253" s="645"/>
      <c r="D253" s="128" t="s">
        <v>155</v>
      </c>
      <c r="E253" s="128" t="s">
        <v>156</v>
      </c>
      <c r="F253" s="128" t="s">
        <v>157</v>
      </c>
      <c r="G253" s="128" t="s">
        <v>158</v>
      </c>
      <c r="H253" s="128" t="s">
        <v>159</v>
      </c>
      <c r="I253" s="128" t="s">
        <v>279</v>
      </c>
      <c r="J253" s="128" t="s">
        <v>160</v>
      </c>
      <c r="K253" s="635"/>
      <c r="L253" s="262"/>
      <c r="M253" s="262"/>
    </row>
    <row r="254" spans="1:13" s="127" customFormat="1" ht="23.25" customHeight="1" thickBot="1">
      <c r="A254" s="644"/>
      <c r="B254" s="644"/>
      <c r="C254" s="645"/>
      <c r="D254" s="126">
        <v>290</v>
      </c>
      <c r="E254" s="126">
        <v>290</v>
      </c>
      <c r="F254" s="126">
        <v>290</v>
      </c>
      <c r="G254" s="126">
        <v>290</v>
      </c>
      <c r="H254" s="126">
        <v>290</v>
      </c>
      <c r="I254" s="126"/>
      <c r="J254" s="126">
        <v>290</v>
      </c>
      <c r="K254" s="259"/>
      <c r="L254" s="262"/>
      <c r="M254" s="262"/>
    </row>
    <row r="255" spans="1:13" ht="23.25" customHeight="1">
      <c r="A255" s="646">
        <v>113</v>
      </c>
      <c r="B255" s="646" t="s">
        <v>215</v>
      </c>
      <c r="C255" s="648">
        <v>2700</v>
      </c>
      <c r="D255" s="46" t="s">
        <v>149</v>
      </c>
      <c r="E255" s="46" t="s">
        <v>150</v>
      </c>
      <c r="F255" s="46" t="s">
        <v>151</v>
      </c>
      <c r="G255" s="46" t="s">
        <v>152</v>
      </c>
      <c r="H255" s="46" t="s">
        <v>22</v>
      </c>
      <c r="I255" s="46" t="s">
        <v>153</v>
      </c>
      <c r="J255" s="46" t="s">
        <v>154</v>
      </c>
      <c r="K255" s="258"/>
      <c r="L255" s="262"/>
      <c r="M255" s="262"/>
    </row>
    <row r="256" spans="1:13" ht="23.25" customHeight="1">
      <c r="A256" s="646"/>
      <c r="B256" s="646"/>
      <c r="C256" s="648"/>
      <c r="D256" s="44">
        <v>2700</v>
      </c>
      <c r="E256" s="44">
        <v>2700</v>
      </c>
      <c r="F256" s="44">
        <v>2700</v>
      </c>
      <c r="G256" s="44">
        <v>2700</v>
      </c>
      <c r="H256" s="44"/>
      <c r="I256" s="44">
        <v>2700</v>
      </c>
      <c r="J256" s="44">
        <v>2700</v>
      </c>
      <c r="K256" s="634">
        <f>SUM(D256:J256,D258:J258)</f>
        <v>29700</v>
      </c>
      <c r="L256" s="262"/>
      <c r="M256" s="262"/>
    </row>
    <row r="257" spans="1:13" ht="23.25" customHeight="1">
      <c r="A257" s="646"/>
      <c r="B257" s="646"/>
      <c r="C257" s="648"/>
      <c r="D257" s="46" t="s">
        <v>155</v>
      </c>
      <c r="E257" s="46" t="s">
        <v>156</v>
      </c>
      <c r="F257" s="46" t="s">
        <v>157</v>
      </c>
      <c r="G257" s="46" t="s">
        <v>158</v>
      </c>
      <c r="H257" s="46" t="s">
        <v>159</v>
      </c>
      <c r="I257" s="46" t="s">
        <v>279</v>
      </c>
      <c r="J257" s="46" t="s">
        <v>160</v>
      </c>
      <c r="K257" s="635"/>
      <c r="L257" s="262"/>
      <c r="M257" s="262"/>
    </row>
    <row r="258" spans="1:13" ht="23.25" customHeight="1" thickBot="1">
      <c r="A258" s="646"/>
      <c r="B258" s="646"/>
      <c r="C258" s="648"/>
      <c r="D258" s="44">
        <v>2700</v>
      </c>
      <c r="E258" s="44"/>
      <c r="F258" s="44">
        <v>2700</v>
      </c>
      <c r="G258" s="44">
        <v>2700</v>
      </c>
      <c r="H258" s="44">
        <v>2700</v>
      </c>
      <c r="I258" s="44"/>
      <c r="J258" s="44">
        <v>2700</v>
      </c>
      <c r="K258" s="259"/>
      <c r="L258" s="262"/>
      <c r="M258" s="262"/>
    </row>
    <row r="259" spans="1:13" ht="23.25" customHeight="1">
      <c r="A259" s="646">
        <v>115</v>
      </c>
      <c r="B259" s="647" t="s">
        <v>216</v>
      </c>
      <c r="C259" s="648">
        <v>242</v>
      </c>
      <c r="D259" s="46" t="s">
        <v>149</v>
      </c>
      <c r="E259" s="46" t="s">
        <v>150</v>
      </c>
      <c r="F259" s="46" t="s">
        <v>151</v>
      </c>
      <c r="G259" s="46" t="s">
        <v>152</v>
      </c>
      <c r="H259" s="46" t="s">
        <v>22</v>
      </c>
      <c r="I259" s="46" t="s">
        <v>153</v>
      </c>
      <c r="J259" s="361">
        <v>45603</v>
      </c>
      <c r="K259" s="258"/>
      <c r="L259" s="262"/>
      <c r="M259" s="262"/>
    </row>
    <row r="260" spans="1:13" ht="23.25" customHeight="1">
      <c r="A260" s="646"/>
      <c r="B260" s="647"/>
      <c r="C260" s="648"/>
      <c r="D260" s="44">
        <v>242</v>
      </c>
      <c r="E260" s="44">
        <v>242</v>
      </c>
      <c r="F260" s="44">
        <v>242</v>
      </c>
      <c r="G260" s="44"/>
      <c r="H260" s="44"/>
      <c r="I260" s="44"/>
      <c r="J260" s="44"/>
      <c r="K260" s="634">
        <f>SUM(D260:J260,D262:J262)</f>
        <v>1210</v>
      </c>
      <c r="L260" s="262"/>
      <c r="M260" s="262"/>
    </row>
    <row r="261" spans="1:13" ht="23.25" customHeight="1">
      <c r="A261" s="646"/>
      <c r="B261" s="647"/>
      <c r="C261" s="648"/>
      <c r="D261" s="46" t="s">
        <v>155</v>
      </c>
      <c r="E261" s="46" t="s">
        <v>156</v>
      </c>
      <c r="F261" s="46" t="s">
        <v>157</v>
      </c>
      <c r="G261" s="46" t="s">
        <v>158</v>
      </c>
      <c r="H261" s="46" t="s">
        <v>159</v>
      </c>
      <c r="I261" s="46" t="s">
        <v>279</v>
      </c>
      <c r="J261" s="46" t="s">
        <v>160</v>
      </c>
      <c r="K261" s="635"/>
      <c r="L261" s="262"/>
      <c r="M261" s="262"/>
    </row>
    <row r="262" spans="1:13" ht="23.25" customHeight="1" thickBot="1">
      <c r="A262" s="646"/>
      <c r="B262" s="647"/>
      <c r="C262" s="648"/>
      <c r="D262" s="44">
        <v>242</v>
      </c>
      <c r="E262" s="44"/>
      <c r="F262" s="44"/>
      <c r="G262" s="44">
        <v>242</v>
      </c>
      <c r="H262" s="44"/>
      <c r="I262" s="44"/>
      <c r="J262" s="44"/>
      <c r="K262" s="259"/>
      <c r="L262" s="262"/>
      <c r="M262" s="262"/>
    </row>
    <row r="263" spans="1:13" s="127" customFormat="1" ht="23.25" customHeight="1">
      <c r="A263" s="644">
        <v>116</v>
      </c>
      <c r="B263" s="644" t="s">
        <v>217</v>
      </c>
      <c r="C263" s="645">
        <v>585</v>
      </c>
      <c r="D263" s="128" t="s">
        <v>149</v>
      </c>
      <c r="E263" s="128" t="s">
        <v>150</v>
      </c>
      <c r="F263" s="128" t="s">
        <v>151</v>
      </c>
      <c r="G263" s="128" t="s">
        <v>152</v>
      </c>
      <c r="H263" s="128" t="s">
        <v>22</v>
      </c>
      <c r="I263" s="128" t="s">
        <v>153</v>
      </c>
      <c r="J263" s="128" t="s">
        <v>154</v>
      </c>
      <c r="K263" s="258"/>
      <c r="L263" s="265"/>
      <c r="M263" s="265"/>
    </row>
    <row r="264" spans="1:13" s="127" customFormat="1" ht="23.25" customHeight="1">
      <c r="A264" s="644"/>
      <c r="B264" s="644"/>
      <c r="C264" s="645"/>
      <c r="D264" s="126"/>
      <c r="E264" s="126">
        <v>585</v>
      </c>
      <c r="F264" s="126">
        <v>585</v>
      </c>
      <c r="G264" s="126">
        <v>585</v>
      </c>
      <c r="H264" s="126"/>
      <c r="I264" s="126">
        <v>585</v>
      </c>
      <c r="J264" s="126">
        <v>585</v>
      </c>
      <c r="K264" s="634">
        <f>SUM(D264:J264,D266:J266)</f>
        <v>6650</v>
      </c>
      <c r="L264" s="265"/>
      <c r="M264" s="265"/>
    </row>
    <row r="265" spans="1:13" s="127" customFormat="1" ht="23.25" customHeight="1">
      <c r="A265" s="644"/>
      <c r="B265" s="644"/>
      <c r="C265" s="645"/>
      <c r="D265" s="128" t="s">
        <v>155</v>
      </c>
      <c r="E265" s="128" t="s">
        <v>156</v>
      </c>
      <c r="F265" s="128" t="s">
        <v>157</v>
      </c>
      <c r="G265" s="128" t="s">
        <v>158</v>
      </c>
      <c r="H265" s="128" t="s">
        <v>159</v>
      </c>
      <c r="I265" s="128" t="s">
        <v>279</v>
      </c>
      <c r="J265" s="128" t="s">
        <v>160</v>
      </c>
      <c r="K265" s="635"/>
      <c r="L265" s="265"/>
      <c r="M265" s="265"/>
    </row>
    <row r="266" spans="1:13" s="127" customFormat="1" ht="23.25" customHeight="1" thickBot="1">
      <c r="A266" s="644"/>
      <c r="B266" s="644"/>
      <c r="C266" s="645"/>
      <c r="D266" s="126">
        <v>585</v>
      </c>
      <c r="E266" s="126">
        <v>585</v>
      </c>
      <c r="F266" s="126">
        <v>585</v>
      </c>
      <c r="G266" s="126">
        <v>585</v>
      </c>
      <c r="H266" s="126">
        <v>800</v>
      </c>
      <c r="I266" s="126"/>
      <c r="J266" s="126">
        <v>585</v>
      </c>
      <c r="K266" s="259"/>
      <c r="L266" s="265"/>
      <c r="M266" s="265"/>
    </row>
    <row r="267" spans="1:13" ht="23.25" customHeight="1">
      <c r="A267" s="646">
        <v>117</v>
      </c>
      <c r="B267" s="647" t="s">
        <v>69</v>
      </c>
      <c r="C267" s="648">
        <v>705</v>
      </c>
      <c r="D267" s="46" t="s">
        <v>149</v>
      </c>
      <c r="E267" s="46" t="s">
        <v>150</v>
      </c>
      <c r="F267" s="46" t="s">
        <v>151</v>
      </c>
      <c r="G267" s="46" t="s">
        <v>152</v>
      </c>
      <c r="H267" s="46" t="s">
        <v>22</v>
      </c>
      <c r="I267" s="46" t="s">
        <v>153</v>
      </c>
      <c r="J267" s="46" t="s">
        <v>154</v>
      </c>
      <c r="K267" s="258"/>
      <c r="L267" s="262"/>
      <c r="M267" s="262"/>
    </row>
    <row r="268" spans="1:13" ht="23.25" customHeight="1">
      <c r="A268" s="646"/>
      <c r="B268" s="647"/>
      <c r="C268" s="648"/>
      <c r="D268" s="44"/>
      <c r="E268" s="44"/>
      <c r="F268" s="44">
        <v>705</v>
      </c>
      <c r="G268" s="44">
        <v>705</v>
      </c>
      <c r="H268" s="44">
        <v>-180</v>
      </c>
      <c r="I268" s="44">
        <v>705</v>
      </c>
      <c r="J268" s="44">
        <v>705</v>
      </c>
      <c r="K268" s="634">
        <f>SUM(D268:J268,D270:J270)</f>
        <v>4050</v>
      </c>
      <c r="L268" s="262"/>
      <c r="M268" s="262"/>
    </row>
    <row r="269" spans="1:13" ht="23.25" customHeight="1">
      <c r="A269" s="646"/>
      <c r="B269" s="647"/>
      <c r="C269" s="648"/>
      <c r="D269" s="46" t="s">
        <v>155</v>
      </c>
      <c r="E269" s="46" t="s">
        <v>156</v>
      </c>
      <c r="F269" s="46" t="s">
        <v>157</v>
      </c>
      <c r="G269" s="46" t="s">
        <v>158</v>
      </c>
      <c r="H269" s="46" t="s">
        <v>159</v>
      </c>
      <c r="I269" s="46" t="s">
        <v>279</v>
      </c>
      <c r="J269" s="46" t="s">
        <v>160</v>
      </c>
      <c r="K269" s="635"/>
      <c r="L269" s="262"/>
      <c r="M269" s="262"/>
    </row>
    <row r="270" spans="1:13" ht="23.25" customHeight="1" thickBot="1">
      <c r="A270" s="646"/>
      <c r="B270" s="647"/>
      <c r="C270" s="648"/>
      <c r="D270" s="44"/>
      <c r="E270" s="44"/>
      <c r="F270" s="44">
        <v>705</v>
      </c>
      <c r="G270" s="44"/>
      <c r="H270" s="44"/>
      <c r="I270" s="44"/>
      <c r="J270" s="44">
        <v>705</v>
      </c>
      <c r="K270" s="259"/>
      <c r="L270" s="262"/>
      <c r="M270" s="262"/>
    </row>
    <row r="271" spans="1:13" ht="23.25" customHeight="1">
      <c r="A271" s="646">
        <v>120</v>
      </c>
      <c r="B271" s="649" t="s">
        <v>218</v>
      </c>
      <c r="C271" s="648">
        <v>325</v>
      </c>
      <c r="D271" s="46" t="s">
        <v>149</v>
      </c>
      <c r="E271" s="46" t="s">
        <v>150</v>
      </c>
      <c r="F271" s="46" t="s">
        <v>151</v>
      </c>
      <c r="G271" s="46" t="s">
        <v>152</v>
      </c>
      <c r="H271" s="46" t="s">
        <v>22</v>
      </c>
      <c r="I271" s="46" t="s">
        <v>153</v>
      </c>
      <c r="J271" s="46" t="s">
        <v>154</v>
      </c>
      <c r="K271" s="258"/>
      <c r="L271" s="262"/>
      <c r="M271" s="262"/>
    </row>
    <row r="272" spans="1:13" ht="23.25" customHeight="1">
      <c r="A272" s="646"/>
      <c r="B272" s="649"/>
      <c r="C272" s="648"/>
      <c r="D272" s="44"/>
      <c r="E272" s="44"/>
      <c r="F272" s="44"/>
      <c r="G272" s="44"/>
      <c r="H272" s="44"/>
      <c r="I272" s="44"/>
      <c r="J272" s="44"/>
      <c r="K272" s="634">
        <f>SUM(D272:J272,D274:J274)</f>
        <v>0</v>
      </c>
      <c r="L272" s="262"/>
      <c r="M272" s="262"/>
    </row>
    <row r="273" spans="1:13" ht="23.25" customHeight="1">
      <c r="A273" s="646"/>
      <c r="B273" s="649"/>
      <c r="C273" s="648"/>
      <c r="D273" s="46" t="s">
        <v>155</v>
      </c>
      <c r="E273" s="46" t="s">
        <v>156</v>
      </c>
      <c r="F273" s="46" t="s">
        <v>157</v>
      </c>
      <c r="G273" s="46" t="s">
        <v>158</v>
      </c>
      <c r="H273" s="46" t="s">
        <v>159</v>
      </c>
      <c r="I273" s="46" t="s">
        <v>279</v>
      </c>
      <c r="J273" s="46" t="s">
        <v>160</v>
      </c>
      <c r="K273" s="635"/>
      <c r="L273" s="262"/>
      <c r="M273" s="262"/>
    </row>
    <row r="274" spans="1:13" ht="23.25" customHeight="1" thickBot="1">
      <c r="A274" s="646"/>
      <c r="B274" s="649"/>
      <c r="C274" s="648"/>
      <c r="D274" s="44"/>
      <c r="E274" s="44"/>
      <c r="F274" s="44"/>
      <c r="G274" s="44"/>
      <c r="H274" s="44"/>
      <c r="I274" s="44"/>
      <c r="J274" s="44"/>
      <c r="K274" s="259"/>
      <c r="L274" s="262"/>
      <c r="M274" s="262"/>
    </row>
    <row r="275" spans="1:13" ht="23.25" customHeight="1">
      <c r="A275" s="646">
        <v>121</v>
      </c>
      <c r="B275" s="647" t="s">
        <v>219</v>
      </c>
      <c r="C275" s="648">
        <v>275</v>
      </c>
      <c r="D275" s="46" t="s">
        <v>149</v>
      </c>
      <c r="E275" s="46" t="s">
        <v>150</v>
      </c>
      <c r="F275" s="46" t="s">
        <v>151</v>
      </c>
      <c r="G275" s="46" t="s">
        <v>152</v>
      </c>
      <c r="H275" s="46" t="s">
        <v>22</v>
      </c>
      <c r="I275" s="46" t="s">
        <v>153</v>
      </c>
      <c r="J275" s="46" t="s">
        <v>154</v>
      </c>
      <c r="K275" s="258"/>
      <c r="L275" s="262"/>
      <c r="M275" s="262"/>
    </row>
    <row r="276" spans="1:13" ht="23.25" customHeight="1">
      <c r="A276" s="646"/>
      <c r="B276" s="647"/>
      <c r="C276" s="648"/>
      <c r="D276" s="44">
        <v>275</v>
      </c>
      <c r="E276" s="44">
        <v>275</v>
      </c>
      <c r="F276" s="44">
        <v>275</v>
      </c>
      <c r="G276" s="44">
        <v>275</v>
      </c>
      <c r="H276" s="44">
        <v>90</v>
      </c>
      <c r="I276" s="44">
        <v>275</v>
      </c>
      <c r="J276" s="44">
        <v>275</v>
      </c>
      <c r="K276" s="634">
        <f>SUM(D276:J276,D278:J278)</f>
        <v>2290</v>
      </c>
      <c r="L276" s="262"/>
      <c r="M276" s="262"/>
    </row>
    <row r="277" spans="1:13" ht="23.25" customHeight="1">
      <c r="A277" s="646"/>
      <c r="B277" s="647"/>
      <c r="C277" s="648"/>
      <c r="D277" s="46" t="s">
        <v>155</v>
      </c>
      <c r="E277" s="46" t="s">
        <v>156</v>
      </c>
      <c r="F277" s="46" t="s">
        <v>157</v>
      </c>
      <c r="G277" s="46" t="s">
        <v>158</v>
      </c>
      <c r="H277" s="46" t="s">
        <v>159</v>
      </c>
      <c r="I277" s="46" t="s">
        <v>279</v>
      </c>
      <c r="J277" s="46" t="s">
        <v>160</v>
      </c>
      <c r="K277" s="635"/>
      <c r="L277" s="262"/>
      <c r="M277" s="262"/>
    </row>
    <row r="278" spans="1:13" ht="23.25" customHeight="1" thickBot="1">
      <c r="A278" s="646"/>
      <c r="B278" s="647"/>
      <c r="C278" s="648"/>
      <c r="D278" s="44">
        <v>275</v>
      </c>
      <c r="E278" s="44"/>
      <c r="F278" s="44"/>
      <c r="G278" s="44"/>
      <c r="H278" s="44"/>
      <c r="I278" s="44"/>
      <c r="J278" s="44">
        <v>275</v>
      </c>
      <c r="K278" s="259"/>
      <c r="L278" s="262"/>
      <c r="M278" s="262"/>
    </row>
    <row r="279" spans="1:13" s="127" customFormat="1" ht="23.25" customHeight="1">
      <c r="A279" s="644">
        <v>122</v>
      </c>
      <c r="B279" s="644" t="s">
        <v>220</v>
      </c>
      <c r="C279" s="645">
        <v>880</v>
      </c>
      <c r="D279" s="128" t="s">
        <v>149</v>
      </c>
      <c r="E279" s="128" t="s">
        <v>150</v>
      </c>
      <c r="F279" s="128" t="s">
        <v>151</v>
      </c>
      <c r="G279" s="128" t="s">
        <v>152</v>
      </c>
      <c r="H279" s="128" t="s">
        <v>22</v>
      </c>
      <c r="I279" s="128" t="s">
        <v>153</v>
      </c>
      <c r="J279" s="128" t="s">
        <v>154</v>
      </c>
      <c r="K279" s="258"/>
      <c r="L279" s="265"/>
      <c r="M279" s="265"/>
    </row>
    <row r="280" spans="1:13" s="127" customFormat="1" ht="23.25" customHeight="1">
      <c r="A280" s="644"/>
      <c r="B280" s="644"/>
      <c r="C280" s="645"/>
      <c r="D280" s="126">
        <v>880</v>
      </c>
      <c r="E280" s="126">
        <v>880</v>
      </c>
      <c r="F280" s="126">
        <v>880</v>
      </c>
      <c r="G280" s="126">
        <v>880</v>
      </c>
      <c r="H280" s="126">
        <v>180</v>
      </c>
      <c r="I280" s="126">
        <v>880</v>
      </c>
      <c r="J280" s="126">
        <v>880</v>
      </c>
      <c r="K280" s="634">
        <f>SUM(D280:J280,D282:J282)</f>
        <v>12320</v>
      </c>
      <c r="L280" s="265"/>
      <c r="M280" s="265"/>
    </row>
    <row r="281" spans="1:13" s="127" customFormat="1" ht="23.25" customHeight="1">
      <c r="A281" s="644"/>
      <c r="B281" s="644"/>
      <c r="C281" s="645"/>
      <c r="D281" s="128" t="s">
        <v>155</v>
      </c>
      <c r="E281" s="128" t="s">
        <v>156</v>
      </c>
      <c r="F281" s="128" t="s">
        <v>157</v>
      </c>
      <c r="G281" s="128" t="s">
        <v>158</v>
      </c>
      <c r="H281" s="128" t="s">
        <v>159</v>
      </c>
      <c r="I281" s="128" t="s">
        <v>279</v>
      </c>
      <c r="J281" s="128" t="s">
        <v>160</v>
      </c>
      <c r="K281" s="635"/>
      <c r="L281" s="265"/>
      <c r="M281" s="265"/>
    </row>
    <row r="282" spans="1:13" s="127" customFormat="1" ht="23.25" customHeight="1" thickBot="1">
      <c r="A282" s="644"/>
      <c r="B282" s="644"/>
      <c r="C282" s="645"/>
      <c r="D282" s="126">
        <v>1580</v>
      </c>
      <c r="E282" s="126">
        <v>880</v>
      </c>
      <c r="F282" s="126">
        <v>880</v>
      </c>
      <c r="G282" s="126">
        <v>880</v>
      </c>
      <c r="H282" s="126">
        <v>880</v>
      </c>
      <c r="I282" s="126">
        <v>880</v>
      </c>
      <c r="J282" s="126">
        <v>880</v>
      </c>
      <c r="K282" s="259"/>
      <c r="L282" s="265"/>
      <c r="M282" s="265"/>
    </row>
    <row r="283" spans="1:13" ht="23.25" customHeight="1">
      <c r="A283" s="646">
        <v>124</v>
      </c>
      <c r="B283" s="649" t="s">
        <v>221</v>
      </c>
      <c r="C283" s="648">
        <v>250</v>
      </c>
      <c r="D283" s="46" t="s">
        <v>149</v>
      </c>
      <c r="E283" s="46" t="s">
        <v>150</v>
      </c>
      <c r="F283" s="46" t="s">
        <v>151</v>
      </c>
      <c r="G283" s="46" t="s">
        <v>152</v>
      </c>
      <c r="H283" s="46" t="s">
        <v>22</v>
      </c>
      <c r="I283" s="46" t="s">
        <v>153</v>
      </c>
      <c r="J283" s="46" t="s">
        <v>154</v>
      </c>
      <c r="K283" s="258"/>
      <c r="L283" s="262"/>
      <c r="M283" s="262"/>
    </row>
    <row r="284" spans="1:13" ht="23.25" customHeight="1">
      <c r="A284" s="646"/>
      <c r="B284" s="649"/>
      <c r="C284" s="648"/>
      <c r="D284" s="44"/>
      <c r="E284" s="44"/>
      <c r="F284" s="44"/>
      <c r="G284" s="44"/>
      <c r="H284" s="44"/>
      <c r="I284" s="44"/>
      <c r="J284" s="44"/>
      <c r="K284" s="634">
        <f>SUM(D284:J284,D286:J286)</f>
        <v>0</v>
      </c>
      <c r="L284" s="262"/>
      <c r="M284" s="262"/>
    </row>
    <row r="285" spans="1:13" ht="23.25" customHeight="1">
      <c r="A285" s="646"/>
      <c r="B285" s="649"/>
      <c r="C285" s="648"/>
      <c r="D285" s="46" t="s">
        <v>155</v>
      </c>
      <c r="E285" s="46" t="s">
        <v>156</v>
      </c>
      <c r="F285" s="46" t="s">
        <v>157</v>
      </c>
      <c r="G285" s="46" t="s">
        <v>158</v>
      </c>
      <c r="H285" s="46" t="s">
        <v>159</v>
      </c>
      <c r="I285" s="46" t="s">
        <v>279</v>
      </c>
      <c r="J285" s="46" t="s">
        <v>160</v>
      </c>
      <c r="K285" s="635"/>
      <c r="L285" s="262"/>
      <c r="M285" s="262"/>
    </row>
    <row r="286" spans="1:13" ht="23.25" customHeight="1" thickBot="1">
      <c r="A286" s="646"/>
      <c r="B286" s="649"/>
      <c r="C286" s="648"/>
      <c r="D286" s="44"/>
      <c r="E286" s="44"/>
      <c r="F286" s="44"/>
      <c r="G286" s="44"/>
      <c r="H286" s="44"/>
      <c r="I286" s="44"/>
      <c r="J286" s="44"/>
      <c r="K286" s="259"/>
      <c r="L286" s="262"/>
      <c r="M286" s="262"/>
    </row>
    <row r="287" spans="1:13" s="127" customFormat="1" ht="23.25" customHeight="1">
      <c r="A287" s="644">
        <v>128</v>
      </c>
      <c r="B287" s="644" t="s">
        <v>222</v>
      </c>
      <c r="C287" s="645">
        <v>720</v>
      </c>
      <c r="D287" s="128" t="s">
        <v>149</v>
      </c>
      <c r="E287" s="128" t="s">
        <v>150</v>
      </c>
      <c r="F287" s="128" t="s">
        <v>151</v>
      </c>
      <c r="G287" s="128" t="s">
        <v>152</v>
      </c>
      <c r="H287" s="128" t="s">
        <v>22</v>
      </c>
      <c r="I287" s="128" t="s">
        <v>153</v>
      </c>
      <c r="J287" s="128" t="s">
        <v>154</v>
      </c>
      <c r="K287" s="258"/>
      <c r="L287" s="262"/>
      <c r="M287" s="262"/>
    </row>
    <row r="288" spans="1:13" s="127" customFormat="1" ht="23.25" customHeight="1">
      <c r="A288" s="644"/>
      <c r="B288" s="644"/>
      <c r="C288" s="645"/>
      <c r="D288" s="126">
        <v>720</v>
      </c>
      <c r="E288" s="126">
        <v>720</v>
      </c>
      <c r="F288" s="126">
        <v>755</v>
      </c>
      <c r="G288" s="126">
        <v>720</v>
      </c>
      <c r="H288" s="126"/>
      <c r="I288" s="126">
        <v>720</v>
      </c>
      <c r="J288" s="126">
        <v>720</v>
      </c>
      <c r="K288" s="634">
        <f>SUM(D288:J288,D290:J290)</f>
        <v>9395</v>
      </c>
      <c r="L288" s="262"/>
      <c r="M288" s="262"/>
    </row>
    <row r="289" spans="1:13" s="127" customFormat="1" ht="23.25" customHeight="1">
      <c r="A289" s="644"/>
      <c r="B289" s="644"/>
      <c r="C289" s="645"/>
      <c r="D289" s="128" t="s">
        <v>155</v>
      </c>
      <c r="E289" s="128" t="s">
        <v>156</v>
      </c>
      <c r="F289" s="128" t="s">
        <v>157</v>
      </c>
      <c r="G289" s="128" t="s">
        <v>158</v>
      </c>
      <c r="H289" s="128" t="s">
        <v>159</v>
      </c>
      <c r="I289" s="128" t="s">
        <v>279</v>
      </c>
      <c r="J289" s="128" t="s">
        <v>160</v>
      </c>
      <c r="K289" s="635"/>
      <c r="L289" s="262"/>
      <c r="M289" s="262"/>
    </row>
    <row r="290" spans="1:13" s="127" customFormat="1" ht="23.25" customHeight="1" thickBot="1">
      <c r="A290" s="644"/>
      <c r="B290" s="644"/>
      <c r="C290" s="645"/>
      <c r="D290" s="126">
        <v>720</v>
      </c>
      <c r="E290" s="126">
        <v>720</v>
      </c>
      <c r="F290" s="126">
        <v>720</v>
      </c>
      <c r="G290" s="126">
        <v>720</v>
      </c>
      <c r="H290" s="126">
        <v>720</v>
      </c>
      <c r="I290" s="126">
        <v>720</v>
      </c>
      <c r="J290" s="126">
        <v>720</v>
      </c>
      <c r="K290" s="259"/>
      <c r="L290" s="262"/>
      <c r="M290" s="262"/>
    </row>
    <row r="291" spans="1:13" s="127" customFormat="1" ht="23.25" customHeight="1">
      <c r="A291" s="644">
        <v>129</v>
      </c>
      <c r="B291" s="644" t="s">
        <v>223</v>
      </c>
      <c r="C291" s="645">
        <v>3300</v>
      </c>
      <c r="D291" s="128" t="s">
        <v>149</v>
      </c>
      <c r="E291" s="128" t="s">
        <v>150</v>
      </c>
      <c r="F291" s="128" t="s">
        <v>151</v>
      </c>
      <c r="G291" s="128" t="s">
        <v>152</v>
      </c>
      <c r="H291" s="128" t="s">
        <v>22</v>
      </c>
      <c r="I291" s="128" t="s">
        <v>153</v>
      </c>
      <c r="J291" s="128" t="s">
        <v>154</v>
      </c>
      <c r="K291" s="258"/>
      <c r="L291" s="262"/>
      <c r="M291" s="262"/>
    </row>
    <row r="292" spans="1:13" s="127" customFormat="1" ht="23.25" customHeight="1">
      <c r="A292" s="644"/>
      <c r="B292" s="644"/>
      <c r="C292" s="645"/>
      <c r="D292" s="126">
        <v>3300</v>
      </c>
      <c r="E292" s="126">
        <v>3300</v>
      </c>
      <c r="F292" s="126">
        <v>3300</v>
      </c>
      <c r="G292" s="126">
        <v>3300</v>
      </c>
      <c r="H292" s="126">
        <v>360</v>
      </c>
      <c r="I292" s="126">
        <v>3300</v>
      </c>
      <c r="J292" s="126">
        <v>3300</v>
      </c>
      <c r="K292" s="634">
        <f>SUM(D292:J292,D294:J294)</f>
        <v>43800</v>
      </c>
      <c r="L292" s="262"/>
      <c r="M292" s="262"/>
    </row>
    <row r="293" spans="1:13" s="127" customFormat="1" ht="23.25" customHeight="1">
      <c r="A293" s="644"/>
      <c r="B293" s="644"/>
      <c r="C293" s="645"/>
      <c r="D293" s="128" t="s">
        <v>155</v>
      </c>
      <c r="E293" s="128" t="s">
        <v>156</v>
      </c>
      <c r="F293" s="128" t="s">
        <v>157</v>
      </c>
      <c r="G293" s="128" t="s">
        <v>158</v>
      </c>
      <c r="H293" s="128" t="s">
        <v>159</v>
      </c>
      <c r="I293" s="128" t="s">
        <v>279</v>
      </c>
      <c r="J293" s="128" t="s">
        <v>160</v>
      </c>
      <c r="K293" s="635"/>
      <c r="L293" s="262"/>
      <c r="M293" s="262"/>
    </row>
    <row r="294" spans="1:13" s="127" customFormat="1" ht="23.25" customHeight="1" thickBot="1">
      <c r="A294" s="644"/>
      <c r="B294" s="644"/>
      <c r="C294" s="645"/>
      <c r="D294" s="126">
        <v>3340</v>
      </c>
      <c r="E294" s="126">
        <v>3800</v>
      </c>
      <c r="F294" s="126">
        <v>3300</v>
      </c>
      <c r="G294" s="126">
        <v>3300</v>
      </c>
      <c r="H294" s="126">
        <v>3300</v>
      </c>
      <c r="I294" s="126">
        <v>3300</v>
      </c>
      <c r="J294" s="126">
        <v>3300</v>
      </c>
      <c r="K294" s="259"/>
      <c r="L294" s="262"/>
      <c r="M294" s="262"/>
    </row>
    <row r="295" spans="1:13" s="127" customFormat="1" ht="23.25" customHeight="1">
      <c r="A295" s="644">
        <v>130</v>
      </c>
      <c r="B295" s="644" t="s">
        <v>224</v>
      </c>
      <c r="C295" s="645">
        <v>215</v>
      </c>
      <c r="D295" s="128" t="s">
        <v>149</v>
      </c>
      <c r="E295" s="128" t="s">
        <v>150</v>
      </c>
      <c r="F295" s="128" t="s">
        <v>151</v>
      </c>
      <c r="G295" s="128" t="s">
        <v>152</v>
      </c>
      <c r="H295" s="128" t="s">
        <v>22</v>
      </c>
      <c r="I295" s="128" t="s">
        <v>153</v>
      </c>
      <c r="J295" s="128" t="s">
        <v>154</v>
      </c>
      <c r="K295" s="258"/>
      <c r="L295" s="262"/>
      <c r="M295" s="262"/>
    </row>
    <row r="296" spans="1:13" s="127" customFormat="1" ht="23.25" customHeight="1">
      <c r="A296" s="644"/>
      <c r="B296" s="644"/>
      <c r="C296" s="645"/>
      <c r="D296" s="126">
        <v>215</v>
      </c>
      <c r="E296" s="126">
        <v>215</v>
      </c>
      <c r="F296" s="126">
        <v>215</v>
      </c>
      <c r="G296" s="126">
        <v>215</v>
      </c>
      <c r="H296" s="126">
        <v>90</v>
      </c>
      <c r="I296" s="126">
        <v>215</v>
      </c>
      <c r="J296" s="126">
        <v>215</v>
      </c>
      <c r="K296" s="634">
        <f>SUM(D296:J296,D298:J298)</f>
        <v>2885</v>
      </c>
      <c r="L296" s="262"/>
      <c r="M296" s="262"/>
    </row>
    <row r="297" spans="1:13" s="127" customFormat="1" ht="23.25" customHeight="1">
      <c r="A297" s="644"/>
      <c r="B297" s="644"/>
      <c r="C297" s="645"/>
      <c r="D297" s="128" t="s">
        <v>155</v>
      </c>
      <c r="E297" s="128" t="s">
        <v>156</v>
      </c>
      <c r="F297" s="128" t="s">
        <v>157</v>
      </c>
      <c r="G297" s="128" t="s">
        <v>158</v>
      </c>
      <c r="H297" s="128" t="s">
        <v>159</v>
      </c>
      <c r="I297" s="128" t="s">
        <v>279</v>
      </c>
      <c r="J297" s="128" t="s">
        <v>160</v>
      </c>
      <c r="K297" s="635"/>
      <c r="L297" s="262"/>
      <c r="M297" s="262"/>
    </row>
    <row r="298" spans="1:13" s="127" customFormat="1" ht="23.25" customHeight="1" thickBot="1">
      <c r="A298" s="644"/>
      <c r="B298" s="644"/>
      <c r="C298" s="645"/>
      <c r="D298" s="126">
        <v>215</v>
      </c>
      <c r="E298" s="126">
        <v>215</v>
      </c>
      <c r="F298" s="126">
        <v>215</v>
      </c>
      <c r="G298" s="126">
        <v>215</v>
      </c>
      <c r="H298" s="126">
        <v>215</v>
      </c>
      <c r="I298" s="126">
        <v>215</v>
      </c>
      <c r="J298" s="126">
        <v>215</v>
      </c>
      <c r="K298" s="259"/>
      <c r="L298" s="262"/>
      <c r="M298" s="262"/>
    </row>
    <row r="299" spans="1:13" s="127" customFormat="1" ht="23.25" customHeight="1">
      <c r="A299" s="644">
        <v>132</v>
      </c>
      <c r="B299" s="644" t="s">
        <v>225</v>
      </c>
      <c r="C299" s="645">
        <v>985</v>
      </c>
      <c r="D299" s="128" t="s">
        <v>149</v>
      </c>
      <c r="E299" s="128" t="s">
        <v>150</v>
      </c>
      <c r="F299" s="128" t="s">
        <v>151</v>
      </c>
      <c r="G299" s="128" t="s">
        <v>152</v>
      </c>
      <c r="H299" s="128" t="s">
        <v>22</v>
      </c>
      <c r="I299" s="128" t="s">
        <v>153</v>
      </c>
      <c r="J299" s="128" t="s">
        <v>154</v>
      </c>
      <c r="K299" s="258"/>
      <c r="L299" s="262"/>
      <c r="M299" s="262"/>
    </row>
    <row r="300" spans="1:13" s="127" customFormat="1" ht="23.25" customHeight="1">
      <c r="A300" s="644"/>
      <c r="B300" s="644"/>
      <c r="C300" s="645"/>
      <c r="D300" s="126">
        <v>985</v>
      </c>
      <c r="E300" s="126">
        <v>985</v>
      </c>
      <c r="F300" s="126">
        <v>985</v>
      </c>
      <c r="G300" s="126">
        <v>985</v>
      </c>
      <c r="H300" s="126"/>
      <c r="I300" s="126">
        <v>985</v>
      </c>
      <c r="J300" s="126">
        <v>985</v>
      </c>
      <c r="K300" s="634">
        <f>SUM(D300:J300,D302:J302)</f>
        <v>12962.5</v>
      </c>
      <c r="L300" s="262"/>
      <c r="M300" s="262"/>
    </row>
    <row r="301" spans="1:13" s="127" customFormat="1" ht="23.25" customHeight="1">
      <c r="A301" s="644"/>
      <c r="B301" s="644"/>
      <c r="C301" s="645"/>
      <c r="D301" s="128" t="s">
        <v>155</v>
      </c>
      <c r="E301" s="128" t="s">
        <v>156</v>
      </c>
      <c r="F301" s="128" t="s">
        <v>157</v>
      </c>
      <c r="G301" s="128" t="s">
        <v>158</v>
      </c>
      <c r="H301" s="128" t="s">
        <v>159</v>
      </c>
      <c r="I301" s="128" t="s">
        <v>279</v>
      </c>
      <c r="J301" s="128" t="s">
        <v>160</v>
      </c>
      <c r="K301" s="635"/>
      <c r="L301" s="262"/>
      <c r="M301" s="262"/>
    </row>
    <row r="302" spans="1:13" s="127" customFormat="1" ht="23.25" customHeight="1" thickBot="1">
      <c r="A302" s="644"/>
      <c r="B302" s="644"/>
      <c r="C302" s="645"/>
      <c r="D302" s="126">
        <v>985</v>
      </c>
      <c r="E302" s="126">
        <v>1635</v>
      </c>
      <c r="F302" s="126">
        <v>985</v>
      </c>
      <c r="G302" s="126">
        <v>985</v>
      </c>
      <c r="H302" s="126">
        <v>1477.5</v>
      </c>
      <c r="I302" s="126"/>
      <c r="J302" s="126">
        <v>985</v>
      </c>
      <c r="K302" s="259"/>
      <c r="L302" s="262"/>
      <c r="M302" s="262"/>
    </row>
    <row r="303" spans="1:13" ht="23.25" customHeight="1">
      <c r="A303" s="646">
        <v>137</v>
      </c>
      <c r="B303" s="646" t="s">
        <v>226</v>
      </c>
      <c r="C303" s="648">
        <v>510</v>
      </c>
      <c r="D303" s="46" t="s">
        <v>149</v>
      </c>
      <c r="E303" s="46" t="s">
        <v>150</v>
      </c>
      <c r="F303" s="46" t="s">
        <v>151</v>
      </c>
      <c r="G303" s="46" t="s">
        <v>152</v>
      </c>
      <c r="H303" s="46" t="s">
        <v>22</v>
      </c>
      <c r="I303" s="46" t="s">
        <v>153</v>
      </c>
      <c r="J303" s="46" t="s">
        <v>154</v>
      </c>
      <c r="K303" s="258"/>
      <c r="L303" s="262"/>
      <c r="M303" s="262"/>
    </row>
    <row r="304" spans="1:13" ht="23.25" customHeight="1">
      <c r="A304" s="646"/>
      <c r="B304" s="646"/>
      <c r="C304" s="648"/>
      <c r="D304" s="44">
        <v>510</v>
      </c>
      <c r="E304" s="44"/>
      <c r="F304" s="44"/>
      <c r="G304" s="44"/>
      <c r="H304" s="44"/>
      <c r="I304" s="44"/>
      <c r="J304" s="44"/>
      <c r="K304" s="634">
        <f>SUM(D304:J304,D306:J306)</f>
        <v>510</v>
      </c>
      <c r="L304" s="262"/>
      <c r="M304" s="262" t="s">
        <v>392</v>
      </c>
    </row>
    <row r="305" spans="1:13" ht="23.25" customHeight="1">
      <c r="A305" s="646"/>
      <c r="B305" s="646"/>
      <c r="C305" s="648"/>
      <c r="D305" s="46" t="s">
        <v>155</v>
      </c>
      <c r="E305" s="46" t="s">
        <v>156</v>
      </c>
      <c r="F305" s="46" t="s">
        <v>157</v>
      </c>
      <c r="G305" s="46" t="s">
        <v>158</v>
      </c>
      <c r="H305" s="46" t="s">
        <v>159</v>
      </c>
      <c r="I305" s="46" t="s">
        <v>279</v>
      </c>
      <c r="J305" s="46" t="s">
        <v>160</v>
      </c>
      <c r="K305" s="635"/>
      <c r="L305" s="262"/>
      <c r="M305" s="262"/>
    </row>
    <row r="306" spans="1:13" ht="23.25" customHeight="1" thickBot="1">
      <c r="A306" s="646"/>
      <c r="B306" s="646"/>
      <c r="C306" s="648"/>
      <c r="D306" s="44"/>
      <c r="E306" s="44"/>
      <c r="F306" s="44"/>
      <c r="G306" s="44"/>
      <c r="H306" s="44"/>
      <c r="I306" s="44"/>
      <c r="J306" s="44"/>
      <c r="K306" s="259"/>
      <c r="L306" s="262"/>
      <c r="M306" s="262"/>
    </row>
    <row r="307" spans="1:13" s="127" customFormat="1" ht="23.25" customHeight="1">
      <c r="A307" s="644">
        <v>138</v>
      </c>
      <c r="B307" s="644" t="s">
        <v>227</v>
      </c>
      <c r="C307" s="645">
        <v>280</v>
      </c>
      <c r="D307" s="128" t="s">
        <v>149</v>
      </c>
      <c r="E307" s="128" t="s">
        <v>150</v>
      </c>
      <c r="F307" s="128" t="s">
        <v>151</v>
      </c>
      <c r="G307" s="128" t="s">
        <v>152</v>
      </c>
      <c r="H307" s="128" t="s">
        <v>22</v>
      </c>
      <c r="I307" s="128" t="s">
        <v>153</v>
      </c>
      <c r="J307" s="128" t="s">
        <v>154</v>
      </c>
      <c r="K307" s="258"/>
      <c r="L307" s="262"/>
      <c r="M307" s="262"/>
    </row>
    <row r="308" spans="1:13" s="127" customFormat="1" ht="23.25" customHeight="1">
      <c r="A308" s="644"/>
      <c r="B308" s="644"/>
      <c r="C308" s="645"/>
      <c r="D308" s="126">
        <v>1000</v>
      </c>
      <c r="E308" s="126">
        <v>280</v>
      </c>
      <c r="F308" s="126">
        <v>280</v>
      </c>
      <c r="G308" s="126">
        <v>280</v>
      </c>
      <c r="H308" s="126"/>
      <c r="I308" s="126">
        <v>280</v>
      </c>
      <c r="J308" s="126">
        <v>280</v>
      </c>
      <c r="K308" s="634">
        <f>SUM(D308:J308,D310:J310)</f>
        <v>4360</v>
      </c>
      <c r="L308" s="262"/>
      <c r="M308" s="262"/>
    </row>
    <row r="309" spans="1:13" s="127" customFormat="1" ht="23.25" customHeight="1">
      <c r="A309" s="644"/>
      <c r="B309" s="644"/>
      <c r="C309" s="645"/>
      <c r="D309" s="128" t="s">
        <v>155</v>
      </c>
      <c r="E309" s="128" t="s">
        <v>156</v>
      </c>
      <c r="F309" s="128" t="s">
        <v>157</v>
      </c>
      <c r="G309" s="128" t="s">
        <v>158</v>
      </c>
      <c r="H309" s="128" t="s">
        <v>159</v>
      </c>
      <c r="I309" s="128" t="s">
        <v>279</v>
      </c>
      <c r="J309" s="128" t="s">
        <v>160</v>
      </c>
      <c r="K309" s="635"/>
      <c r="L309" s="262" t="s">
        <v>972</v>
      </c>
      <c r="M309" s="262"/>
    </row>
    <row r="310" spans="1:13" s="127" customFormat="1" ht="23.25" customHeight="1" thickBot="1">
      <c r="A310" s="644"/>
      <c r="B310" s="644"/>
      <c r="C310" s="645"/>
      <c r="D310" s="126">
        <v>280</v>
      </c>
      <c r="E310" s="126">
        <v>280</v>
      </c>
      <c r="F310" s="126">
        <v>280</v>
      </c>
      <c r="G310" s="126">
        <v>280</v>
      </c>
      <c r="H310" s="126">
        <v>280</v>
      </c>
      <c r="I310" s="126">
        <v>280</v>
      </c>
      <c r="J310" s="126">
        <v>280</v>
      </c>
      <c r="K310" s="259"/>
      <c r="L310" s="262"/>
      <c r="M310" s="262"/>
    </row>
    <row r="311" spans="1:13" s="127" customFormat="1" ht="23.25" customHeight="1">
      <c r="A311" s="644">
        <v>145</v>
      </c>
      <c r="B311" s="644" t="s">
        <v>228</v>
      </c>
      <c r="C311" s="645">
        <v>135</v>
      </c>
      <c r="D311" s="128" t="s">
        <v>149</v>
      </c>
      <c r="E311" s="128" t="s">
        <v>150</v>
      </c>
      <c r="F311" s="128" t="s">
        <v>151</v>
      </c>
      <c r="G311" s="128" t="s">
        <v>152</v>
      </c>
      <c r="H311" s="128" t="s">
        <v>22</v>
      </c>
      <c r="I311" s="128" t="s">
        <v>153</v>
      </c>
      <c r="J311" s="128" t="s">
        <v>154</v>
      </c>
      <c r="K311" s="258"/>
      <c r="L311" s="262"/>
      <c r="M311" s="262"/>
    </row>
    <row r="312" spans="1:13" s="127" customFormat="1" ht="23.25" customHeight="1">
      <c r="A312" s="644"/>
      <c r="B312" s="644"/>
      <c r="C312" s="645"/>
      <c r="D312" s="126">
        <v>135</v>
      </c>
      <c r="E312" s="126">
        <v>135</v>
      </c>
      <c r="F312" s="126">
        <v>135</v>
      </c>
      <c r="G312" s="126">
        <v>135</v>
      </c>
      <c r="H312" s="126">
        <v>180</v>
      </c>
      <c r="I312" s="126">
        <v>135</v>
      </c>
      <c r="J312" s="126">
        <v>135</v>
      </c>
      <c r="K312" s="634">
        <f>SUM(D312:J312,D314:J314)</f>
        <v>1935</v>
      </c>
      <c r="L312" s="262"/>
      <c r="M312" s="262"/>
    </row>
    <row r="313" spans="1:13" s="127" customFormat="1" ht="23.25" customHeight="1">
      <c r="A313" s="644"/>
      <c r="B313" s="644"/>
      <c r="C313" s="645"/>
      <c r="D313" s="128" t="s">
        <v>155</v>
      </c>
      <c r="E313" s="128" t="s">
        <v>156</v>
      </c>
      <c r="F313" s="128" t="s">
        <v>157</v>
      </c>
      <c r="G313" s="128" t="s">
        <v>158</v>
      </c>
      <c r="H313" s="128" t="s">
        <v>159</v>
      </c>
      <c r="I313" s="128" t="s">
        <v>279</v>
      </c>
      <c r="J313" s="128" t="s">
        <v>160</v>
      </c>
      <c r="K313" s="635"/>
      <c r="L313" s="262"/>
      <c r="M313" s="262"/>
    </row>
    <row r="314" spans="1:13" s="127" customFormat="1" ht="23.25" customHeight="1" thickBot="1">
      <c r="A314" s="644"/>
      <c r="B314" s="644"/>
      <c r="C314" s="645"/>
      <c r="D314" s="126">
        <v>135</v>
      </c>
      <c r="E314" s="126">
        <v>135</v>
      </c>
      <c r="F314" s="126">
        <v>135</v>
      </c>
      <c r="G314" s="126">
        <v>135</v>
      </c>
      <c r="H314" s="126">
        <v>135</v>
      </c>
      <c r="I314" s="126">
        <v>135</v>
      </c>
      <c r="J314" s="126">
        <v>135</v>
      </c>
      <c r="K314" s="259"/>
      <c r="L314" s="262"/>
      <c r="M314" s="262"/>
    </row>
    <row r="315" spans="1:13" s="127" customFormat="1" ht="23.25" customHeight="1">
      <c r="A315" s="644">
        <v>146</v>
      </c>
      <c r="B315" s="644" t="s">
        <v>229</v>
      </c>
      <c r="C315" s="645">
        <v>430</v>
      </c>
      <c r="D315" s="128" t="s">
        <v>149</v>
      </c>
      <c r="E315" s="128" t="s">
        <v>150</v>
      </c>
      <c r="F315" s="128" t="s">
        <v>151</v>
      </c>
      <c r="G315" s="128" t="s">
        <v>152</v>
      </c>
      <c r="H315" s="128" t="s">
        <v>22</v>
      </c>
      <c r="I315" s="128" t="s">
        <v>153</v>
      </c>
      <c r="J315" s="128" t="s">
        <v>154</v>
      </c>
      <c r="K315" s="258"/>
      <c r="L315" s="262"/>
      <c r="M315" s="262"/>
    </row>
    <row r="316" spans="1:13" s="127" customFormat="1" ht="23.25" customHeight="1">
      <c r="A316" s="644"/>
      <c r="B316" s="644"/>
      <c r="C316" s="645"/>
      <c r="D316" s="126">
        <v>430</v>
      </c>
      <c r="E316" s="126">
        <v>430</v>
      </c>
      <c r="F316" s="126">
        <v>430</v>
      </c>
      <c r="G316" s="126">
        <v>430</v>
      </c>
      <c r="H316" s="126"/>
      <c r="I316" s="126">
        <v>430</v>
      </c>
      <c r="J316" s="126">
        <v>430</v>
      </c>
      <c r="K316" s="634">
        <f>SUM(D316:J316,D318:J318)</f>
        <v>5590</v>
      </c>
      <c r="L316" s="262"/>
      <c r="M316" s="262"/>
    </row>
    <row r="317" spans="1:13" s="127" customFormat="1" ht="23.25" customHeight="1">
      <c r="A317" s="644"/>
      <c r="B317" s="644"/>
      <c r="C317" s="645"/>
      <c r="D317" s="128" t="s">
        <v>155</v>
      </c>
      <c r="E317" s="128" t="s">
        <v>156</v>
      </c>
      <c r="F317" s="128" t="s">
        <v>157</v>
      </c>
      <c r="G317" s="128" t="s">
        <v>158</v>
      </c>
      <c r="H317" s="128" t="s">
        <v>159</v>
      </c>
      <c r="I317" s="128" t="s">
        <v>279</v>
      </c>
      <c r="J317" s="128" t="s">
        <v>160</v>
      </c>
      <c r="K317" s="635"/>
      <c r="L317" s="262"/>
      <c r="M317" s="262"/>
    </row>
    <row r="318" spans="1:13" s="127" customFormat="1" ht="23.25" customHeight="1" thickBot="1">
      <c r="A318" s="644"/>
      <c r="B318" s="644"/>
      <c r="C318" s="645"/>
      <c r="D318" s="126">
        <v>430</v>
      </c>
      <c r="E318" s="126">
        <v>430</v>
      </c>
      <c r="F318" s="126">
        <v>430</v>
      </c>
      <c r="G318" s="126">
        <v>430</v>
      </c>
      <c r="H318" s="126">
        <v>430</v>
      </c>
      <c r="I318" s="126">
        <v>430</v>
      </c>
      <c r="J318" s="126">
        <v>430</v>
      </c>
      <c r="K318" s="259"/>
      <c r="L318" s="262"/>
      <c r="M318" s="262"/>
    </row>
    <row r="319" spans="1:13" s="127" customFormat="1" ht="23.25" customHeight="1">
      <c r="A319" s="644">
        <v>147</v>
      </c>
      <c r="B319" s="644" t="s">
        <v>230</v>
      </c>
      <c r="C319" s="645">
        <v>340</v>
      </c>
      <c r="D319" s="128" t="s">
        <v>149</v>
      </c>
      <c r="E319" s="128" t="s">
        <v>150</v>
      </c>
      <c r="F319" s="128" t="s">
        <v>151</v>
      </c>
      <c r="G319" s="128" t="s">
        <v>152</v>
      </c>
      <c r="H319" s="128" t="s">
        <v>22</v>
      </c>
      <c r="I319" s="128" t="s">
        <v>153</v>
      </c>
      <c r="J319" s="128" t="s">
        <v>154</v>
      </c>
      <c r="K319" s="258"/>
      <c r="L319" s="262"/>
      <c r="M319" s="262"/>
    </row>
    <row r="320" spans="1:13" s="127" customFormat="1" ht="23.25" customHeight="1">
      <c r="A320" s="644"/>
      <c r="B320" s="644"/>
      <c r="C320" s="645"/>
      <c r="D320" s="126">
        <v>340</v>
      </c>
      <c r="E320" s="126">
        <v>340</v>
      </c>
      <c r="F320" s="126">
        <v>340</v>
      </c>
      <c r="G320" s="126">
        <v>340</v>
      </c>
      <c r="H320" s="126">
        <v>180</v>
      </c>
      <c r="I320" s="126">
        <v>340</v>
      </c>
      <c r="J320" s="126">
        <v>340</v>
      </c>
      <c r="K320" s="634">
        <f>SUM(D320:J320,D322:J322)</f>
        <v>4600</v>
      </c>
      <c r="L320" s="262"/>
      <c r="M320" s="262"/>
    </row>
    <row r="321" spans="1:13" s="127" customFormat="1" ht="23.25" customHeight="1">
      <c r="A321" s="644"/>
      <c r="B321" s="644"/>
      <c r="C321" s="645"/>
      <c r="D321" s="128" t="s">
        <v>155</v>
      </c>
      <c r="E321" s="128" t="s">
        <v>156</v>
      </c>
      <c r="F321" s="128" t="s">
        <v>157</v>
      </c>
      <c r="G321" s="128" t="s">
        <v>158</v>
      </c>
      <c r="H321" s="128" t="s">
        <v>159</v>
      </c>
      <c r="I321" s="128" t="s">
        <v>279</v>
      </c>
      <c r="J321" s="128" t="s">
        <v>160</v>
      </c>
      <c r="K321" s="635"/>
      <c r="L321" s="262"/>
      <c r="M321" s="262"/>
    </row>
    <row r="322" spans="1:13" s="127" customFormat="1" ht="23.25" customHeight="1" thickBot="1">
      <c r="A322" s="644"/>
      <c r="B322" s="644"/>
      <c r="C322" s="645"/>
      <c r="D322" s="126">
        <v>340</v>
      </c>
      <c r="E322" s="126">
        <v>340</v>
      </c>
      <c r="F322" s="126">
        <v>340</v>
      </c>
      <c r="G322" s="126">
        <v>340</v>
      </c>
      <c r="H322" s="126">
        <v>340</v>
      </c>
      <c r="I322" s="126">
        <v>340</v>
      </c>
      <c r="J322" s="126">
        <v>340</v>
      </c>
      <c r="K322" s="259"/>
      <c r="L322" s="262"/>
      <c r="M322" s="262"/>
    </row>
    <row r="323" spans="1:13" ht="23.25" customHeight="1">
      <c r="A323" s="646">
        <v>149</v>
      </c>
      <c r="B323" s="646" t="s">
        <v>231</v>
      </c>
      <c r="C323" s="648">
        <v>242</v>
      </c>
      <c r="D323" s="46" t="s">
        <v>149</v>
      </c>
      <c r="E323" s="46" t="s">
        <v>150</v>
      </c>
      <c r="F323" s="46" t="s">
        <v>151</v>
      </c>
      <c r="G323" s="46" t="s">
        <v>152</v>
      </c>
      <c r="H323" s="46" t="s">
        <v>22</v>
      </c>
      <c r="I323" s="46" t="s">
        <v>153</v>
      </c>
      <c r="J323" s="46" t="s">
        <v>154</v>
      </c>
      <c r="K323" s="258"/>
      <c r="L323" s="262"/>
      <c r="M323" s="262"/>
    </row>
    <row r="324" spans="1:13" ht="23.25" customHeight="1">
      <c r="A324" s="646"/>
      <c r="B324" s="646"/>
      <c r="C324" s="648"/>
      <c r="D324" s="44"/>
      <c r="E324" s="44"/>
      <c r="F324" s="44"/>
      <c r="G324" s="44"/>
      <c r="H324" s="44"/>
      <c r="I324" s="44"/>
      <c r="J324" s="44"/>
      <c r="K324" s="634">
        <f>SUM(D324:J324,D326:J326)</f>
        <v>0</v>
      </c>
      <c r="L324" s="262"/>
      <c r="M324" s="262" t="s">
        <v>393</v>
      </c>
    </row>
    <row r="325" spans="1:13" ht="23.25" customHeight="1">
      <c r="A325" s="646"/>
      <c r="B325" s="646"/>
      <c r="C325" s="648"/>
      <c r="D325" s="46" t="s">
        <v>155</v>
      </c>
      <c r="E325" s="46" t="s">
        <v>156</v>
      </c>
      <c r="F325" s="46" t="s">
        <v>157</v>
      </c>
      <c r="G325" s="46" t="s">
        <v>158</v>
      </c>
      <c r="H325" s="46" t="s">
        <v>159</v>
      </c>
      <c r="I325" s="46" t="s">
        <v>279</v>
      </c>
      <c r="J325" s="46" t="s">
        <v>160</v>
      </c>
      <c r="K325" s="635"/>
      <c r="L325" s="262"/>
      <c r="M325" s="262"/>
    </row>
    <row r="326" spans="1:13" ht="23.25" customHeight="1" thickBot="1">
      <c r="A326" s="646"/>
      <c r="B326" s="646"/>
      <c r="C326" s="648"/>
      <c r="D326" s="44"/>
      <c r="E326" s="44"/>
      <c r="F326" s="44"/>
      <c r="G326" s="44"/>
      <c r="H326" s="44"/>
      <c r="I326" s="44"/>
      <c r="J326" s="44"/>
      <c r="K326" s="259"/>
      <c r="L326" s="262"/>
      <c r="M326" s="262"/>
    </row>
    <row r="327" spans="1:13" ht="23.25" customHeight="1">
      <c r="A327" s="646">
        <v>153</v>
      </c>
      <c r="B327" s="646" t="s">
        <v>232</v>
      </c>
      <c r="C327" s="648">
        <v>242</v>
      </c>
      <c r="D327" s="46" t="s">
        <v>149</v>
      </c>
      <c r="E327" s="46" t="s">
        <v>150</v>
      </c>
      <c r="F327" s="46" t="s">
        <v>151</v>
      </c>
      <c r="G327" s="46" t="s">
        <v>152</v>
      </c>
      <c r="H327" s="46" t="s">
        <v>22</v>
      </c>
      <c r="I327" s="46" t="s">
        <v>153</v>
      </c>
      <c r="J327" s="46" t="s">
        <v>154</v>
      </c>
      <c r="K327" s="258"/>
      <c r="L327" s="262"/>
      <c r="M327" s="262"/>
    </row>
    <row r="328" spans="1:13" ht="23.25" customHeight="1">
      <c r="A328" s="646"/>
      <c r="B328" s="646"/>
      <c r="C328" s="648"/>
      <c r="D328" s="44">
        <v>242</v>
      </c>
      <c r="E328" s="44">
        <v>242</v>
      </c>
      <c r="F328" s="96">
        <v>242</v>
      </c>
      <c r="G328" s="44">
        <v>242</v>
      </c>
      <c r="H328" s="44"/>
      <c r="I328" s="44">
        <v>242</v>
      </c>
      <c r="J328" s="44">
        <v>242</v>
      </c>
      <c r="K328" s="634">
        <f>SUM(D328:J328,D330:J330)</f>
        <v>2662</v>
      </c>
      <c r="L328" s="262"/>
      <c r="M328" s="262"/>
    </row>
    <row r="329" spans="1:13" ht="23.25" customHeight="1">
      <c r="A329" s="646"/>
      <c r="B329" s="646"/>
      <c r="C329" s="648"/>
      <c r="D329" s="46" t="s">
        <v>155</v>
      </c>
      <c r="E329" s="46" t="s">
        <v>156</v>
      </c>
      <c r="F329" s="46" t="s">
        <v>157</v>
      </c>
      <c r="G329" s="46" t="s">
        <v>158</v>
      </c>
      <c r="H329" s="46" t="s">
        <v>159</v>
      </c>
      <c r="I329" s="46" t="s">
        <v>279</v>
      </c>
      <c r="J329" s="46" t="s">
        <v>160</v>
      </c>
      <c r="K329" s="635"/>
      <c r="L329" s="262"/>
      <c r="M329" s="262"/>
    </row>
    <row r="330" spans="1:13" ht="23.25" customHeight="1" thickBot="1">
      <c r="A330" s="646"/>
      <c r="B330" s="646"/>
      <c r="C330" s="648"/>
      <c r="D330" s="44">
        <v>242</v>
      </c>
      <c r="E330" s="44"/>
      <c r="F330" s="44">
        <v>242</v>
      </c>
      <c r="G330" s="44">
        <v>242</v>
      </c>
      <c r="H330" s="44">
        <v>242</v>
      </c>
      <c r="I330" s="44"/>
      <c r="J330" s="44">
        <v>242</v>
      </c>
      <c r="K330" s="259"/>
      <c r="L330" s="262"/>
      <c r="M330" s="262"/>
    </row>
    <row r="331" spans="1:13" ht="23.25" customHeight="1">
      <c r="A331" s="646">
        <v>155</v>
      </c>
      <c r="B331" s="647" t="s">
        <v>233</v>
      </c>
      <c r="C331" s="648">
        <v>200</v>
      </c>
      <c r="D331" s="46" t="s">
        <v>149</v>
      </c>
      <c r="E331" s="46" t="s">
        <v>150</v>
      </c>
      <c r="F331" s="46" t="s">
        <v>151</v>
      </c>
      <c r="G331" s="46" t="s">
        <v>152</v>
      </c>
      <c r="H331" s="46" t="s">
        <v>22</v>
      </c>
      <c r="I331" s="46" t="s">
        <v>153</v>
      </c>
      <c r="J331" s="361">
        <v>45603</v>
      </c>
      <c r="K331" s="258"/>
      <c r="L331" s="262"/>
      <c r="M331" s="262"/>
    </row>
    <row r="332" spans="1:13" ht="23.25" customHeight="1">
      <c r="A332" s="646"/>
      <c r="B332" s="647"/>
      <c r="C332" s="648"/>
      <c r="D332" s="44">
        <v>200</v>
      </c>
      <c r="E332" s="44">
        <v>200</v>
      </c>
      <c r="F332" s="44">
        <v>200</v>
      </c>
      <c r="G332" s="44">
        <v>200</v>
      </c>
      <c r="H332" s="44"/>
      <c r="I332" s="44">
        <v>200</v>
      </c>
      <c r="J332" s="44">
        <v>200</v>
      </c>
      <c r="K332" s="634">
        <f>SUM(D332:J332,D334:J334)</f>
        <v>2200</v>
      </c>
      <c r="L332" s="262"/>
      <c r="M332" s="262"/>
    </row>
    <row r="333" spans="1:13" ht="23.25" customHeight="1">
      <c r="A333" s="646"/>
      <c r="B333" s="647"/>
      <c r="C333" s="648"/>
      <c r="D333" s="46" t="s">
        <v>155</v>
      </c>
      <c r="E333" s="46" t="s">
        <v>156</v>
      </c>
      <c r="F333" s="46" t="s">
        <v>157</v>
      </c>
      <c r="G333" s="46" t="s">
        <v>158</v>
      </c>
      <c r="H333" s="46" t="s">
        <v>159</v>
      </c>
      <c r="I333" s="46" t="s">
        <v>279</v>
      </c>
      <c r="J333" s="46" t="s">
        <v>160</v>
      </c>
      <c r="K333" s="635"/>
      <c r="L333" s="262"/>
      <c r="M333" s="262"/>
    </row>
    <row r="334" spans="1:13" ht="23.25" customHeight="1" thickBot="1">
      <c r="A334" s="646"/>
      <c r="B334" s="647"/>
      <c r="C334" s="648"/>
      <c r="D334" s="44">
        <v>200</v>
      </c>
      <c r="E334" s="44">
        <v>200</v>
      </c>
      <c r="F334" s="44">
        <v>200</v>
      </c>
      <c r="G334" s="44">
        <v>200</v>
      </c>
      <c r="H334" s="44"/>
      <c r="I334" s="44"/>
      <c r="J334" s="44">
        <v>200</v>
      </c>
      <c r="K334" s="259"/>
      <c r="L334" s="262"/>
      <c r="M334" s="262"/>
    </row>
    <row r="335" spans="1:13" ht="23.25" customHeight="1">
      <c r="A335" s="646">
        <v>171</v>
      </c>
      <c r="B335" s="647" t="s">
        <v>234</v>
      </c>
      <c r="C335" s="648">
        <v>550</v>
      </c>
      <c r="D335" s="46" t="s">
        <v>149</v>
      </c>
      <c r="E335" s="46" t="s">
        <v>150</v>
      </c>
      <c r="F335" s="46" t="s">
        <v>151</v>
      </c>
      <c r="G335" s="46" t="s">
        <v>152</v>
      </c>
      <c r="H335" s="46" t="s">
        <v>22</v>
      </c>
      <c r="I335" s="46" t="s">
        <v>153</v>
      </c>
      <c r="J335" s="46" t="s">
        <v>154</v>
      </c>
      <c r="K335" s="258"/>
      <c r="L335" s="262"/>
      <c r="M335" s="262"/>
    </row>
    <row r="336" spans="1:13" ht="23.25" customHeight="1">
      <c r="A336" s="646"/>
      <c r="B336" s="647"/>
      <c r="C336" s="648"/>
      <c r="D336" s="44"/>
      <c r="E336" s="44"/>
      <c r="F336" s="44"/>
      <c r="G336" s="44"/>
      <c r="H336" s="44"/>
      <c r="I336" s="44"/>
      <c r="J336" s="44"/>
      <c r="K336" s="634">
        <f>SUM(D336:J336,D338:J338)</f>
        <v>550</v>
      </c>
      <c r="L336" s="262"/>
      <c r="M336" s="262"/>
    </row>
    <row r="337" spans="1:13" ht="23.25" customHeight="1">
      <c r="A337" s="646"/>
      <c r="B337" s="647"/>
      <c r="C337" s="648"/>
      <c r="D337" s="46" t="s">
        <v>155</v>
      </c>
      <c r="E337" s="46" t="s">
        <v>156</v>
      </c>
      <c r="F337" s="46" t="s">
        <v>157</v>
      </c>
      <c r="G337" s="46" t="s">
        <v>158</v>
      </c>
      <c r="H337" s="46" t="s">
        <v>159</v>
      </c>
      <c r="I337" s="46" t="s">
        <v>279</v>
      </c>
      <c r="J337" s="46" t="s">
        <v>160</v>
      </c>
      <c r="K337" s="635"/>
      <c r="L337" s="262"/>
      <c r="M337" s="262"/>
    </row>
    <row r="338" spans="1:13" ht="23.25" customHeight="1" thickBot="1">
      <c r="A338" s="646"/>
      <c r="B338" s="647"/>
      <c r="C338" s="648"/>
      <c r="D338" s="44">
        <v>550</v>
      </c>
      <c r="E338" s="44"/>
      <c r="F338" s="44"/>
      <c r="G338" s="44"/>
      <c r="H338" s="44"/>
      <c r="I338" s="44"/>
      <c r="J338" s="44"/>
      <c r="K338" s="259"/>
      <c r="L338" s="262"/>
      <c r="M338" s="262"/>
    </row>
    <row r="339" spans="1:13" ht="23.25" customHeight="1">
      <c r="A339" s="646">
        <v>172</v>
      </c>
      <c r="B339" s="647" t="s">
        <v>235</v>
      </c>
      <c r="C339" s="648">
        <v>600</v>
      </c>
      <c r="D339" s="46" t="s">
        <v>149</v>
      </c>
      <c r="E339" s="46" t="s">
        <v>150</v>
      </c>
      <c r="F339" s="46" t="s">
        <v>151</v>
      </c>
      <c r="G339" s="46" t="s">
        <v>152</v>
      </c>
      <c r="H339" s="46" t="s">
        <v>22</v>
      </c>
      <c r="I339" s="46" t="s">
        <v>153</v>
      </c>
      <c r="J339" s="46" t="s">
        <v>154</v>
      </c>
      <c r="K339" s="258"/>
      <c r="L339" s="262"/>
      <c r="M339" s="262"/>
    </row>
    <row r="340" spans="1:13" ht="23.25" customHeight="1">
      <c r="A340" s="646"/>
      <c r="B340" s="647"/>
      <c r="C340" s="648"/>
      <c r="D340" s="44" t="s">
        <v>998</v>
      </c>
      <c r="E340" s="44">
        <v>600</v>
      </c>
      <c r="F340" s="44">
        <v>600</v>
      </c>
      <c r="G340" s="44">
        <v>600</v>
      </c>
      <c r="H340" s="44"/>
      <c r="I340" s="44">
        <v>600</v>
      </c>
      <c r="J340" s="44"/>
      <c r="K340" s="634">
        <f>SUM(D340:J340,D342:J342)</f>
        <v>5400</v>
      </c>
      <c r="L340" s="262"/>
      <c r="M340" s="262"/>
    </row>
    <row r="341" spans="1:13" ht="23.25" customHeight="1">
      <c r="A341" s="646"/>
      <c r="B341" s="647"/>
      <c r="C341" s="648"/>
      <c r="D341" s="46" t="s">
        <v>155</v>
      </c>
      <c r="E341" s="46" t="s">
        <v>156</v>
      </c>
      <c r="F341" s="46" t="s">
        <v>157</v>
      </c>
      <c r="G341" s="46" t="s">
        <v>158</v>
      </c>
      <c r="H341" s="46" t="s">
        <v>159</v>
      </c>
      <c r="I341" s="46" t="s">
        <v>279</v>
      </c>
      <c r="J341" s="46" t="s">
        <v>160</v>
      </c>
      <c r="K341" s="635"/>
      <c r="L341" s="262"/>
      <c r="M341" s="262"/>
    </row>
    <row r="342" spans="1:13" ht="23.25" customHeight="1" thickBot="1">
      <c r="A342" s="646"/>
      <c r="B342" s="647"/>
      <c r="C342" s="648"/>
      <c r="D342" s="44">
        <v>600</v>
      </c>
      <c r="E342" s="44">
        <v>600</v>
      </c>
      <c r="F342" s="44">
        <v>600</v>
      </c>
      <c r="G342" s="71">
        <v>600</v>
      </c>
      <c r="H342" s="44"/>
      <c r="I342" s="44"/>
      <c r="J342" s="44">
        <v>600</v>
      </c>
      <c r="K342" s="259"/>
      <c r="L342" s="262"/>
      <c r="M342" s="262"/>
    </row>
    <row r="343" spans="1:13" ht="23.25" customHeight="1">
      <c r="A343" s="646">
        <v>174</v>
      </c>
      <c r="B343" s="646" t="s">
        <v>236</v>
      </c>
      <c r="C343" s="648">
        <v>220</v>
      </c>
      <c r="D343" s="46" t="s">
        <v>149</v>
      </c>
      <c r="E343" s="46" t="s">
        <v>150</v>
      </c>
      <c r="F343" s="46" t="s">
        <v>151</v>
      </c>
      <c r="G343" s="46" t="s">
        <v>152</v>
      </c>
      <c r="H343" s="46" t="s">
        <v>22</v>
      </c>
      <c r="I343" s="46" t="s">
        <v>153</v>
      </c>
      <c r="J343" s="46" t="s">
        <v>154</v>
      </c>
      <c r="K343" s="258"/>
      <c r="L343" s="262"/>
      <c r="M343" s="262"/>
    </row>
    <row r="344" spans="1:13" ht="23.25" customHeight="1">
      <c r="A344" s="646"/>
      <c r="B344" s="646"/>
      <c r="C344" s="648"/>
      <c r="D344" s="44">
        <v>210</v>
      </c>
      <c r="E344" s="44">
        <v>210</v>
      </c>
      <c r="F344" s="44">
        <v>210</v>
      </c>
      <c r="G344" s="44">
        <v>210</v>
      </c>
      <c r="H344" s="44"/>
      <c r="I344" s="44">
        <v>210</v>
      </c>
      <c r="J344" s="44"/>
      <c r="K344" s="634">
        <f>SUM(D344:J344,D346:J346)</f>
        <v>1050</v>
      </c>
      <c r="L344" s="262"/>
      <c r="M344" s="262" t="s">
        <v>392</v>
      </c>
    </row>
    <row r="345" spans="1:13" ht="23.25" customHeight="1">
      <c r="A345" s="646"/>
      <c r="B345" s="646"/>
      <c r="C345" s="648"/>
      <c r="D345" s="46" t="s">
        <v>155</v>
      </c>
      <c r="E345" s="46" t="s">
        <v>156</v>
      </c>
      <c r="F345" s="46" t="s">
        <v>157</v>
      </c>
      <c r="G345" s="46" t="s">
        <v>158</v>
      </c>
      <c r="H345" s="46" t="s">
        <v>159</v>
      </c>
      <c r="I345" s="46" t="s">
        <v>279</v>
      </c>
      <c r="J345" s="46" t="s">
        <v>160</v>
      </c>
      <c r="K345" s="635"/>
      <c r="L345" s="262"/>
      <c r="M345" s="262"/>
    </row>
    <row r="346" spans="1:13" ht="23.25" customHeight="1" thickBot="1">
      <c r="A346" s="646"/>
      <c r="B346" s="646"/>
      <c r="C346" s="648"/>
      <c r="D346" s="44"/>
      <c r="E346" s="44"/>
      <c r="F346" s="44"/>
      <c r="G346" s="44"/>
      <c r="H346" s="44"/>
      <c r="I346" s="44"/>
      <c r="J346" s="44"/>
      <c r="K346" s="259"/>
      <c r="L346" s="262"/>
      <c r="M346" s="262"/>
    </row>
    <row r="347" spans="1:13" s="127" customFormat="1" ht="23.25" customHeight="1">
      <c r="A347" s="644">
        <v>176</v>
      </c>
      <c r="B347" s="644" t="s">
        <v>237</v>
      </c>
      <c r="C347" s="645">
        <v>220</v>
      </c>
      <c r="D347" s="128" t="s">
        <v>149</v>
      </c>
      <c r="E347" s="128" t="s">
        <v>150</v>
      </c>
      <c r="F347" s="128" t="s">
        <v>151</v>
      </c>
      <c r="G347" s="128" t="s">
        <v>152</v>
      </c>
      <c r="H347" s="128" t="s">
        <v>22</v>
      </c>
      <c r="I347" s="128" t="s">
        <v>153</v>
      </c>
      <c r="J347" s="128" t="s">
        <v>154</v>
      </c>
      <c r="K347" s="258"/>
      <c r="L347" s="262"/>
      <c r="M347" s="262"/>
    </row>
    <row r="348" spans="1:13" s="127" customFormat="1" ht="23.25" customHeight="1">
      <c r="A348" s="644"/>
      <c r="B348" s="644"/>
      <c r="C348" s="645"/>
      <c r="D348" s="126">
        <v>220</v>
      </c>
      <c r="E348" s="126">
        <v>220</v>
      </c>
      <c r="F348" s="126">
        <v>220</v>
      </c>
      <c r="G348" s="126">
        <v>220</v>
      </c>
      <c r="H348" s="126"/>
      <c r="I348" s="126">
        <v>220</v>
      </c>
      <c r="J348" s="126">
        <v>-220</v>
      </c>
      <c r="K348" s="634">
        <f>SUM(D348:J348,D350:J350)</f>
        <v>2420</v>
      </c>
      <c r="L348" s="262"/>
      <c r="M348" s="262"/>
    </row>
    <row r="349" spans="1:13" s="127" customFormat="1" ht="23.25" customHeight="1">
      <c r="A349" s="644"/>
      <c r="B349" s="644"/>
      <c r="C349" s="645"/>
      <c r="D349" s="128" t="s">
        <v>155</v>
      </c>
      <c r="E349" s="128" t="s">
        <v>156</v>
      </c>
      <c r="F349" s="128" t="s">
        <v>157</v>
      </c>
      <c r="G349" s="128" t="s">
        <v>158</v>
      </c>
      <c r="H349" s="128" t="s">
        <v>159</v>
      </c>
      <c r="I349" s="128" t="s">
        <v>279</v>
      </c>
      <c r="J349" s="128" t="s">
        <v>160</v>
      </c>
      <c r="K349" s="635"/>
      <c r="L349" s="262"/>
      <c r="M349" s="262"/>
    </row>
    <row r="350" spans="1:13" s="127" customFormat="1" ht="23.25" customHeight="1" thickBot="1">
      <c r="A350" s="644"/>
      <c r="B350" s="644"/>
      <c r="C350" s="645"/>
      <c r="D350" s="126">
        <v>220</v>
      </c>
      <c r="E350" s="126">
        <v>220</v>
      </c>
      <c r="F350" s="126">
        <v>220</v>
      </c>
      <c r="G350" s="126">
        <v>220</v>
      </c>
      <c r="H350" s="126">
        <v>220</v>
      </c>
      <c r="I350" s="126">
        <v>220</v>
      </c>
      <c r="J350" s="126">
        <v>220</v>
      </c>
      <c r="K350" s="259"/>
      <c r="L350" s="262"/>
      <c r="M350" s="262"/>
    </row>
    <row r="351" spans="1:13" s="127" customFormat="1" ht="23.25" customHeight="1">
      <c r="A351" s="644">
        <v>202</v>
      </c>
      <c r="B351" s="644" t="s">
        <v>138</v>
      </c>
      <c r="C351" s="645">
        <v>165</v>
      </c>
      <c r="D351" s="128" t="s">
        <v>149</v>
      </c>
      <c r="E351" s="128" t="s">
        <v>150</v>
      </c>
      <c r="F351" s="128" t="s">
        <v>151</v>
      </c>
      <c r="G351" s="128" t="s">
        <v>152</v>
      </c>
      <c r="H351" s="128" t="s">
        <v>22</v>
      </c>
      <c r="I351" s="128" t="s">
        <v>153</v>
      </c>
      <c r="J351" s="128" t="s">
        <v>154</v>
      </c>
      <c r="K351" s="258"/>
      <c r="L351" s="265"/>
      <c r="M351" s="265"/>
    </row>
    <row r="352" spans="1:13" s="127" customFormat="1" ht="23.25" customHeight="1">
      <c r="A352" s="644"/>
      <c r="B352" s="644"/>
      <c r="C352" s="645"/>
      <c r="D352" s="126">
        <v>165</v>
      </c>
      <c r="E352" s="126">
        <v>165</v>
      </c>
      <c r="F352" s="126">
        <v>165</v>
      </c>
      <c r="G352" s="126">
        <v>165</v>
      </c>
      <c r="H352" s="126"/>
      <c r="I352" s="126">
        <v>165</v>
      </c>
      <c r="J352" s="126">
        <v>165</v>
      </c>
      <c r="K352" s="634">
        <f>SUM(D352:J352,D354:J354)</f>
        <v>2196</v>
      </c>
      <c r="L352" s="265"/>
      <c r="M352" s="265"/>
    </row>
    <row r="353" spans="1:13" s="127" customFormat="1" ht="23.25" customHeight="1">
      <c r="A353" s="644"/>
      <c r="B353" s="644"/>
      <c r="C353" s="645"/>
      <c r="D353" s="128" t="s">
        <v>155</v>
      </c>
      <c r="E353" s="128" t="s">
        <v>156</v>
      </c>
      <c r="F353" s="128" t="s">
        <v>157</v>
      </c>
      <c r="G353" s="128" t="s">
        <v>158</v>
      </c>
      <c r="H353" s="128" t="s">
        <v>159</v>
      </c>
      <c r="I353" s="128" t="s">
        <v>279</v>
      </c>
      <c r="J353" s="128" t="s">
        <v>160</v>
      </c>
      <c r="K353" s="635"/>
      <c r="L353" s="265"/>
      <c r="M353" s="265"/>
    </row>
    <row r="354" spans="1:13" s="127" customFormat="1" ht="23.25" customHeight="1" thickBot="1">
      <c r="A354" s="644"/>
      <c r="B354" s="644"/>
      <c r="C354" s="645"/>
      <c r="D354" s="126">
        <v>165</v>
      </c>
      <c r="E354" s="126">
        <v>165</v>
      </c>
      <c r="F354" s="126">
        <v>165</v>
      </c>
      <c r="G354" s="126">
        <v>165</v>
      </c>
      <c r="H354" s="126">
        <v>216</v>
      </c>
      <c r="I354" s="126">
        <v>165</v>
      </c>
      <c r="J354" s="126">
        <v>165</v>
      </c>
      <c r="K354" s="259"/>
      <c r="L354" s="265"/>
      <c r="M354" s="265"/>
    </row>
    <row r="355" spans="1:13" s="222" customFormat="1" ht="23.25" customHeight="1">
      <c r="A355" s="636">
        <v>206</v>
      </c>
      <c r="B355" s="636" t="s">
        <v>238</v>
      </c>
      <c r="C355" s="637">
        <v>130</v>
      </c>
      <c r="D355" s="221" t="s">
        <v>149</v>
      </c>
      <c r="E355" s="221" t="s">
        <v>150</v>
      </c>
      <c r="F355" s="221" t="s">
        <v>151</v>
      </c>
      <c r="G355" s="221" t="s">
        <v>152</v>
      </c>
      <c r="H355" s="221" t="s">
        <v>22</v>
      </c>
      <c r="I355" s="221" t="s">
        <v>153</v>
      </c>
      <c r="J355" s="221" t="s">
        <v>154</v>
      </c>
      <c r="K355" s="258"/>
      <c r="L355" s="262"/>
      <c r="M355" s="262"/>
    </row>
    <row r="356" spans="1:13" s="222" customFormat="1" ht="23.25" customHeight="1">
      <c r="A356" s="636"/>
      <c r="B356" s="636"/>
      <c r="C356" s="637"/>
      <c r="D356" s="223">
        <v>130</v>
      </c>
      <c r="E356" s="223">
        <v>-130</v>
      </c>
      <c r="F356" s="223">
        <v>130</v>
      </c>
      <c r="G356" s="223">
        <v>130</v>
      </c>
      <c r="H356" s="223"/>
      <c r="I356" s="223">
        <v>130</v>
      </c>
      <c r="J356" s="223">
        <v>-130</v>
      </c>
      <c r="K356" s="634">
        <f>SUM(D356:J356,D358:J358)</f>
        <v>1040</v>
      </c>
      <c r="L356" s="262"/>
      <c r="M356" s="262"/>
    </row>
    <row r="357" spans="1:13" s="222" customFormat="1" ht="23.25" customHeight="1">
      <c r="A357" s="636"/>
      <c r="B357" s="636"/>
      <c r="C357" s="637"/>
      <c r="D357" s="221" t="s">
        <v>155</v>
      </c>
      <c r="E357" s="221" t="s">
        <v>156</v>
      </c>
      <c r="F357" s="221" t="s">
        <v>157</v>
      </c>
      <c r="G357" s="221" t="s">
        <v>158</v>
      </c>
      <c r="H357" s="221" t="s">
        <v>159</v>
      </c>
      <c r="I357" s="221" t="s">
        <v>279</v>
      </c>
      <c r="J357" s="221" t="s">
        <v>160</v>
      </c>
      <c r="K357" s="635"/>
      <c r="L357" s="262"/>
      <c r="M357" s="262"/>
    </row>
    <row r="358" spans="1:13" s="222" customFormat="1" ht="23.25" customHeight="1" thickBot="1">
      <c r="A358" s="636"/>
      <c r="B358" s="636"/>
      <c r="C358" s="637"/>
      <c r="D358" s="223">
        <v>130</v>
      </c>
      <c r="E358" s="223">
        <v>130</v>
      </c>
      <c r="F358" s="223">
        <v>130</v>
      </c>
      <c r="G358" s="223">
        <v>130</v>
      </c>
      <c r="H358" s="223">
        <v>130</v>
      </c>
      <c r="I358" s="223"/>
      <c r="J358" s="223">
        <v>130</v>
      </c>
      <c r="K358" s="259"/>
      <c r="L358" s="262"/>
      <c r="M358" s="262"/>
    </row>
    <row r="359" spans="1:13" s="127" customFormat="1" ht="23.25" customHeight="1">
      <c r="A359" s="644">
        <v>207</v>
      </c>
      <c r="B359" s="644" t="s">
        <v>239</v>
      </c>
      <c r="C359" s="645">
        <v>430</v>
      </c>
      <c r="D359" s="128" t="s">
        <v>149</v>
      </c>
      <c r="E359" s="128" t="s">
        <v>150</v>
      </c>
      <c r="F359" s="128" t="s">
        <v>151</v>
      </c>
      <c r="G359" s="128" t="s">
        <v>152</v>
      </c>
      <c r="H359" s="128" t="s">
        <v>22</v>
      </c>
      <c r="I359" s="128" t="s">
        <v>153</v>
      </c>
      <c r="J359" s="128" t="s">
        <v>154</v>
      </c>
      <c r="K359" s="258"/>
      <c r="L359" s="262"/>
      <c r="M359" s="262"/>
    </row>
    <row r="360" spans="1:13" s="127" customFormat="1" ht="23.25" customHeight="1">
      <c r="A360" s="644"/>
      <c r="B360" s="644"/>
      <c r="C360" s="645"/>
      <c r="D360" s="126">
        <v>430</v>
      </c>
      <c r="E360" s="126">
        <v>430</v>
      </c>
      <c r="F360" s="126">
        <v>430</v>
      </c>
      <c r="G360" s="126">
        <v>430</v>
      </c>
      <c r="H360" s="126"/>
      <c r="I360" s="126">
        <v>430</v>
      </c>
      <c r="J360" s="126">
        <v>430</v>
      </c>
      <c r="K360" s="634">
        <f>SUM(D360:J360,D362:J362)</f>
        <v>5590</v>
      </c>
      <c r="L360" s="262"/>
      <c r="M360" s="262"/>
    </row>
    <row r="361" spans="1:13" s="127" customFormat="1" ht="23.25" customHeight="1">
      <c r="A361" s="644"/>
      <c r="B361" s="644"/>
      <c r="C361" s="645"/>
      <c r="D361" s="128" t="s">
        <v>155</v>
      </c>
      <c r="E361" s="128" t="s">
        <v>156</v>
      </c>
      <c r="F361" s="128" t="s">
        <v>157</v>
      </c>
      <c r="G361" s="128" t="s">
        <v>158</v>
      </c>
      <c r="H361" s="128" t="s">
        <v>159</v>
      </c>
      <c r="I361" s="128" t="s">
        <v>279</v>
      </c>
      <c r="J361" s="128" t="s">
        <v>160</v>
      </c>
      <c r="K361" s="635"/>
      <c r="L361" s="262"/>
      <c r="M361" s="262"/>
    </row>
    <row r="362" spans="1:13" s="127" customFormat="1" ht="23.25" customHeight="1" thickBot="1">
      <c r="A362" s="644"/>
      <c r="B362" s="644"/>
      <c r="C362" s="645"/>
      <c r="D362" s="126">
        <v>430</v>
      </c>
      <c r="E362" s="126">
        <v>430</v>
      </c>
      <c r="F362" s="126">
        <v>430</v>
      </c>
      <c r="G362" s="126">
        <v>430</v>
      </c>
      <c r="H362" s="126">
        <v>430</v>
      </c>
      <c r="I362" s="126">
        <v>430</v>
      </c>
      <c r="J362" s="126">
        <v>430</v>
      </c>
      <c r="K362" s="259"/>
      <c r="L362" s="262"/>
      <c r="M362" s="262"/>
    </row>
    <row r="363" spans="1:13" s="127" customFormat="1" ht="23.25" customHeight="1">
      <c r="A363" s="644">
        <v>208</v>
      </c>
      <c r="B363" s="644" t="s">
        <v>240</v>
      </c>
      <c r="C363" s="645">
        <v>365</v>
      </c>
      <c r="D363" s="128" t="s">
        <v>149</v>
      </c>
      <c r="E363" s="128" t="s">
        <v>150</v>
      </c>
      <c r="F363" s="128" t="s">
        <v>151</v>
      </c>
      <c r="G363" s="128" t="s">
        <v>152</v>
      </c>
      <c r="H363" s="128" t="s">
        <v>22</v>
      </c>
      <c r="I363" s="128" t="s">
        <v>153</v>
      </c>
      <c r="J363" s="128" t="s">
        <v>154</v>
      </c>
      <c r="K363" s="258"/>
      <c r="L363" s="262"/>
      <c r="M363" s="262"/>
    </row>
    <row r="364" spans="1:13" s="127" customFormat="1" ht="23.25" customHeight="1">
      <c r="A364" s="644"/>
      <c r="B364" s="644"/>
      <c r="C364" s="645"/>
      <c r="D364" s="126">
        <v>365</v>
      </c>
      <c r="E364" s="126">
        <v>365</v>
      </c>
      <c r="F364" s="126">
        <v>365</v>
      </c>
      <c r="G364" s="126">
        <v>365</v>
      </c>
      <c r="H364" s="126"/>
      <c r="I364" s="126">
        <v>365</v>
      </c>
      <c r="J364" s="126">
        <v>365</v>
      </c>
      <c r="K364" s="634">
        <f>SUM(D364:J364,D366:J366)</f>
        <v>4745</v>
      </c>
      <c r="L364" s="262"/>
      <c r="M364" s="262"/>
    </row>
    <row r="365" spans="1:13" s="127" customFormat="1" ht="23.25" customHeight="1">
      <c r="A365" s="644"/>
      <c r="B365" s="644"/>
      <c r="C365" s="645"/>
      <c r="D365" s="128" t="s">
        <v>155</v>
      </c>
      <c r="E365" s="128" t="s">
        <v>156</v>
      </c>
      <c r="F365" s="128" t="s">
        <v>157</v>
      </c>
      <c r="G365" s="128" t="s">
        <v>158</v>
      </c>
      <c r="H365" s="128" t="s">
        <v>159</v>
      </c>
      <c r="I365" s="128" t="s">
        <v>279</v>
      </c>
      <c r="J365" s="128" t="s">
        <v>160</v>
      </c>
      <c r="K365" s="635"/>
      <c r="L365" s="262"/>
      <c r="M365" s="262"/>
    </row>
    <row r="366" spans="1:13" s="127" customFormat="1" ht="23.25" customHeight="1" thickBot="1">
      <c r="A366" s="644"/>
      <c r="B366" s="644"/>
      <c r="C366" s="645"/>
      <c r="D366" s="126">
        <v>365</v>
      </c>
      <c r="E366" s="126">
        <v>365</v>
      </c>
      <c r="F366" s="126">
        <v>365</v>
      </c>
      <c r="G366" s="126">
        <v>365</v>
      </c>
      <c r="H366" s="126">
        <v>365</v>
      </c>
      <c r="I366" s="126">
        <v>365</v>
      </c>
      <c r="J366" s="126">
        <v>365</v>
      </c>
      <c r="K366" s="259"/>
      <c r="L366" s="262"/>
      <c r="M366" s="262"/>
    </row>
    <row r="367" spans="1:13" s="127" customFormat="1" ht="23.25" customHeight="1">
      <c r="A367" s="644">
        <v>212</v>
      </c>
      <c r="B367" s="644" t="s">
        <v>241</v>
      </c>
      <c r="C367" s="645">
        <v>585</v>
      </c>
      <c r="D367" s="128" t="s">
        <v>149</v>
      </c>
      <c r="E367" s="128" t="s">
        <v>150</v>
      </c>
      <c r="F367" s="128" t="s">
        <v>151</v>
      </c>
      <c r="G367" s="128" t="s">
        <v>152</v>
      </c>
      <c r="H367" s="128" t="s">
        <v>22</v>
      </c>
      <c r="I367" s="128" t="s">
        <v>153</v>
      </c>
      <c r="J367" s="128" t="s">
        <v>154</v>
      </c>
      <c r="K367" s="258"/>
      <c r="L367" s="262"/>
      <c r="M367" s="262"/>
    </row>
    <row r="368" spans="1:13" s="127" customFormat="1" ht="23.25" customHeight="1">
      <c r="A368" s="644"/>
      <c r="B368" s="644"/>
      <c r="C368" s="645"/>
      <c r="D368" s="126">
        <v>585</v>
      </c>
      <c r="E368" s="126">
        <v>585</v>
      </c>
      <c r="F368" s="126">
        <v>585</v>
      </c>
      <c r="G368" s="126">
        <v>585</v>
      </c>
      <c r="H368" s="126"/>
      <c r="I368" s="126">
        <v>585</v>
      </c>
      <c r="J368" s="126">
        <v>585</v>
      </c>
      <c r="K368" s="634">
        <f>SUM(D368:J368,D370:J370)</f>
        <v>7605</v>
      </c>
      <c r="L368" s="262"/>
      <c r="M368" s="262"/>
    </row>
    <row r="369" spans="1:13" s="127" customFormat="1" ht="23.25" customHeight="1">
      <c r="A369" s="644"/>
      <c r="B369" s="644"/>
      <c r="C369" s="645"/>
      <c r="D369" s="128" t="s">
        <v>155</v>
      </c>
      <c r="E369" s="128" t="s">
        <v>156</v>
      </c>
      <c r="F369" s="128" t="s">
        <v>157</v>
      </c>
      <c r="G369" s="128" t="s">
        <v>158</v>
      </c>
      <c r="H369" s="128" t="s">
        <v>159</v>
      </c>
      <c r="I369" s="128" t="s">
        <v>279</v>
      </c>
      <c r="J369" s="128" t="s">
        <v>160</v>
      </c>
      <c r="K369" s="635"/>
      <c r="L369" s="262"/>
      <c r="M369" s="262"/>
    </row>
    <row r="370" spans="1:13" s="127" customFormat="1" ht="23.25" customHeight="1" thickBot="1">
      <c r="A370" s="644"/>
      <c r="B370" s="644"/>
      <c r="C370" s="645"/>
      <c r="D370" s="126">
        <v>585</v>
      </c>
      <c r="E370" s="126">
        <v>585</v>
      </c>
      <c r="F370" s="126">
        <v>585</v>
      </c>
      <c r="G370" s="126">
        <v>585</v>
      </c>
      <c r="H370" s="126">
        <v>585</v>
      </c>
      <c r="I370" s="126">
        <v>585</v>
      </c>
      <c r="J370" s="126">
        <v>585</v>
      </c>
      <c r="K370" s="259"/>
      <c r="L370" s="262"/>
      <c r="M370" s="262"/>
    </row>
    <row r="371" spans="1:13" s="127" customFormat="1" ht="23.25" customHeight="1">
      <c r="A371" s="644">
        <v>215</v>
      </c>
      <c r="B371" s="644" t="s">
        <v>242</v>
      </c>
      <c r="C371" s="645">
        <v>290</v>
      </c>
      <c r="D371" s="128" t="s">
        <v>149</v>
      </c>
      <c r="E371" s="128" t="s">
        <v>150</v>
      </c>
      <c r="F371" s="128" t="s">
        <v>151</v>
      </c>
      <c r="G371" s="128" t="s">
        <v>152</v>
      </c>
      <c r="H371" s="128" t="s">
        <v>22</v>
      </c>
      <c r="I371" s="128" t="s">
        <v>153</v>
      </c>
      <c r="J371" s="128" t="s">
        <v>154</v>
      </c>
      <c r="K371" s="258"/>
      <c r="L371" s="262"/>
      <c r="M371" s="262"/>
    </row>
    <row r="372" spans="1:13" s="127" customFormat="1" ht="23.25" customHeight="1">
      <c r="A372" s="644"/>
      <c r="B372" s="644"/>
      <c r="C372" s="645"/>
      <c r="D372" s="126">
        <v>290</v>
      </c>
      <c r="E372" s="126">
        <v>290</v>
      </c>
      <c r="F372" s="126">
        <v>290</v>
      </c>
      <c r="G372" s="126">
        <v>290</v>
      </c>
      <c r="H372" s="126"/>
      <c r="I372" s="126">
        <v>290</v>
      </c>
      <c r="J372" s="126">
        <v>300</v>
      </c>
      <c r="K372" s="634">
        <f>SUM(D372:J372,D374:J374)</f>
        <v>3830</v>
      </c>
      <c r="L372" s="262"/>
      <c r="M372" s="262"/>
    </row>
    <row r="373" spans="1:13" s="127" customFormat="1" ht="23.25" customHeight="1">
      <c r="A373" s="644"/>
      <c r="B373" s="644"/>
      <c r="C373" s="645"/>
      <c r="D373" s="128" t="s">
        <v>155</v>
      </c>
      <c r="E373" s="128" t="s">
        <v>156</v>
      </c>
      <c r="F373" s="128" t="s">
        <v>157</v>
      </c>
      <c r="G373" s="128" t="s">
        <v>158</v>
      </c>
      <c r="H373" s="128" t="s">
        <v>159</v>
      </c>
      <c r="I373" s="128" t="s">
        <v>279</v>
      </c>
      <c r="J373" s="128" t="s">
        <v>160</v>
      </c>
      <c r="K373" s="635"/>
      <c r="L373" s="262"/>
      <c r="M373" s="262"/>
    </row>
    <row r="374" spans="1:13" s="127" customFormat="1" ht="23.25" customHeight="1" thickBot="1">
      <c r="A374" s="644"/>
      <c r="B374" s="644"/>
      <c r="C374" s="645"/>
      <c r="D374" s="126">
        <v>290</v>
      </c>
      <c r="E374" s="126">
        <v>290</v>
      </c>
      <c r="F374" s="126">
        <v>300</v>
      </c>
      <c r="G374" s="126">
        <v>300</v>
      </c>
      <c r="H374" s="126">
        <v>300</v>
      </c>
      <c r="I374" s="126">
        <v>300</v>
      </c>
      <c r="J374" s="126">
        <v>300</v>
      </c>
      <c r="K374" s="259"/>
      <c r="L374" s="262"/>
      <c r="M374" s="262"/>
    </row>
    <row r="375" spans="1:13" ht="23.25" customHeight="1">
      <c r="A375" s="646">
        <v>216</v>
      </c>
      <c r="B375" s="646" t="s">
        <v>243</v>
      </c>
      <c r="C375" s="648">
        <v>715</v>
      </c>
      <c r="D375" s="46" t="s">
        <v>149</v>
      </c>
      <c r="E375" s="46" t="s">
        <v>150</v>
      </c>
      <c r="F375" s="46" t="s">
        <v>151</v>
      </c>
      <c r="G375" s="46" t="s">
        <v>152</v>
      </c>
      <c r="H375" s="46" t="s">
        <v>22</v>
      </c>
      <c r="I375" s="46" t="s">
        <v>153</v>
      </c>
      <c r="J375" s="46" t="s">
        <v>154</v>
      </c>
      <c r="K375" s="258"/>
      <c r="L375" s="262"/>
      <c r="M375" s="262"/>
    </row>
    <row r="376" spans="1:13" ht="23.25" customHeight="1">
      <c r="A376" s="646"/>
      <c r="B376" s="646"/>
      <c r="C376" s="648"/>
      <c r="D376" s="44">
        <v>715</v>
      </c>
      <c r="E376" s="44">
        <v>715</v>
      </c>
      <c r="F376" s="44">
        <v>715</v>
      </c>
      <c r="G376" s="44">
        <v>1000</v>
      </c>
      <c r="H376" s="44"/>
      <c r="I376" s="44"/>
      <c r="J376" s="44"/>
      <c r="K376" s="634">
        <f>SUM(D376:J376,D378:J378)</f>
        <v>3145</v>
      </c>
      <c r="L376" s="262"/>
      <c r="M376" s="262"/>
    </row>
    <row r="377" spans="1:13" ht="23.25" customHeight="1">
      <c r="A377" s="646"/>
      <c r="B377" s="646"/>
      <c r="C377" s="648"/>
      <c r="D377" s="46" t="s">
        <v>155</v>
      </c>
      <c r="E377" s="46" t="s">
        <v>156</v>
      </c>
      <c r="F377" s="46" t="s">
        <v>157</v>
      </c>
      <c r="G377" s="46" t="s">
        <v>158</v>
      </c>
      <c r="H377" s="46" t="s">
        <v>159</v>
      </c>
      <c r="I377" s="46" t="s">
        <v>279</v>
      </c>
      <c r="J377" s="46" t="s">
        <v>160</v>
      </c>
      <c r="K377" s="635"/>
      <c r="L377" s="262"/>
      <c r="M377" s="262"/>
    </row>
    <row r="378" spans="1:13" ht="23.25" customHeight="1" thickBot="1">
      <c r="A378" s="646"/>
      <c r="B378" s="646"/>
      <c r="C378" s="648"/>
      <c r="D378" s="44"/>
      <c r="E378" s="44"/>
      <c r="F378" s="44"/>
      <c r="G378" s="44"/>
      <c r="H378" s="44"/>
      <c r="I378" s="44"/>
      <c r="J378" s="44"/>
      <c r="K378" s="259"/>
      <c r="L378" s="262"/>
      <c r="M378" s="262"/>
    </row>
    <row r="379" spans="1:13" s="127" customFormat="1" ht="23.25" customHeight="1">
      <c r="A379" s="644">
        <v>218</v>
      </c>
      <c r="B379" s="644" t="s">
        <v>244</v>
      </c>
      <c r="C379" s="645">
        <v>410</v>
      </c>
      <c r="D379" s="128" t="s">
        <v>149</v>
      </c>
      <c r="E379" s="128" t="s">
        <v>150</v>
      </c>
      <c r="F379" s="128" t="s">
        <v>151</v>
      </c>
      <c r="G379" s="128" t="s">
        <v>152</v>
      </c>
      <c r="H379" s="128" t="s">
        <v>22</v>
      </c>
      <c r="I379" s="128" t="s">
        <v>153</v>
      </c>
      <c r="J379" s="128" t="s">
        <v>154</v>
      </c>
      <c r="K379" s="258"/>
      <c r="L379" s="262"/>
      <c r="M379" s="262"/>
    </row>
    <row r="380" spans="1:13" s="127" customFormat="1" ht="23.25" customHeight="1">
      <c r="A380" s="644"/>
      <c r="B380" s="644"/>
      <c r="C380" s="645"/>
      <c r="D380" s="126">
        <v>410</v>
      </c>
      <c r="E380" s="126">
        <v>410</v>
      </c>
      <c r="F380" s="126">
        <v>410</v>
      </c>
      <c r="G380" s="126">
        <v>410</v>
      </c>
      <c r="H380" s="126">
        <v>-90</v>
      </c>
      <c r="I380" s="126">
        <v>410</v>
      </c>
      <c r="J380" s="126">
        <v>410</v>
      </c>
      <c r="K380" s="634">
        <f>SUM(D380:J380,D382:J382)</f>
        <v>5240</v>
      </c>
      <c r="L380" s="262"/>
      <c r="M380" s="262"/>
    </row>
    <row r="381" spans="1:13" s="127" customFormat="1" ht="23.25" customHeight="1">
      <c r="A381" s="644"/>
      <c r="B381" s="644"/>
      <c r="C381" s="645"/>
      <c r="D381" s="128" t="s">
        <v>155</v>
      </c>
      <c r="E381" s="128" t="s">
        <v>156</v>
      </c>
      <c r="F381" s="128" t="s">
        <v>157</v>
      </c>
      <c r="G381" s="128" t="s">
        <v>158</v>
      </c>
      <c r="H381" s="128" t="s">
        <v>159</v>
      </c>
      <c r="I381" s="128" t="s">
        <v>279</v>
      </c>
      <c r="J381" s="128" t="s">
        <v>160</v>
      </c>
      <c r="K381" s="635"/>
      <c r="L381" s="262"/>
      <c r="M381" s="262"/>
    </row>
    <row r="382" spans="1:13" s="127" customFormat="1" ht="23.25" customHeight="1" thickBot="1">
      <c r="A382" s="644"/>
      <c r="B382" s="644"/>
      <c r="C382" s="645"/>
      <c r="D382" s="126">
        <v>410</v>
      </c>
      <c r="E382" s="126">
        <v>410</v>
      </c>
      <c r="F382" s="126">
        <v>410</v>
      </c>
      <c r="G382" s="126">
        <v>410</v>
      </c>
      <c r="H382" s="126">
        <v>410</v>
      </c>
      <c r="I382" s="126">
        <v>410</v>
      </c>
      <c r="J382" s="126">
        <v>410</v>
      </c>
      <c r="K382" s="259"/>
      <c r="L382" s="262"/>
      <c r="M382" s="262"/>
    </row>
    <row r="383" spans="1:13" s="224" customFormat="1" ht="23.25" customHeight="1">
      <c r="A383" s="650">
        <v>223</v>
      </c>
      <c r="B383" s="650" t="s">
        <v>98</v>
      </c>
      <c r="C383" s="651">
        <v>275</v>
      </c>
      <c r="D383" s="225" t="s">
        <v>149</v>
      </c>
      <c r="E383" s="225" t="s">
        <v>150</v>
      </c>
      <c r="F383" s="225" t="s">
        <v>151</v>
      </c>
      <c r="G383" s="225" t="s">
        <v>152</v>
      </c>
      <c r="H383" s="225" t="s">
        <v>22</v>
      </c>
      <c r="I383" s="225" t="s">
        <v>153</v>
      </c>
      <c r="J383" s="225" t="s">
        <v>154</v>
      </c>
      <c r="K383" s="258"/>
      <c r="L383" s="262"/>
      <c r="M383" s="262"/>
    </row>
    <row r="384" spans="1:13" s="224" customFormat="1" ht="23.25" customHeight="1">
      <c r="A384" s="650"/>
      <c r="B384" s="650"/>
      <c r="C384" s="651"/>
      <c r="D384" s="226">
        <v>875</v>
      </c>
      <c r="E384" s="226">
        <v>275</v>
      </c>
      <c r="F384" s="226">
        <v>275</v>
      </c>
      <c r="G384" s="226">
        <v>275</v>
      </c>
      <c r="H384" s="226"/>
      <c r="I384" s="226">
        <v>275</v>
      </c>
      <c r="J384" s="226">
        <v>-275</v>
      </c>
      <c r="K384" s="634">
        <f>SUM(D384:J384,D386:J386)</f>
        <v>3075</v>
      </c>
      <c r="L384" s="262"/>
      <c r="M384" s="262"/>
    </row>
    <row r="385" spans="1:13" s="224" customFormat="1" ht="23.25" customHeight="1">
      <c r="A385" s="650"/>
      <c r="B385" s="650"/>
      <c r="C385" s="651"/>
      <c r="D385" s="225" t="s">
        <v>155</v>
      </c>
      <c r="E385" s="225" t="s">
        <v>156</v>
      </c>
      <c r="F385" s="225" t="s">
        <v>157</v>
      </c>
      <c r="G385" s="225" t="s">
        <v>158</v>
      </c>
      <c r="H385" s="225" t="s">
        <v>159</v>
      </c>
      <c r="I385" s="225" t="s">
        <v>279</v>
      </c>
      <c r="J385" s="225" t="s">
        <v>160</v>
      </c>
      <c r="K385" s="635"/>
      <c r="L385" s="262" t="s">
        <v>974</v>
      </c>
      <c r="M385" s="262"/>
    </row>
    <row r="386" spans="1:13" s="224" customFormat="1" ht="23.25" customHeight="1" thickBot="1">
      <c r="A386" s="650"/>
      <c r="B386" s="650"/>
      <c r="C386" s="651"/>
      <c r="D386" s="226">
        <v>275</v>
      </c>
      <c r="E386" s="226">
        <v>275</v>
      </c>
      <c r="F386" s="226">
        <v>275</v>
      </c>
      <c r="G386" s="226">
        <v>275</v>
      </c>
      <c r="H386" s="226">
        <v>275</v>
      </c>
      <c r="I386" s="226"/>
      <c r="J386" s="226"/>
      <c r="K386" s="259"/>
      <c r="L386" s="262"/>
      <c r="M386" s="262"/>
    </row>
    <row r="387" spans="1:13" ht="23.25" customHeight="1">
      <c r="A387" s="646">
        <v>227</v>
      </c>
      <c r="B387" s="646" t="s">
        <v>99</v>
      </c>
      <c r="C387" s="648">
        <v>2970</v>
      </c>
      <c r="D387" s="46" t="s">
        <v>149</v>
      </c>
      <c r="E387" s="46" t="s">
        <v>150</v>
      </c>
      <c r="F387" s="46" t="s">
        <v>151</v>
      </c>
      <c r="G387" s="46" t="s">
        <v>152</v>
      </c>
      <c r="H387" s="46" t="s">
        <v>22</v>
      </c>
      <c r="I387" s="46" t="s">
        <v>153</v>
      </c>
      <c r="J387" s="46" t="s">
        <v>154</v>
      </c>
      <c r="K387" s="258"/>
      <c r="L387" s="262"/>
      <c r="M387" s="262"/>
    </row>
    <row r="388" spans="1:13" ht="23.25" customHeight="1">
      <c r="A388" s="646"/>
      <c r="B388" s="646"/>
      <c r="C388" s="648"/>
      <c r="D388" s="44">
        <v>2970</v>
      </c>
      <c r="E388" s="44">
        <v>2970</v>
      </c>
      <c r="F388" s="44">
        <v>2970</v>
      </c>
      <c r="G388" s="44">
        <v>2970</v>
      </c>
      <c r="H388" s="44">
        <v>400</v>
      </c>
      <c r="I388" s="44">
        <v>2970</v>
      </c>
      <c r="J388" s="44">
        <v>2970</v>
      </c>
      <c r="K388" s="634">
        <f>SUM(D388:J388,D390:J390)</f>
        <v>21190</v>
      </c>
      <c r="L388" s="262"/>
      <c r="M388" s="262"/>
    </row>
    <row r="389" spans="1:13" ht="23.25" customHeight="1">
      <c r="A389" s="646"/>
      <c r="B389" s="646"/>
      <c r="C389" s="648"/>
      <c r="D389" s="46" t="s">
        <v>155</v>
      </c>
      <c r="E389" s="46" t="s">
        <v>156</v>
      </c>
      <c r="F389" s="46" t="s">
        <v>157</v>
      </c>
      <c r="G389" s="46" t="s">
        <v>158</v>
      </c>
      <c r="H389" s="46" t="s">
        <v>159</v>
      </c>
      <c r="I389" s="46" t="s">
        <v>279</v>
      </c>
      <c r="J389" s="46" t="s">
        <v>160</v>
      </c>
      <c r="K389" s="635"/>
      <c r="L389" s="262"/>
      <c r="M389" s="262"/>
    </row>
    <row r="390" spans="1:13" ht="23.25" customHeight="1" thickBot="1">
      <c r="A390" s="646"/>
      <c r="B390" s="646"/>
      <c r="C390" s="648"/>
      <c r="D390" s="44">
        <v>2970</v>
      </c>
      <c r="E390" s="44"/>
      <c r="F390" s="44"/>
      <c r="G390" s="44"/>
      <c r="H390" s="44"/>
      <c r="I390" s="44"/>
      <c r="J390" s="44"/>
      <c r="K390" s="259"/>
      <c r="L390" s="262"/>
      <c r="M390" s="262"/>
    </row>
    <row r="391" spans="1:13" ht="23.25" customHeight="1">
      <c r="A391" s="646">
        <v>232</v>
      </c>
      <c r="B391" s="646" t="s">
        <v>245</v>
      </c>
      <c r="C391" s="648">
        <v>1540</v>
      </c>
      <c r="D391" s="46" t="s">
        <v>149</v>
      </c>
      <c r="E391" s="46" t="s">
        <v>150</v>
      </c>
      <c r="F391" s="46" t="s">
        <v>151</v>
      </c>
      <c r="G391" s="46" t="s">
        <v>152</v>
      </c>
      <c r="H391" s="46" t="s">
        <v>22</v>
      </c>
      <c r="I391" s="46" t="s">
        <v>153</v>
      </c>
      <c r="J391" s="46" t="s">
        <v>154</v>
      </c>
      <c r="K391" s="258"/>
      <c r="L391" s="262"/>
      <c r="M391" s="262"/>
    </row>
    <row r="392" spans="1:13" ht="23.25" customHeight="1">
      <c r="A392" s="646"/>
      <c r="B392" s="646"/>
      <c r="C392" s="648"/>
      <c r="D392" s="44"/>
      <c r="E392" s="44"/>
      <c r="F392" s="44"/>
      <c r="G392" s="44"/>
      <c r="H392" s="44"/>
      <c r="I392" s="44"/>
      <c r="J392" s="44"/>
      <c r="K392" s="634">
        <f>SUM(D392:J392,D394:J394)</f>
        <v>6160</v>
      </c>
      <c r="L392" s="262"/>
      <c r="M392" s="262"/>
    </row>
    <row r="393" spans="1:13" ht="23.25" customHeight="1">
      <c r="A393" s="646"/>
      <c r="B393" s="646"/>
      <c r="C393" s="648"/>
      <c r="D393" s="46" t="s">
        <v>155</v>
      </c>
      <c r="E393" s="46" t="s">
        <v>156</v>
      </c>
      <c r="F393" s="46" t="s">
        <v>157</v>
      </c>
      <c r="G393" s="46" t="s">
        <v>158</v>
      </c>
      <c r="H393" s="46" t="s">
        <v>159</v>
      </c>
      <c r="I393" s="46" t="s">
        <v>279</v>
      </c>
      <c r="J393" s="46" t="s">
        <v>160</v>
      </c>
      <c r="K393" s="635"/>
      <c r="L393" s="262"/>
      <c r="M393" s="262"/>
    </row>
    <row r="394" spans="1:13" ht="23.25" customHeight="1" thickBot="1">
      <c r="A394" s="646"/>
      <c r="B394" s="646"/>
      <c r="C394" s="648"/>
      <c r="D394" s="44"/>
      <c r="E394" s="44"/>
      <c r="F394" s="44">
        <v>1540</v>
      </c>
      <c r="G394" s="44">
        <v>1540</v>
      </c>
      <c r="H394" s="44">
        <v>1540</v>
      </c>
      <c r="I394" s="44"/>
      <c r="J394" s="44">
        <v>1540</v>
      </c>
      <c r="K394" s="259"/>
      <c r="L394" s="262"/>
      <c r="M394" s="262"/>
    </row>
    <row r="395" spans="1:13" s="127" customFormat="1" ht="23.25" customHeight="1">
      <c r="A395" s="644">
        <v>233</v>
      </c>
      <c r="B395" s="644" t="s">
        <v>246</v>
      </c>
      <c r="C395" s="645">
        <v>870</v>
      </c>
      <c r="D395" s="128" t="s">
        <v>149</v>
      </c>
      <c r="E395" s="128" t="s">
        <v>150</v>
      </c>
      <c r="F395" s="128" t="s">
        <v>151</v>
      </c>
      <c r="G395" s="128" t="s">
        <v>152</v>
      </c>
      <c r="H395" s="128" t="s">
        <v>22</v>
      </c>
      <c r="I395" s="128" t="s">
        <v>153</v>
      </c>
      <c r="J395" s="128" t="s">
        <v>154</v>
      </c>
      <c r="K395" s="258"/>
      <c r="L395" s="262"/>
      <c r="M395" s="262"/>
    </row>
    <row r="396" spans="1:13" s="127" customFormat="1" ht="23.25" customHeight="1">
      <c r="A396" s="644"/>
      <c r="B396" s="644"/>
      <c r="C396" s="645"/>
      <c r="D396" s="126">
        <v>870</v>
      </c>
      <c r="E396" s="126">
        <v>870</v>
      </c>
      <c r="F396" s="126">
        <v>1045</v>
      </c>
      <c r="G396" s="126">
        <v>870</v>
      </c>
      <c r="H396" s="126"/>
      <c r="I396" s="126">
        <v>870</v>
      </c>
      <c r="J396" s="126">
        <v>870</v>
      </c>
      <c r="K396" s="634">
        <f>SUM(D396:J396,D398:J398)</f>
        <v>11485</v>
      </c>
      <c r="L396" s="262"/>
      <c r="M396" s="262"/>
    </row>
    <row r="397" spans="1:13" s="127" customFormat="1" ht="23.25" customHeight="1">
      <c r="A397" s="644"/>
      <c r="B397" s="644"/>
      <c r="C397" s="645"/>
      <c r="D397" s="128" t="s">
        <v>155</v>
      </c>
      <c r="E397" s="128" t="s">
        <v>156</v>
      </c>
      <c r="F397" s="128" t="s">
        <v>157</v>
      </c>
      <c r="G397" s="128" t="s">
        <v>158</v>
      </c>
      <c r="H397" s="128" t="s">
        <v>159</v>
      </c>
      <c r="I397" s="128" t="s">
        <v>279</v>
      </c>
      <c r="J397" s="128" t="s">
        <v>160</v>
      </c>
      <c r="K397" s="635"/>
      <c r="L397" s="262"/>
      <c r="M397" s="262"/>
    </row>
    <row r="398" spans="1:13" s="127" customFormat="1" ht="23.25" customHeight="1" thickBot="1">
      <c r="A398" s="644"/>
      <c r="B398" s="644"/>
      <c r="C398" s="645"/>
      <c r="D398" s="126">
        <v>870</v>
      </c>
      <c r="E398" s="126">
        <v>870</v>
      </c>
      <c r="F398" s="126">
        <v>870</v>
      </c>
      <c r="G398" s="126">
        <v>870</v>
      </c>
      <c r="H398" s="126">
        <v>870</v>
      </c>
      <c r="I398" s="126">
        <v>870</v>
      </c>
      <c r="J398" s="126">
        <v>870</v>
      </c>
      <c r="K398" s="259"/>
      <c r="L398" s="262"/>
      <c r="M398" s="262"/>
    </row>
    <row r="399" spans="1:13" ht="23.25" customHeight="1">
      <c r="A399" s="646">
        <v>240</v>
      </c>
      <c r="B399" s="646" t="s">
        <v>281</v>
      </c>
      <c r="C399" s="648">
        <v>350</v>
      </c>
      <c r="D399" s="46" t="s">
        <v>149</v>
      </c>
      <c r="E399" s="46" t="s">
        <v>150</v>
      </c>
      <c r="F399" s="46" t="s">
        <v>151</v>
      </c>
      <c r="G399" s="46" t="s">
        <v>152</v>
      </c>
      <c r="H399" s="46" t="s">
        <v>22</v>
      </c>
      <c r="I399" s="46" t="s">
        <v>153</v>
      </c>
      <c r="J399" s="46" t="s">
        <v>154</v>
      </c>
      <c r="K399" s="258"/>
      <c r="L399" s="262"/>
      <c r="M399" s="262"/>
    </row>
    <row r="400" spans="1:13" ht="23.25" customHeight="1">
      <c r="A400" s="646"/>
      <c r="B400" s="646"/>
      <c r="C400" s="648"/>
      <c r="D400" s="44">
        <v>350</v>
      </c>
      <c r="E400" s="44"/>
      <c r="F400" s="44">
        <v>350</v>
      </c>
      <c r="G400" s="44"/>
      <c r="H400" s="44"/>
      <c r="I400" s="44"/>
      <c r="J400" s="44">
        <v>350</v>
      </c>
      <c r="K400" s="634">
        <f>SUM(D400:J400,D402:J402)</f>
        <v>2450</v>
      </c>
      <c r="L400" s="262"/>
      <c r="M400" s="262"/>
    </row>
    <row r="401" spans="1:13" ht="23.25" customHeight="1">
      <c r="A401" s="646"/>
      <c r="B401" s="646"/>
      <c r="C401" s="648"/>
      <c r="D401" s="46" t="s">
        <v>155</v>
      </c>
      <c r="E401" s="46" t="s">
        <v>156</v>
      </c>
      <c r="F401" s="46" t="s">
        <v>157</v>
      </c>
      <c r="G401" s="46" t="s">
        <v>158</v>
      </c>
      <c r="H401" s="46" t="s">
        <v>159</v>
      </c>
      <c r="I401" s="46" t="s">
        <v>279</v>
      </c>
      <c r="J401" s="46" t="s">
        <v>160</v>
      </c>
      <c r="K401" s="635"/>
      <c r="L401" s="262"/>
      <c r="M401" s="262"/>
    </row>
    <row r="402" spans="1:13" ht="23.25" customHeight="1" thickBot="1">
      <c r="A402" s="646"/>
      <c r="B402" s="646"/>
      <c r="C402" s="648"/>
      <c r="D402" s="44"/>
      <c r="E402" s="44">
        <v>350</v>
      </c>
      <c r="F402" s="44"/>
      <c r="G402" s="44"/>
      <c r="H402" s="44">
        <v>350</v>
      </c>
      <c r="I402" s="44">
        <v>350</v>
      </c>
      <c r="J402" s="44">
        <v>350</v>
      </c>
      <c r="K402" s="259"/>
      <c r="L402" s="262"/>
      <c r="M402" s="262"/>
    </row>
    <row r="403" spans="1:13" s="127" customFormat="1" ht="23.25" customHeight="1">
      <c r="A403" s="638">
        <v>242</v>
      </c>
      <c r="B403" s="638" t="s">
        <v>282</v>
      </c>
      <c r="C403" s="641">
        <v>230</v>
      </c>
      <c r="D403" s="128" t="s">
        <v>149</v>
      </c>
      <c r="E403" s="128" t="s">
        <v>150</v>
      </c>
      <c r="F403" s="128" t="s">
        <v>151</v>
      </c>
      <c r="G403" s="128" t="s">
        <v>152</v>
      </c>
      <c r="H403" s="128" t="s">
        <v>22</v>
      </c>
      <c r="I403" s="128" t="s">
        <v>153</v>
      </c>
      <c r="J403" s="128" t="s">
        <v>154</v>
      </c>
      <c r="K403" s="258"/>
      <c r="L403" s="262"/>
      <c r="M403" s="262"/>
    </row>
    <row r="404" spans="1:13" s="127" customFormat="1" ht="23.25" customHeight="1">
      <c r="A404" s="639"/>
      <c r="B404" s="639"/>
      <c r="C404" s="642"/>
      <c r="D404" s="126">
        <v>230</v>
      </c>
      <c r="E404" s="126">
        <v>230</v>
      </c>
      <c r="F404" s="126">
        <v>230</v>
      </c>
      <c r="G404" s="126">
        <v>230</v>
      </c>
      <c r="H404" s="126"/>
      <c r="I404" s="126">
        <v>230</v>
      </c>
      <c r="J404" s="126">
        <v>230</v>
      </c>
      <c r="K404" s="634">
        <f>SUM(D404:J404,D406:J406)</f>
        <v>2990</v>
      </c>
      <c r="L404" s="262"/>
      <c r="M404" s="262"/>
    </row>
    <row r="405" spans="1:13" s="127" customFormat="1" ht="23.25" customHeight="1">
      <c r="A405" s="639"/>
      <c r="B405" s="639"/>
      <c r="C405" s="642"/>
      <c r="D405" s="128" t="s">
        <v>155</v>
      </c>
      <c r="E405" s="128" t="s">
        <v>156</v>
      </c>
      <c r="F405" s="128" t="s">
        <v>157</v>
      </c>
      <c r="G405" s="128" t="s">
        <v>158</v>
      </c>
      <c r="H405" s="128" t="s">
        <v>159</v>
      </c>
      <c r="I405" s="128" t="s">
        <v>279</v>
      </c>
      <c r="J405" s="128" t="s">
        <v>160</v>
      </c>
      <c r="K405" s="635"/>
      <c r="L405" s="262"/>
      <c r="M405" s="262"/>
    </row>
    <row r="406" spans="1:13" s="127" customFormat="1" ht="23.25" customHeight="1" thickBot="1">
      <c r="A406" s="640"/>
      <c r="B406" s="640"/>
      <c r="C406" s="643"/>
      <c r="D406" s="126">
        <v>230</v>
      </c>
      <c r="E406" s="126">
        <v>230</v>
      </c>
      <c r="F406" s="126">
        <v>230</v>
      </c>
      <c r="G406" s="126">
        <v>230</v>
      </c>
      <c r="H406" s="126">
        <v>230</v>
      </c>
      <c r="I406" s="126">
        <v>230</v>
      </c>
      <c r="J406" s="126">
        <v>230</v>
      </c>
      <c r="K406" s="259"/>
      <c r="L406" s="262"/>
      <c r="M406" s="262"/>
    </row>
    <row r="407" spans="1:13" ht="23.25" customHeight="1">
      <c r="A407" s="653">
        <v>243</v>
      </c>
      <c r="B407" s="653" t="s">
        <v>247</v>
      </c>
      <c r="C407" s="656">
        <v>115</v>
      </c>
      <c r="D407" s="46" t="s">
        <v>149</v>
      </c>
      <c r="E407" s="46" t="s">
        <v>150</v>
      </c>
      <c r="F407" s="46" t="s">
        <v>151</v>
      </c>
      <c r="G407" s="46" t="s">
        <v>152</v>
      </c>
      <c r="H407" s="46" t="s">
        <v>22</v>
      </c>
      <c r="I407" s="46" t="s">
        <v>153</v>
      </c>
      <c r="J407" s="46" t="s">
        <v>154</v>
      </c>
      <c r="K407" s="258"/>
      <c r="L407" s="262"/>
      <c r="M407" s="262"/>
    </row>
    <row r="408" spans="1:13" ht="23.25" customHeight="1">
      <c r="A408" s="654"/>
      <c r="B408" s="654"/>
      <c r="C408" s="657"/>
      <c r="D408" s="44">
        <v>115</v>
      </c>
      <c r="E408" s="44">
        <v>115</v>
      </c>
      <c r="F408" s="44">
        <v>-115</v>
      </c>
      <c r="G408" s="44">
        <v>115</v>
      </c>
      <c r="H408" s="44">
        <v>90</v>
      </c>
      <c r="I408" s="44">
        <v>115</v>
      </c>
      <c r="J408" s="44">
        <v>115</v>
      </c>
      <c r="K408" s="634">
        <f>SUM(D408:J408,D410:J410)</f>
        <v>1125</v>
      </c>
      <c r="L408" s="262"/>
      <c r="M408" s="262"/>
    </row>
    <row r="409" spans="1:13" ht="23.25" customHeight="1">
      <c r="A409" s="654"/>
      <c r="B409" s="654"/>
      <c r="C409" s="657"/>
      <c r="D409" s="46" t="s">
        <v>155</v>
      </c>
      <c r="E409" s="46" t="s">
        <v>156</v>
      </c>
      <c r="F409" s="46" t="s">
        <v>157</v>
      </c>
      <c r="G409" s="46" t="s">
        <v>158</v>
      </c>
      <c r="H409" s="46" t="s">
        <v>159</v>
      </c>
      <c r="I409" s="46" t="s">
        <v>279</v>
      </c>
      <c r="J409" s="46" t="s">
        <v>160</v>
      </c>
      <c r="K409" s="635"/>
      <c r="L409" s="262"/>
      <c r="M409" s="262"/>
    </row>
    <row r="410" spans="1:13" ht="23.25" customHeight="1" thickBot="1">
      <c r="A410" s="655"/>
      <c r="B410" s="655"/>
      <c r="C410" s="658"/>
      <c r="D410" s="44">
        <v>115</v>
      </c>
      <c r="E410" s="44">
        <v>115</v>
      </c>
      <c r="F410" s="44">
        <v>115</v>
      </c>
      <c r="G410" s="44"/>
      <c r="H410" s="44">
        <v>115</v>
      </c>
      <c r="I410" s="44"/>
      <c r="J410" s="44">
        <v>115</v>
      </c>
      <c r="K410" s="259"/>
      <c r="L410" s="262"/>
      <c r="M410" s="262"/>
    </row>
    <row r="411" spans="1:13" s="127" customFormat="1" ht="23.25" customHeight="1">
      <c r="A411" s="644">
        <v>244</v>
      </c>
      <c r="B411" s="644" t="s">
        <v>248</v>
      </c>
      <c r="C411" s="645">
        <v>462</v>
      </c>
      <c r="D411" s="128" t="s">
        <v>149</v>
      </c>
      <c r="E411" s="128" t="s">
        <v>150</v>
      </c>
      <c r="F411" s="128" t="s">
        <v>151</v>
      </c>
      <c r="G411" s="128" t="s">
        <v>152</v>
      </c>
      <c r="H411" s="128" t="s">
        <v>22</v>
      </c>
      <c r="I411" s="128" t="s">
        <v>153</v>
      </c>
      <c r="J411" s="128" t="s">
        <v>154</v>
      </c>
      <c r="K411" s="258"/>
      <c r="L411" s="265"/>
      <c r="M411" s="265"/>
    </row>
    <row r="412" spans="1:13" s="127" customFormat="1" ht="23.25" customHeight="1">
      <c r="A412" s="644"/>
      <c r="B412" s="644"/>
      <c r="C412" s="645"/>
      <c r="D412" s="126" t="s">
        <v>998</v>
      </c>
      <c r="E412" s="126">
        <v>462</v>
      </c>
      <c r="F412" s="126">
        <v>462</v>
      </c>
      <c r="G412" s="126">
        <v>462</v>
      </c>
      <c r="H412" s="126">
        <v>-90</v>
      </c>
      <c r="I412" s="126">
        <v>462</v>
      </c>
      <c r="J412" s="126">
        <v>462</v>
      </c>
      <c r="K412" s="634">
        <f>SUM(D412:J412,D414:J414)</f>
        <v>5454</v>
      </c>
      <c r="L412" s="265"/>
      <c r="M412" s="265"/>
    </row>
    <row r="413" spans="1:13" s="127" customFormat="1" ht="23.25" customHeight="1">
      <c r="A413" s="644"/>
      <c r="B413" s="644"/>
      <c r="C413" s="645"/>
      <c r="D413" s="128" t="s">
        <v>155</v>
      </c>
      <c r="E413" s="128" t="s">
        <v>156</v>
      </c>
      <c r="F413" s="128" t="s">
        <v>157</v>
      </c>
      <c r="G413" s="128" t="s">
        <v>158</v>
      </c>
      <c r="H413" s="128" t="s">
        <v>159</v>
      </c>
      <c r="I413" s="128" t="s">
        <v>279</v>
      </c>
      <c r="J413" s="128" t="s">
        <v>160</v>
      </c>
      <c r="K413" s="635"/>
      <c r="L413" s="265"/>
      <c r="M413" s="265"/>
    </row>
    <row r="414" spans="1:13" s="127" customFormat="1" ht="23.25" customHeight="1" thickBot="1">
      <c r="A414" s="644"/>
      <c r="B414" s="644"/>
      <c r="C414" s="645"/>
      <c r="D414" s="126">
        <v>462</v>
      </c>
      <c r="E414" s="126">
        <v>462</v>
      </c>
      <c r="F414" s="126">
        <v>462</v>
      </c>
      <c r="G414" s="126">
        <v>462</v>
      </c>
      <c r="H414" s="126">
        <v>462</v>
      </c>
      <c r="I414" s="126">
        <v>462</v>
      </c>
      <c r="J414" s="126">
        <v>462</v>
      </c>
      <c r="K414" s="259"/>
      <c r="L414" s="265"/>
      <c r="M414" s="265"/>
    </row>
    <row r="415" spans="1:13" ht="23.25" customHeight="1">
      <c r="A415" s="646">
        <v>248</v>
      </c>
      <c r="B415" s="646" t="s">
        <v>249</v>
      </c>
      <c r="C415" s="648">
        <v>200</v>
      </c>
      <c r="D415" s="46" t="s">
        <v>149</v>
      </c>
      <c r="E415" s="46" t="s">
        <v>150</v>
      </c>
      <c r="F415" s="46" t="s">
        <v>151</v>
      </c>
      <c r="G415" s="46" t="s">
        <v>152</v>
      </c>
      <c r="H415" s="46" t="s">
        <v>22</v>
      </c>
      <c r="I415" s="46" t="s">
        <v>153</v>
      </c>
      <c r="J415" s="46" t="s">
        <v>154</v>
      </c>
      <c r="K415" s="258"/>
      <c r="L415" s="262"/>
      <c r="M415" s="262"/>
    </row>
    <row r="416" spans="1:13" ht="23.25" customHeight="1">
      <c r="A416" s="646"/>
      <c r="B416" s="646"/>
      <c r="C416" s="648"/>
      <c r="D416" s="44">
        <v>200</v>
      </c>
      <c r="E416" s="44"/>
      <c r="F416" s="44"/>
      <c r="G416" s="44"/>
      <c r="H416" s="44"/>
      <c r="I416" s="44"/>
      <c r="J416" s="44"/>
      <c r="K416" s="634">
        <f>SUM(D416:J416,D418:J418)</f>
        <v>200</v>
      </c>
      <c r="L416" s="262"/>
      <c r="M416" s="262"/>
    </row>
    <row r="417" spans="1:13" ht="23.25" customHeight="1">
      <c r="A417" s="646"/>
      <c r="B417" s="646"/>
      <c r="C417" s="648"/>
      <c r="D417" s="46" t="s">
        <v>155</v>
      </c>
      <c r="E417" s="46" t="s">
        <v>156</v>
      </c>
      <c r="F417" s="46" t="s">
        <v>157</v>
      </c>
      <c r="G417" s="46" t="s">
        <v>158</v>
      </c>
      <c r="H417" s="46" t="s">
        <v>159</v>
      </c>
      <c r="I417" s="46" t="s">
        <v>279</v>
      </c>
      <c r="J417" s="46" t="s">
        <v>160</v>
      </c>
      <c r="K417" s="635"/>
      <c r="L417" s="262"/>
      <c r="M417" s="262"/>
    </row>
    <row r="418" spans="1:13" ht="23.25" customHeight="1" thickBot="1">
      <c r="A418" s="646"/>
      <c r="B418" s="646"/>
      <c r="C418" s="648"/>
      <c r="D418" s="44"/>
      <c r="E418" s="44"/>
      <c r="F418" s="44"/>
      <c r="G418" s="44"/>
      <c r="H418" s="44"/>
      <c r="I418" s="44"/>
      <c r="J418" s="44"/>
      <c r="K418" s="259"/>
      <c r="L418" s="262"/>
      <c r="M418" s="262"/>
    </row>
    <row r="419" spans="1:13" ht="23.25" customHeight="1">
      <c r="A419" s="646">
        <v>249</v>
      </c>
      <c r="B419" s="647" t="s">
        <v>250</v>
      </c>
      <c r="C419" s="648">
        <v>1610</v>
      </c>
      <c r="D419" s="46" t="s">
        <v>149</v>
      </c>
      <c r="E419" s="46" t="s">
        <v>150</v>
      </c>
      <c r="F419" s="46" t="s">
        <v>151</v>
      </c>
      <c r="G419" s="46" t="s">
        <v>152</v>
      </c>
      <c r="H419" s="46" t="s">
        <v>22</v>
      </c>
      <c r="I419" s="46" t="s">
        <v>153</v>
      </c>
      <c r="J419" s="46" t="s">
        <v>154</v>
      </c>
      <c r="K419" s="258"/>
      <c r="L419" s="262"/>
      <c r="M419" s="262"/>
    </row>
    <row r="420" spans="1:13" ht="23.25" customHeight="1">
      <c r="A420" s="646"/>
      <c r="B420" s="647"/>
      <c r="C420" s="648"/>
      <c r="D420" s="44" t="s">
        <v>998</v>
      </c>
      <c r="E420" s="44">
        <v>1610</v>
      </c>
      <c r="F420" s="44">
        <v>1610</v>
      </c>
      <c r="G420" s="44">
        <v>1610</v>
      </c>
      <c r="H420" s="44"/>
      <c r="I420" s="44">
        <v>1610</v>
      </c>
      <c r="J420" s="44"/>
      <c r="K420" s="634">
        <f>SUM(D420:J420,D422:J422)</f>
        <v>8050</v>
      </c>
      <c r="L420" s="262"/>
      <c r="M420" s="262"/>
    </row>
    <row r="421" spans="1:13" ht="23.25" customHeight="1">
      <c r="A421" s="646"/>
      <c r="B421" s="647"/>
      <c r="C421" s="648"/>
      <c r="D421" s="46" t="s">
        <v>155</v>
      </c>
      <c r="E421" s="46" t="s">
        <v>156</v>
      </c>
      <c r="F421" s="46" t="s">
        <v>157</v>
      </c>
      <c r="G421" s="46" t="s">
        <v>158</v>
      </c>
      <c r="H421" s="46" t="s">
        <v>159</v>
      </c>
      <c r="I421" s="46" t="s">
        <v>279</v>
      </c>
      <c r="J421" s="46" t="s">
        <v>160</v>
      </c>
      <c r="K421" s="635"/>
      <c r="L421" s="262"/>
      <c r="M421" s="262"/>
    </row>
    <row r="422" spans="1:13" ht="23.25" customHeight="1" thickBot="1">
      <c r="A422" s="646"/>
      <c r="B422" s="647"/>
      <c r="C422" s="648"/>
      <c r="D422" s="44">
        <v>1610</v>
      </c>
      <c r="E422" s="44"/>
      <c r="F422" s="44"/>
      <c r="G422" s="44"/>
      <c r="H422" s="44"/>
      <c r="I422" s="44"/>
      <c r="J422" s="44"/>
      <c r="K422" s="259"/>
      <c r="L422" s="262"/>
      <c r="M422" s="262"/>
    </row>
    <row r="423" spans="1:13" ht="23.25" customHeight="1">
      <c r="A423" s="646">
        <v>257</v>
      </c>
      <c r="B423" s="646" t="s">
        <v>251</v>
      </c>
      <c r="C423" s="648">
        <v>200</v>
      </c>
      <c r="D423" s="46" t="s">
        <v>149</v>
      </c>
      <c r="E423" s="46" t="s">
        <v>150</v>
      </c>
      <c r="F423" s="46" t="s">
        <v>151</v>
      </c>
      <c r="G423" s="46" t="s">
        <v>152</v>
      </c>
      <c r="H423" s="46" t="s">
        <v>22</v>
      </c>
      <c r="I423" s="46" t="s">
        <v>153</v>
      </c>
      <c r="J423" s="46" t="s">
        <v>154</v>
      </c>
      <c r="K423" s="258"/>
      <c r="L423" s="262"/>
      <c r="M423" s="262"/>
    </row>
    <row r="424" spans="1:13" ht="23.25" customHeight="1">
      <c r="A424" s="646"/>
      <c r="B424" s="646"/>
      <c r="C424" s="648"/>
      <c r="D424" s="44">
        <v>200</v>
      </c>
      <c r="E424" s="44"/>
      <c r="F424" s="44"/>
      <c r="G424" s="44"/>
      <c r="H424" s="44"/>
      <c r="I424" s="44"/>
      <c r="J424" s="44"/>
      <c r="K424" s="634">
        <f>SUM(D424:J424,D426:J426)</f>
        <v>200</v>
      </c>
      <c r="L424" s="262"/>
      <c r="M424" s="262"/>
    </row>
    <row r="425" spans="1:13" ht="23.25" customHeight="1">
      <c r="A425" s="646"/>
      <c r="B425" s="646"/>
      <c r="C425" s="648"/>
      <c r="D425" s="46" t="s">
        <v>155</v>
      </c>
      <c r="E425" s="46" t="s">
        <v>156</v>
      </c>
      <c r="F425" s="46" t="s">
        <v>157</v>
      </c>
      <c r="G425" s="46" t="s">
        <v>158</v>
      </c>
      <c r="H425" s="46" t="s">
        <v>159</v>
      </c>
      <c r="I425" s="46" t="s">
        <v>279</v>
      </c>
      <c r="J425" s="46" t="s">
        <v>160</v>
      </c>
      <c r="K425" s="635"/>
      <c r="L425" s="262"/>
      <c r="M425" s="262"/>
    </row>
    <row r="426" spans="1:13" ht="23.25" customHeight="1" thickBot="1">
      <c r="A426" s="646"/>
      <c r="B426" s="646"/>
      <c r="C426" s="648"/>
      <c r="D426" s="44"/>
      <c r="E426" s="44"/>
      <c r="F426" s="44"/>
      <c r="G426" s="44"/>
      <c r="H426" s="44"/>
      <c r="I426" s="44"/>
      <c r="J426" s="44"/>
      <c r="K426" s="259"/>
      <c r="L426" s="262"/>
      <c r="M426" s="262"/>
    </row>
    <row r="427" spans="1:13" ht="23.25" customHeight="1">
      <c r="A427" s="646">
        <v>258</v>
      </c>
      <c r="B427" s="649" t="s">
        <v>252</v>
      </c>
      <c r="C427" s="648">
        <v>605</v>
      </c>
      <c r="D427" s="46" t="s">
        <v>149</v>
      </c>
      <c r="E427" s="46" t="s">
        <v>150</v>
      </c>
      <c r="F427" s="46" t="s">
        <v>151</v>
      </c>
      <c r="G427" s="46" t="s">
        <v>152</v>
      </c>
      <c r="H427" s="46" t="s">
        <v>22</v>
      </c>
      <c r="I427" s="46" t="s">
        <v>153</v>
      </c>
      <c r="J427" s="46" t="s">
        <v>154</v>
      </c>
      <c r="K427" s="258"/>
      <c r="L427" s="262"/>
      <c r="M427" s="262"/>
    </row>
    <row r="428" spans="1:13" ht="23.25" customHeight="1">
      <c r="A428" s="646"/>
      <c r="B428" s="649"/>
      <c r="C428" s="648"/>
      <c r="D428" s="44"/>
      <c r="E428" s="44"/>
      <c r="F428" s="44"/>
      <c r="G428" s="44"/>
      <c r="H428" s="44"/>
      <c r="I428" s="44"/>
      <c r="J428" s="44"/>
      <c r="K428" s="634">
        <f>SUM(D428:J428,D430:J430)</f>
        <v>0</v>
      </c>
      <c r="L428" s="262"/>
      <c r="M428" s="262"/>
    </row>
    <row r="429" spans="1:13" ht="23.25" customHeight="1">
      <c r="A429" s="646"/>
      <c r="B429" s="649"/>
      <c r="C429" s="648"/>
      <c r="D429" s="46" t="s">
        <v>155</v>
      </c>
      <c r="E429" s="46" t="s">
        <v>156</v>
      </c>
      <c r="F429" s="46" t="s">
        <v>157</v>
      </c>
      <c r="G429" s="46" t="s">
        <v>158</v>
      </c>
      <c r="H429" s="46" t="s">
        <v>159</v>
      </c>
      <c r="I429" s="46" t="s">
        <v>279</v>
      </c>
      <c r="J429" s="46" t="s">
        <v>160</v>
      </c>
      <c r="K429" s="635"/>
      <c r="L429" s="262"/>
      <c r="M429" s="262"/>
    </row>
    <row r="430" spans="1:13" ht="23.25" customHeight="1" thickBot="1">
      <c r="A430" s="646"/>
      <c r="B430" s="649"/>
      <c r="C430" s="648"/>
      <c r="D430" s="44"/>
      <c r="E430" s="44"/>
      <c r="F430" s="44"/>
      <c r="G430" s="44"/>
      <c r="H430" s="44"/>
      <c r="I430" s="44"/>
      <c r="J430" s="44"/>
      <c r="K430" s="259"/>
      <c r="L430" s="262"/>
      <c r="M430" s="262"/>
    </row>
    <row r="431" spans="1:13" s="127" customFormat="1" ht="23.25" customHeight="1">
      <c r="A431" s="644">
        <v>259</v>
      </c>
      <c r="B431" s="644" t="s">
        <v>106</v>
      </c>
      <c r="C431" s="645">
        <v>385</v>
      </c>
      <c r="D431" s="128" t="s">
        <v>149</v>
      </c>
      <c r="E431" s="128" t="s">
        <v>150</v>
      </c>
      <c r="F431" s="128" t="s">
        <v>151</v>
      </c>
      <c r="G431" s="128" t="s">
        <v>152</v>
      </c>
      <c r="H431" s="128" t="s">
        <v>22</v>
      </c>
      <c r="I431" s="128" t="s">
        <v>153</v>
      </c>
      <c r="J431" s="128" t="s">
        <v>154</v>
      </c>
      <c r="K431" s="258"/>
      <c r="L431" s="262"/>
      <c r="M431" s="262"/>
    </row>
    <row r="432" spans="1:13" s="127" customFormat="1" ht="23.25" customHeight="1">
      <c r="A432" s="644"/>
      <c r="B432" s="644"/>
      <c r="C432" s="645"/>
      <c r="D432" s="126">
        <v>385</v>
      </c>
      <c r="E432" s="126">
        <v>385</v>
      </c>
      <c r="F432" s="126">
        <v>385</v>
      </c>
      <c r="G432" s="126">
        <v>385</v>
      </c>
      <c r="H432" s="126"/>
      <c r="I432" s="126">
        <v>385</v>
      </c>
      <c r="J432" s="126">
        <v>385</v>
      </c>
      <c r="K432" s="634">
        <f>SUM(D432:J432,D434:J434)</f>
        <v>5005</v>
      </c>
      <c r="L432" s="262"/>
      <c r="M432" s="262"/>
    </row>
    <row r="433" spans="1:13" s="127" customFormat="1" ht="23.25" customHeight="1">
      <c r="A433" s="644"/>
      <c r="B433" s="644"/>
      <c r="C433" s="645"/>
      <c r="D433" s="128" t="s">
        <v>155</v>
      </c>
      <c r="E433" s="128" t="s">
        <v>156</v>
      </c>
      <c r="F433" s="128" t="s">
        <v>157</v>
      </c>
      <c r="G433" s="128" t="s">
        <v>158</v>
      </c>
      <c r="H433" s="128" t="s">
        <v>159</v>
      </c>
      <c r="I433" s="128" t="s">
        <v>279</v>
      </c>
      <c r="J433" s="128" t="s">
        <v>160</v>
      </c>
      <c r="K433" s="635"/>
      <c r="L433" s="262"/>
      <c r="M433" s="262"/>
    </row>
    <row r="434" spans="1:13" s="127" customFormat="1" ht="23.25" customHeight="1" thickBot="1">
      <c r="A434" s="644"/>
      <c r="B434" s="644"/>
      <c r="C434" s="645"/>
      <c r="D434" s="126">
        <v>385</v>
      </c>
      <c r="E434" s="126">
        <v>385</v>
      </c>
      <c r="F434" s="126">
        <v>385</v>
      </c>
      <c r="G434" s="126">
        <v>385</v>
      </c>
      <c r="H434" s="126">
        <v>385</v>
      </c>
      <c r="I434" s="126">
        <v>385</v>
      </c>
      <c r="J434" s="126">
        <v>385</v>
      </c>
      <c r="K434" s="259"/>
      <c r="L434" s="262"/>
      <c r="M434" s="262"/>
    </row>
    <row r="435" spans="1:13" ht="23.25" customHeight="1">
      <c r="A435" s="646">
        <v>261</v>
      </c>
      <c r="B435" s="646" t="s">
        <v>253</v>
      </c>
      <c r="C435" s="648">
        <v>365</v>
      </c>
      <c r="D435" s="46" t="s">
        <v>149</v>
      </c>
      <c r="E435" s="46" t="s">
        <v>150</v>
      </c>
      <c r="F435" s="46" t="s">
        <v>151</v>
      </c>
      <c r="G435" s="46" t="s">
        <v>152</v>
      </c>
      <c r="H435" s="46" t="s">
        <v>22</v>
      </c>
      <c r="I435" s="46" t="s">
        <v>153</v>
      </c>
      <c r="J435" s="46" t="s">
        <v>154</v>
      </c>
      <c r="K435" s="258"/>
      <c r="L435" s="262"/>
      <c r="M435" s="262"/>
    </row>
    <row r="436" spans="1:13" ht="23.25" customHeight="1">
      <c r="A436" s="646"/>
      <c r="B436" s="646"/>
      <c r="C436" s="648"/>
      <c r="D436" s="44"/>
      <c r="E436" s="44"/>
      <c r="F436" s="44"/>
      <c r="G436" s="44">
        <v>365</v>
      </c>
      <c r="H436" s="44"/>
      <c r="I436" s="44">
        <v>365</v>
      </c>
      <c r="J436" s="44"/>
      <c r="K436" s="634">
        <f>SUM(D436:J436,D438:J438)</f>
        <v>2555</v>
      </c>
      <c r="L436" s="262"/>
      <c r="M436" s="262" t="s">
        <v>392</v>
      </c>
    </row>
    <row r="437" spans="1:13" ht="23.25" customHeight="1">
      <c r="A437" s="646"/>
      <c r="B437" s="646"/>
      <c r="C437" s="648"/>
      <c r="D437" s="46" t="s">
        <v>155</v>
      </c>
      <c r="E437" s="46" t="s">
        <v>156</v>
      </c>
      <c r="F437" s="46" t="s">
        <v>157</v>
      </c>
      <c r="G437" s="46" t="s">
        <v>158</v>
      </c>
      <c r="H437" s="46" t="s">
        <v>159</v>
      </c>
      <c r="I437" s="46" t="s">
        <v>279</v>
      </c>
      <c r="J437" s="46" t="s">
        <v>160</v>
      </c>
      <c r="K437" s="635"/>
      <c r="L437" s="262"/>
      <c r="M437" s="262"/>
    </row>
    <row r="438" spans="1:13" ht="23.25" customHeight="1" thickBot="1">
      <c r="A438" s="646"/>
      <c r="B438" s="646"/>
      <c r="C438" s="648"/>
      <c r="D438" s="44"/>
      <c r="E438" s="44">
        <v>365</v>
      </c>
      <c r="F438" s="44"/>
      <c r="G438" s="44">
        <v>365</v>
      </c>
      <c r="H438" s="44">
        <v>365</v>
      </c>
      <c r="I438" s="44">
        <v>365</v>
      </c>
      <c r="J438" s="44">
        <v>365</v>
      </c>
      <c r="K438" s="259"/>
      <c r="L438" s="262"/>
      <c r="M438" s="262"/>
    </row>
    <row r="439" spans="1:13" s="127" customFormat="1" ht="23.25" customHeight="1">
      <c r="A439" s="644">
        <v>263</v>
      </c>
      <c r="B439" s="644" t="s">
        <v>254</v>
      </c>
      <c r="C439" s="645">
        <v>440</v>
      </c>
      <c r="D439" s="128" t="s">
        <v>149</v>
      </c>
      <c r="E439" s="128" t="s">
        <v>150</v>
      </c>
      <c r="F439" s="128" t="s">
        <v>151</v>
      </c>
      <c r="G439" s="128" t="s">
        <v>152</v>
      </c>
      <c r="H439" s="128" t="s">
        <v>22</v>
      </c>
      <c r="I439" s="128" t="s">
        <v>153</v>
      </c>
      <c r="J439" s="128" t="s">
        <v>154</v>
      </c>
      <c r="K439" s="258"/>
      <c r="L439" s="265"/>
      <c r="M439" s="265"/>
    </row>
    <row r="440" spans="1:13" s="127" customFormat="1" ht="153">
      <c r="A440" s="644"/>
      <c r="B440" s="644"/>
      <c r="C440" s="645"/>
      <c r="D440" s="126" t="s">
        <v>285</v>
      </c>
      <c r="E440" s="126">
        <v>440</v>
      </c>
      <c r="F440" s="126">
        <v>440</v>
      </c>
      <c r="G440" s="126">
        <v>440</v>
      </c>
      <c r="H440" s="126">
        <v>90</v>
      </c>
      <c r="I440" s="126">
        <v>440</v>
      </c>
      <c r="J440" s="126">
        <v>440</v>
      </c>
      <c r="K440" s="634">
        <f>SUM(D440:J440,D442:J442)</f>
        <v>4940</v>
      </c>
      <c r="L440" s="265"/>
      <c r="M440" s="265"/>
    </row>
    <row r="441" spans="1:13" s="127" customFormat="1" ht="23.25" customHeight="1">
      <c r="A441" s="644"/>
      <c r="B441" s="644"/>
      <c r="C441" s="645"/>
      <c r="D441" s="128" t="s">
        <v>155</v>
      </c>
      <c r="E441" s="128" t="s">
        <v>156</v>
      </c>
      <c r="F441" s="128" t="s">
        <v>157</v>
      </c>
      <c r="G441" s="128" t="s">
        <v>158</v>
      </c>
      <c r="H441" s="128" t="s">
        <v>159</v>
      </c>
      <c r="I441" s="128" t="s">
        <v>279</v>
      </c>
      <c r="J441" s="128" t="s">
        <v>160</v>
      </c>
      <c r="K441" s="635"/>
      <c r="L441" s="265"/>
      <c r="M441" s="265"/>
    </row>
    <row r="442" spans="1:13" s="127" customFormat="1" ht="23.25" customHeight="1" thickBot="1">
      <c r="A442" s="644"/>
      <c r="B442" s="644"/>
      <c r="C442" s="645"/>
      <c r="D442" s="126">
        <v>450</v>
      </c>
      <c r="E442" s="126" t="s">
        <v>305</v>
      </c>
      <c r="F442" s="126">
        <v>440</v>
      </c>
      <c r="G442" s="126">
        <v>440</v>
      </c>
      <c r="H442" s="126">
        <v>440</v>
      </c>
      <c r="I442" s="126">
        <v>440</v>
      </c>
      <c r="J442" s="126">
        <v>440</v>
      </c>
      <c r="K442" s="259"/>
      <c r="L442" s="265"/>
      <c r="M442" s="265"/>
    </row>
    <row r="443" spans="1:13" ht="23.25" customHeight="1">
      <c r="A443" s="646">
        <v>264</v>
      </c>
      <c r="B443" s="646" t="s">
        <v>255</v>
      </c>
      <c r="C443" s="648">
        <v>710</v>
      </c>
      <c r="D443" s="46" t="s">
        <v>149</v>
      </c>
      <c r="E443" s="46" t="s">
        <v>150</v>
      </c>
      <c r="F443" s="46" t="s">
        <v>151</v>
      </c>
      <c r="G443" s="46" t="s">
        <v>152</v>
      </c>
      <c r="H443" s="46" t="s">
        <v>22</v>
      </c>
      <c r="I443" s="46" t="s">
        <v>153</v>
      </c>
      <c r="J443" s="46" t="s">
        <v>154</v>
      </c>
      <c r="K443" s="258"/>
      <c r="L443" s="262"/>
      <c r="M443" s="262"/>
    </row>
    <row r="444" spans="1:13" ht="23.25" customHeight="1">
      <c r="A444" s="646"/>
      <c r="B444" s="646"/>
      <c r="C444" s="648"/>
      <c r="D444" s="44"/>
      <c r="E444" s="44"/>
      <c r="F444" s="44"/>
      <c r="G444" s="44"/>
      <c r="H444" s="44"/>
      <c r="I444" s="44"/>
      <c r="J444" s="44"/>
      <c r="K444" s="634">
        <f>SUM(D444:J444,D446:J446)</f>
        <v>0</v>
      </c>
      <c r="L444" s="262"/>
      <c r="M444" s="262" t="s">
        <v>392</v>
      </c>
    </row>
    <row r="445" spans="1:13" ht="23.25" customHeight="1">
      <c r="A445" s="646"/>
      <c r="B445" s="646"/>
      <c r="C445" s="648"/>
      <c r="D445" s="46" t="s">
        <v>155</v>
      </c>
      <c r="E445" s="46" t="s">
        <v>156</v>
      </c>
      <c r="F445" s="46" t="s">
        <v>157</v>
      </c>
      <c r="G445" s="46" t="s">
        <v>158</v>
      </c>
      <c r="H445" s="46" t="s">
        <v>159</v>
      </c>
      <c r="I445" s="46" t="s">
        <v>279</v>
      </c>
      <c r="J445" s="46" t="s">
        <v>160</v>
      </c>
      <c r="K445" s="635"/>
      <c r="L445" s="262"/>
      <c r="M445" s="262"/>
    </row>
    <row r="446" spans="1:13" ht="23.25" customHeight="1" thickBot="1">
      <c r="A446" s="646"/>
      <c r="B446" s="646"/>
      <c r="C446" s="648"/>
      <c r="D446" s="44"/>
      <c r="E446" s="44"/>
      <c r="F446" s="44"/>
      <c r="G446" s="44"/>
      <c r="H446" s="44"/>
      <c r="I446" s="44"/>
      <c r="J446" s="44"/>
      <c r="K446" s="259"/>
      <c r="L446" s="262"/>
      <c r="M446" s="262"/>
    </row>
    <row r="447" spans="1:13" s="127" customFormat="1" ht="23.25" customHeight="1">
      <c r="A447" s="644">
        <v>266</v>
      </c>
      <c r="B447" s="644" t="s">
        <v>256</v>
      </c>
      <c r="C447" s="645">
        <v>200</v>
      </c>
      <c r="D447" s="128" t="s">
        <v>149</v>
      </c>
      <c r="E447" s="128" t="s">
        <v>150</v>
      </c>
      <c r="F447" s="128" t="s">
        <v>151</v>
      </c>
      <c r="G447" s="128" t="s">
        <v>152</v>
      </c>
      <c r="H447" s="128" t="s">
        <v>22</v>
      </c>
      <c r="I447" s="128" t="s">
        <v>153</v>
      </c>
      <c r="J447" s="128" t="s">
        <v>154</v>
      </c>
      <c r="K447" s="258"/>
      <c r="L447" s="262"/>
      <c r="M447" s="262"/>
    </row>
    <row r="448" spans="1:13" s="127" customFormat="1" ht="23.25" customHeight="1">
      <c r="A448" s="644"/>
      <c r="B448" s="644"/>
      <c r="C448" s="645"/>
      <c r="D448" s="126">
        <v>200</v>
      </c>
      <c r="E448" s="126">
        <v>200</v>
      </c>
      <c r="F448" s="126">
        <v>200</v>
      </c>
      <c r="G448" s="126">
        <v>200</v>
      </c>
      <c r="H448" s="126"/>
      <c r="I448" s="126">
        <v>200</v>
      </c>
      <c r="J448" s="126">
        <v>200</v>
      </c>
      <c r="K448" s="634">
        <f>SUM(D448:J448,D450:J450)</f>
        <v>2600</v>
      </c>
      <c r="L448" s="262"/>
      <c r="M448" s="262"/>
    </row>
    <row r="449" spans="1:13" s="127" customFormat="1" ht="23.25" customHeight="1">
      <c r="A449" s="644"/>
      <c r="B449" s="644"/>
      <c r="C449" s="645"/>
      <c r="D449" s="128" t="s">
        <v>155</v>
      </c>
      <c r="E449" s="128" t="s">
        <v>156</v>
      </c>
      <c r="F449" s="128" t="s">
        <v>157</v>
      </c>
      <c r="G449" s="128" t="s">
        <v>158</v>
      </c>
      <c r="H449" s="128" t="s">
        <v>159</v>
      </c>
      <c r="I449" s="128" t="s">
        <v>279</v>
      </c>
      <c r="J449" s="128" t="s">
        <v>160</v>
      </c>
      <c r="K449" s="635"/>
      <c r="L449" s="262"/>
      <c r="M449" s="262"/>
    </row>
    <row r="450" spans="1:13" s="127" customFormat="1" ht="23.25" customHeight="1" thickBot="1">
      <c r="A450" s="644"/>
      <c r="B450" s="644"/>
      <c r="C450" s="645"/>
      <c r="D450" s="126">
        <v>200</v>
      </c>
      <c r="E450" s="126">
        <v>200</v>
      </c>
      <c r="F450" s="126">
        <v>200</v>
      </c>
      <c r="G450" s="126">
        <v>200</v>
      </c>
      <c r="H450" s="126">
        <v>200</v>
      </c>
      <c r="I450" s="126">
        <v>200</v>
      </c>
      <c r="J450" s="126">
        <v>200</v>
      </c>
      <c r="K450" s="259"/>
      <c r="L450" s="262"/>
      <c r="M450" s="262"/>
    </row>
    <row r="451" spans="1:13" ht="23.25" customHeight="1">
      <c r="A451" s="646">
        <v>267</v>
      </c>
      <c r="B451" s="649" t="s">
        <v>257</v>
      </c>
      <c r="C451" s="648">
        <v>485</v>
      </c>
      <c r="D451" s="46" t="s">
        <v>149</v>
      </c>
      <c r="E451" s="46" t="s">
        <v>150</v>
      </c>
      <c r="F451" s="46" t="s">
        <v>151</v>
      </c>
      <c r="G451" s="46" t="s">
        <v>152</v>
      </c>
      <c r="H451" s="46" t="s">
        <v>22</v>
      </c>
      <c r="I451" s="46" t="s">
        <v>153</v>
      </c>
      <c r="J451" s="46" t="s">
        <v>154</v>
      </c>
      <c r="K451" s="258"/>
      <c r="L451" s="262"/>
      <c r="M451" s="262"/>
    </row>
    <row r="452" spans="1:13" ht="23.25" customHeight="1">
      <c r="A452" s="646"/>
      <c r="B452" s="649"/>
      <c r="C452" s="648"/>
      <c r="D452" s="44">
        <v>485</v>
      </c>
      <c r="E452" s="44">
        <v>485</v>
      </c>
      <c r="F452" s="44">
        <v>485</v>
      </c>
      <c r="G452" s="44"/>
      <c r="H452" s="44"/>
      <c r="I452" s="44"/>
      <c r="J452" s="44"/>
      <c r="K452" s="634">
        <f>SUM(D452:J452,D454:J454)</f>
        <v>1455</v>
      </c>
      <c r="L452" s="262"/>
      <c r="M452" s="262"/>
    </row>
    <row r="453" spans="1:13" ht="23.25" customHeight="1">
      <c r="A453" s="646"/>
      <c r="B453" s="649"/>
      <c r="C453" s="648"/>
      <c r="D453" s="46" t="s">
        <v>155</v>
      </c>
      <c r="E453" s="46" t="s">
        <v>156</v>
      </c>
      <c r="F453" s="46" t="s">
        <v>157</v>
      </c>
      <c r="G453" s="46" t="s">
        <v>158</v>
      </c>
      <c r="H453" s="46" t="s">
        <v>159</v>
      </c>
      <c r="I453" s="46" t="s">
        <v>279</v>
      </c>
      <c r="J453" s="46" t="s">
        <v>160</v>
      </c>
      <c r="K453" s="635"/>
      <c r="L453" s="262"/>
      <c r="M453" s="262"/>
    </row>
    <row r="454" spans="1:13" ht="23.25" customHeight="1" thickBot="1">
      <c r="A454" s="646"/>
      <c r="B454" s="649"/>
      <c r="C454" s="648"/>
      <c r="D454" s="44"/>
      <c r="E454" s="44"/>
      <c r="F454" s="44"/>
      <c r="G454" s="44"/>
      <c r="H454" s="44"/>
      <c r="I454" s="44"/>
      <c r="J454" s="44"/>
      <c r="K454" s="259"/>
      <c r="L454" s="262"/>
      <c r="M454" s="262"/>
    </row>
    <row r="455" spans="1:13" ht="23.25" customHeight="1">
      <c r="A455" s="646">
        <v>271</v>
      </c>
      <c r="B455" s="646" t="s">
        <v>258</v>
      </c>
      <c r="C455" s="648">
        <v>275</v>
      </c>
      <c r="D455" s="46" t="s">
        <v>149</v>
      </c>
      <c r="E455" s="46" t="s">
        <v>150</v>
      </c>
      <c r="F455" s="46" t="s">
        <v>151</v>
      </c>
      <c r="G455" s="46" t="s">
        <v>152</v>
      </c>
      <c r="H455" s="46" t="s">
        <v>22</v>
      </c>
      <c r="I455" s="46" t="s">
        <v>153</v>
      </c>
      <c r="J455" s="46" t="s">
        <v>154</v>
      </c>
      <c r="K455" s="258"/>
      <c r="L455" s="262"/>
      <c r="M455" s="262"/>
    </row>
    <row r="456" spans="1:13" ht="23.25" customHeight="1">
      <c r="A456" s="646"/>
      <c r="B456" s="646"/>
      <c r="C456" s="648"/>
      <c r="D456" s="44">
        <v>275</v>
      </c>
      <c r="E456" s="44">
        <v>250</v>
      </c>
      <c r="F456" s="44">
        <v>275</v>
      </c>
      <c r="G456" s="44">
        <v>275</v>
      </c>
      <c r="H456" s="44"/>
      <c r="I456" s="44">
        <v>275</v>
      </c>
      <c r="J456" s="44">
        <v>275</v>
      </c>
      <c r="K456" s="634">
        <f>SUM(D456:J456,D458:J458)</f>
        <v>2625</v>
      </c>
      <c r="L456" s="262"/>
      <c r="M456" s="262" t="s">
        <v>394</v>
      </c>
    </row>
    <row r="457" spans="1:13" ht="23.25" customHeight="1">
      <c r="A457" s="646"/>
      <c r="B457" s="646"/>
      <c r="C457" s="648"/>
      <c r="D457" s="46" t="s">
        <v>155</v>
      </c>
      <c r="E457" s="46" t="s">
        <v>156</v>
      </c>
      <c r="F457" s="46" t="s">
        <v>157</v>
      </c>
      <c r="G457" s="46" t="s">
        <v>158</v>
      </c>
      <c r="H457" s="46" t="s">
        <v>159</v>
      </c>
      <c r="I457" s="46" t="s">
        <v>279</v>
      </c>
      <c r="J457" s="46" t="s">
        <v>160</v>
      </c>
      <c r="K457" s="635"/>
      <c r="L457" s="262"/>
      <c r="M457" s="262"/>
    </row>
    <row r="458" spans="1:13" ht="23.25" customHeight="1" thickBot="1">
      <c r="A458" s="646"/>
      <c r="B458" s="646"/>
      <c r="C458" s="648"/>
      <c r="D458" s="44">
        <v>250</v>
      </c>
      <c r="E458" s="44">
        <v>250</v>
      </c>
      <c r="F458" s="44">
        <v>250</v>
      </c>
      <c r="G458" s="44">
        <v>250</v>
      </c>
      <c r="H458" s="44"/>
      <c r="I458" s="44"/>
      <c r="J458" s="44"/>
      <c r="K458" s="259"/>
      <c r="L458" s="262"/>
      <c r="M458" s="262"/>
    </row>
    <row r="459" spans="1:13" ht="23.25" customHeight="1">
      <c r="A459" s="646">
        <v>274</v>
      </c>
      <c r="B459" s="647" t="s">
        <v>259</v>
      </c>
      <c r="C459" s="648">
        <v>1355</v>
      </c>
      <c r="D459" s="46" t="s">
        <v>149</v>
      </c>
      <c r="E459" s="46" t="s">
        <v>150</v>
      </c>
      <c r="F459" s="46" t="s">
        <v>151</v>
      </c>
      <c r="G459" s="46" t="s">
        <v>152</v>
      </c>
      <c r="H459" s="46" t="s">
        <v>22</v>
      </c>
      <c r="I459" s="46" t="s">
        <v>153</v>
      </c>
      <c r="J459" s="46" t="s">
        <v>154</v>
      </c>
      <c r="K459" s="258"/>
      <c r="L459" s="262"/>
      <c r="M459" s="262"/>
    </row>
    <row r="460" spans="1:13" ht="23.25" customHeight="1">
      <c r="A460" s="646"/>
      <c r="B460" s="647"/>
      <c r="C460" s="648"/>
      <c r="D460" s="44">
        <v>1355</v>
      </c>
      <c r="E460" s="44"/>
      <c r="F460" s="44">
        <v>1355</v>
      </c>
      <c r="G460" s="44">
        <v>1355</v>
      </c>
      <c r="H460" s="44"/>
      <c r="I460" s="44">
        <v>1355</v>
      </c>
      <c r="J460" s="44"/>
      <c r="K460" s="634">
        <f>SUM(D460:J460,D462:J462)</f>
        <v>6775</v>
      </c>
      <c r="L460" s="262"/>
      <c r="M460" s="262"/>
    </row>
    <row r="461" spans="1:13" ht="23.25" customHeight="1">
      <c r="A461" s="646"/>
      <c r="B461" s="647"/>
      <c r="C461" s="648"/>
      <c r="D461" s="46" t="s">
        <v>155</v>
      </c>
      <c r="E461" s="46" t="s">
        <v>156</v>
      </c>
      <c r="F461" s="46" t="s">
        <v>157</v>
      </c>
      <c r="G461" s="46" t="s">
        <v>158</v>
      </c>
      <c r="H461" s="46" t="s">
        <v>159</v>
      </c>
      <c r="I461" s="46" t="s">
        <v>279</v>
      </c>
      <c r="J461" s="46" t="s">
        <v>160</v>
      </c>
      <c r="K461" s="635"/>
      <c r="L461" s="262"/>
      <c r="M461" s="262"/>
    </row>
    <row r="462" spans="1:13" ht="23.25" customHeight="1" thickBot="1">
      <c r="A462" s="646"/>
      <c r="B462" s="647"/>
      <c r="C462" s="648"/>
      <c r="D462" s="44">
        <v>1355</v>
      </c>
      <c r="E462" s="44"/>
      <c r="F462" s="44"/>
      <c r="G462" s="44"/>
      <c r="H462" s="44"/>
      <c r="I462" s="44"/>
      <c r="J462" s="44"/>
      <c r="K462" s="259"/>
      <c r="L462" s="262"/>
      <c r="M462" s="262"/>
    </row>
    <row r="463" spans="1:13" ht="23.25" customHeight="1">
      <c r="A463" s="646">
        <v>275</v>
      </c>
      <c r="B463" s="649" t="s">
        <v>260</v>
      </c>
      <c r="C463" s="648">
        <v>200</v>
      </c>
      <c r="D463" s="46" t="s">
        <v>149</v>
      </c>
      <c r="E463" s="46" t="s">
        <v>150</v>
      </c>
      <c r="F463" s="46" t="s">
        <v>151</v>
      </c>
      <c r="G463" s="46" t="s">
        <v>152</v>
      </c>
      <c r="H463" s="46" t="s">
        <v>22</v>
      </c>
      <c r="I463" s="46" t="s">
        <v>153</v>
      </c>
      <c r="J463" s="46" t="s">
        <v>154</v>
      </c>
      <c r="K463" s="258"/>
      <c r="L463" s="262"/>
      <c r="M463" s="262"/>
    </row>
    <row r="464" spans="1:13" ht="23.25" customHeight="1">
      <c r="A464" s="646"/>
      <c r="B464" s="649"/>
      <c r="C464" s="648"/>
      <c r="D464" s="44"/>
      <c r="E464" s="44"/>
      <c r="F464" s="44"/>
      <c r="G464" s="44"/>
      <c r="H464" s="44"/>
      <c r="I464" s="44"/>
      <c r="J464" s="44"/>
      <c r="K464" s="634">
        <f>SUM(D464:J464,D466:J466)</f>
        <v>0</v>
      </c>
      <c r="L464" s="262"/>
      <c r="M464" s="262"/>
    </row>
    <row r="465" spans="1:13" ht="23.25" customHeight="1">
      <c r="A465" s="646"/>
      <c r="B465" s="649"/>
      <c r="C465" s="648"/>
      <c r="D465" s="46" t="s">
        <v>155</v>
      </c>
      <c r="E465" s="46" t="s">
        <v>156</v>
      </c>
      <c r="F465" s="46" t="s">
        <v>157</v>
      </c>
      <c r="G465" s="46" t="s">
        <v>158</v>
      </c>
      <c r="H465" s="46" t="s">
        <v>159</v>
      </c>
      <c r="I465" s="46" t="s">
        <v>279</v>
      </c>
      <c r="J465" s="46" t="s">
        <v>160</v>
      </c>
      <c r="K465" s="635"/>
      <c r="L465" s="262"/>
      <c r="M465" s="262"/>
    </row>
    <row r="466" spans="1:13" ht="23.25" customHeight="1" thickBot="1">
      <c r="A466" s="646"/>
      <c r="B466" s="649"/>
      <c r="C466" s="648"/>
      <c r="D466" s="44"/>
      <c r="E466" s="44"/>
      <c r="F466" s="44"/>
      <c r="G466" s="44"/>
      <c r="H466" s="44"/>
      <c r="I466" s="44"/>
      <c r="J466" s="44"/>
      <c r="K466" s="259"/>
      <c r="L466" s="262"/>
      <c r="M466" s="262"/>
    </row>
    <row r="467" spans="1:13" s="127" customFormat="1" ht="23.25" customHeight="1">
      <c r="A467" s="644">
        <v>276</v>
      </c>
      <c r="B467" s="644" t="s">
        <v>261</v>
      </c>
      <c r="C467" s="645">
        <v>385</v>
      </c>
      <c r="D467" s="128" t="s">
        <v>149</v>
      </c>
      <c r="E467" s="128" t="s">
        <v>150</v>
      </c>
      <c r="F467" s="128" t="s">
        <v>151</v>
      </c>
      <c r="G467" s="128" t="s">
        <v>152</v>
      </c>
      <c r="H467" s="128" t="s">
        <v>22</v>
      </c>
      <c r="I467" s="128" t="s">
        <v>153</v>
      </c>
      <c r="J467" s="128" t="s">
        <v>154</v>
      </c>
      <c r="K467" s="258"/>
      <c r="L467" s="262"/>
      <c r="M467" s="262"/>
    </row>
    <row r="468" spans="1:13" s="127" customFormat="1" ht="23.25" customHeight="1">
      <c r="A468" s="644"/>
      <c r="B468" s="644"/>
      <c r="C468" s="645"/>
      <c r="D468" s="126">
        <v>385</v>
      </c>
      <c r="E468" s="126">
        <v>385</v>
      </c>
      <c r="F468" s="126">
        <v>385</v>
      </c>
      <c r="G468" s="126">
        <v>385</v>
      </c>
      <c r="H468" s="126"/>
      <c r="I468" s="126">
        <v>385</v>
      </c>
      <c r="J468" s="126">
        <v>385</v>
      </c>
      <c r="K468" s="634">
        <f>SUM(D468:J468,D470:J470)</f>
        <v>4620</v>
      </c>
      <c r="L468" s="262"/>
      <c r="M468" s="262"/>
    </row>
    <row r="469" spans="1:13" s="127" customFormat="1" ht="23.25" customHeight="1">
      <c r="A469" s="644"/>
      <c r="B469" s="644"/>
      <c r="C469" s="645"/>
      <c r="D469" s="128" t="s">
        <v>155</v>
      </c>
      <c r="E469" s="128" t="s">
        <v>156</v>
      </c>
      <c r="F469" s="128" t="s">
        <v>157</v>
      </c>
      <c r="G469" s="128" t="s">
        <v>158</v>
      </c>
      <c r="H469" s="128" t="s">
        <v>159</v>
      </c>
      <c r="I469" s="128" t="s">
        <v>279</v>
      </c>
      <c r="J469" s="128" t="s">
        <v>160</v>
      </c>
      <c r="K469" s="635"/>
      <c r="L469" s="262" t="s">
        <v>975</v>
      </c>
      <c r="M469" s="262"/>
    </row>
    <row r="470" spans="1:13" s="127" customFormat="1" ht="23.25" customHeight="1" thickBot="1">
      <c r="A470" s="644"/>
      <c r="B470" s="644"/>
      <c r="C470" s="645"/>
      <c r="D470" s="126">
        <v>385</v>
      </c>
      <c r="E470" s="126">
        <v>385</v>
      </c>
      <c r="F470" s="126">
        <v>385</v>
      </c>
      <c r="G470" s="126">
        <v>385</v>
      </c>
      <c r="H470" s="126">
        <v>385</v>
      </c>
      <c r="I470" s="126"/>
      <c r="J470" s="126">
        <v>385</v>
      </c>
      <c r="K470" s="259"/>
      <c r="L470" s="262"/>
      <c r="M470" s="262"/>
    </row>
    <row r="471" spans="1:13" s="224" customFormat="1" ht="23.25" customHeight="1">
      <c r="A471" s="659">
        <v>279</v>
      </c>
      <c r="B471" s="659" t="s">
        <v>286</v>
      </c>
      <c r="C471" s="662">
        <v>180</v>
      </c>
      <c r="D471" s="225" t="s">
        <v>149</v>
      </c>
      <c r="E471" s="225" t="s">
        <v>150</v>
      </c>
      <c r="F471" s="225" t="s">
        <v>151</v>
      </c>
      <c r="G471" s="225" t="s">
        <v>152</v>
      </c>
      <c r="H471" s="225" t="s">
        <v>22</v>
      </c>
      <c r="I471" s="225" t="s">
        <v>153</v>
      </c>
      <c r="J471" s="225" t="s">
        <v>154</v>
      </c>
      <c r="K471" s="258"/>
      <c r="L471" s="262"/>
      <c r="M471" s="262"/>
    </row>
    <row r="472" spans="1:13" s="224" customFormat="1" ht="23.25" customHeight="1">
      <c r="A472" s="660"/>
      <c r="B472" s="660"/>
      <c r="C472" s="663"/>
      <c r="D472" s="226"/>
      <c r="E472" s="226"/>
      <c r="F472" s="226"/>
      <c r="G472" s="226">
        <v>180</v>
      </c>
      <c r="H472" s="226"/>
      <c r="I472" s="226">
        <v>180</v>
      </c>
      <c r="J472" s="226">
        <v>180</v>
      </c>
      <c r="K472" s="634">
        <f>SUM(D472:J472,D474:J474)</f>
        <v>1440</v>
      </c>
      <c r="L472" s="262" t="s">
        <v>1000</v>
      </c>
      <c r="M472" s="262"/>
    </row>
    <row r="473" spans="1:13" s="224" customFormat="1" ht="23.25" customHeight="1">
      <c r="A473" s="660"/>
      <c r="B473" s="660"/>
      <c r="C473" s="663"/>
      <c r="D473" s="225" t="s">
        <v>155</v>
      </c>
      <c r="E473" s="225" t="s">
        <v>156</v>
      </c>
      <c r="F473" s="225" t="s">
        <v>157</v>
      </c>
      <c r="G473" s="225" t="s">
        <v>158</v>
      </c>
      <c r="H473" s="225" t="s">
        <v>159</v>
      </c>
      <c r="I473" s="225" t="s">
        <v>279</v>
      </c>
      <c r="J473" s="225" t="s">
        <v>160</v>
      </c>
      <c r="K473" s="635"/>
      <c r="L473" s="262"/>
      <c r="M473" s="262"/>
    </row>
    <row r="474" spans="1:13" s="224" customFormat="1" ht="23.25" customHeight="1" thickBot="1">
      <c r="A474" s="661"/>
      <c r="B474" s="661"/>
      <c r="C474" s="664"/>
      <c r="D474" s="226">
        <v>180</v>
      </c>
      <c r="E474" s="226">
        <v>180</v>
      </c>
      <c r="F474" s="226"/>
      <c r="G474" s="226">
        <v>180</v>
      </c>
      <c r="H474" s="226">
        <v>180</v>
      </c>
      <c r="I474" s="226"/>
      <c r="J474" s="226">
        <v>180</v>
      </c>
      <c r="K474" s="259"/>
      <c r="L474" s="262"/>
      <c r="M474" s="262"/>
    </row>
    <row r="475" spans="1:13" s="127" customFormat="1" ht="23.25" customHeight="1">
      <c r="A475" s="644">
        <v>280</v>
      </c>
      <c r="B475" s="644" t="s">
        <v>262</v>
      </c>
      <c r="C475" s="645">
        <v>450</v>
      </c>
      <c r="D475" s="128" t="s">
        <v>149</v>
      </c>
      <c r="E475" s="128" t="s">
        <v>150</v>
      </c>
      <c r="F475" s="128" t="s">
        <v>151</v>
      </c>
      <c r="G475" s="128" t="s">
        <v>152</v>
      </c>
      <c r="H475" s="128" t="s">
        <v>22</v>
      </c>
      <c r="I475" s="128" t="s">
        <v>153</v>
      </c>
      <c r="J475" s="128" t="s">
        <v>154</v>
      </c>
      <c r="K475" s="258"/>
      <c r="L475" s="262"/>
      <c r="M475" s="262"/>
    </row>
    <row r="476" spans="1:13" s="127" customFormat="1" ht="23.25" customHeight="1">
      <c r="A476" s="644"/>
      <c r="B476" s="644"/>
      <c r="C476" s="645"/>
      <c r="D476" s="126">
        <v>450</v>
      </c>
      <c r="E476" s="126">
        <v>450</v>
      </c>
      <c r="F476" s="126">
        <v>450</v>
      </c>
      <c r="G476" s="126">
        <v>450</v>
      </c>
      <c r="H476" s="126">
        <v>180</v>
      </c>
      <c r="I476" s="126">
        <v>450</v>
      </c>
      <c r="J476" s="126">
        <v>450</v>
      </c>
      <c r="K476" s="634">
        <f>SUM(D476:J476,D478:J478)</f>
        <v>6030</v>
      </c>
      <c r="L476" s="262"/>
      <c r="M476" s="262"/>
    </row>
    <row r="477" spans="1:13" s="127" customFormat="1" ht="23.25" customHeight="1">
      <c r="A477" s="644"/>
      <c r="B477" s="644"/>
      <c r="C477" s="645"/>
      <c r="D477" s="128" t="s">
        <v>155</v>
      </c>
      <c r="E477" s="128" t="s">
        <v>156</v>
      </c>
      <c r="F477" s="128" t="s">
        <v>157</v>
      </c>
      <c r="G477" s="128" t="s">
        <v>158</v>
      </c>
      <c r="H477" s="128" t="s">
        <v>159</v>
      </c>
      <c r="I477" s="128" t="s">
        <v>279</v>
      </c>
      <c r="J477" s="128" t="s">
        <v>160</v>
      </c>
      <c r="K477" s="635"/>
      <c r="L477" s="262"/>
      <c r="M477" s="262"/>
    </row>
    <row r="478" spans="1:13" s="127" customFormat="1" ht="23.25" customHeight="1" thickBot="1">
      <c r="A478" s="644"/>
      <c r="B478" s="644"/>
      <c r="C478" s="645"/>
      <c r="D478" s="126">
        <v>450</v>
      </c>
      <c r="E478" s="126">
        <v>450</v>
      </c>
      <c r="F478" s="126">
        <v>450</v>
      </c>
      <c r="G478" s="126">
        <v>450</v>
      </c>
      <c r="H478" s="126">
        <v>450</v>
      </c>
      <c r="I478" s="126">
        <v>450</v>
      </c>
      <c r="J478" s="126">
        <v>450</v>
      </c>
      <c r="K478" s="259"/>
      <c r="L478" s="262"/>
      <c r="M478" s="262"/>
    </row>
    <row r="479" spans="1:13" s="127" customFormat="1" ht="23.25" customHeight="1">
      <c r="A479" s="644">
        <v>281</v>
      </c>
      <c r="B479" s="644" t="s">
        <v>263</v>
      </c>
      <c r="C479" s="645">
        <v>200</v>
      </c>
      <c r="D479" s="128" t="s">
        <v>149</v>
      </c>
      <c r="E479" s="128" t="s">
        <v>150</v>
      </c>
      <c r="F479" s="128" t="s">
        <v>151</v>
      </c>
      <c r="G479" s="128" t="s">
        <v>152</v>
      </c>
      <c r="H479" s="128" t="s">
        <v>22</v>
      </c>
      <c r="I479" s="128" t="s">
        <v>153</v>
      </c>
      <c r="J479" s="128" t="s">
        <v>154</v>
      </c>
      <c r="K479" s="258"/>
      <c r="L479" s="262"/>
      <c r="M479" s="262"/>
    </row>
    <row r="480" spans="1:13" s="127" customFormat="1" ht="23.25" customHeight="1">
      <c r="A480" s="644"/>
      <c r="B480" s="644"/>
      <c r="C480" s="645"/>
      <c r="D480" s="126">
        <v>200</v>
      </c>
      <c r="E480" s="126">
        <v>200</v>
      </c>
      <c r="F480" s="126">
        <v>200</v>
      </c>
      <c r="G480" s="126">
        <v>200</v>
      </c>
      <c r="H480" s="126">
        <v>180</v>
      </c>
      <c r="I480" s="126">
        <v>200</v>
      </c>
      <c r="J480" s="126">
        <v>200</v>
      </c>
      <c r="K480" s="634">
        <f>SUM(D480:J480,D482:J482)</f>
        <v>2580</v>
      </c>
      <c r="L480" s="262"/>
      <c r="M480" s="262"/>
    </row>
    <row r="481" spans="1:13" s="127" customFormat="1" ht="23.25" customHeight="1">
      <c r="A481" s="644"/>
      <c r="B481" s="644"/>
      <c r="C481" s="645"/>
      <c r="D481" s="128" t="s">
        <v>155</v>
      </c>
      <c r="E481" s="128" t="s">
        <v>156</v>
      </c>
      <c r="F481" s="128" t="s">
        <v>157</v>
      </c>
      <c r="G481" s="128" t="s">
        <v>158</v>
      </c>
      <c r="H481" s="128" t="s">
        <v>159</v>
      </c>
      <c r="I481" s="128" t="s">
        <v>279</v>
      </c>
      <c r="J481" s="128" t="s">
        <v>160</v>
      </c>
      <c r="K481" s="635"/>
      <c r="L481" s="262"/>
      <c r="M481" s="262"/>
    </row>
    <row r="482" spans="1:13" s="127" customFormat="1" ht="23.25" customHeight="1" thickBot="1">
      <c r="A482" s="644"/>
      <c r="B482" s="644"/>
      <c r="C482" s="645"/>
      <c r="D482" s="126">
        <v>200</v>
      </c>
      <c r="E482" s="126">
        <v>200</v>
      </c>
      <c r="F482" s="126">
        <v>200</v>
      </c>
      <c r="G482" s="126">
        <v>200</v>
      </c>
      <c r="H482" s="126">
        <v>200</v>
      </c>
      <c r="I482" s="126">
        <v>200</v>
      </c>
      <c r="J482" s="126"/>
      <c r="K482" s="259"/>
      <c r="L482" s="262"/>
      <c r="M482" s="262"/>
    </row>
    <row r="483" spans="1:13" s="127" customFormat="1" ht="23.25" customHeight="1">
      <c r="A483" s="644">
        <v>282</v>
      </c>
      <c r="B483" s="644" t="s">
        <v>2</v>
      </c>
      <c r="C483" s="645">
        <v>200</v>
      </c>
      <c r="D483" s="128" t="s">
        <v>149</v>
      </c>
      <c r="E483" s="128" t="s">
        <v>150</v>
      </c>
      <c r="F483" s="128" t="s">
        <v>151</v>
      </c>
      <c r="G483" s="128" t="s">
        <v>152</v>
      </c>
      <c r="H483" s="128" t="s">
        <v>22</v>
      </c>
      <c r="I483" s="128" t="s">
        <v>153</v>
      </c>
      <c r="J483" s="128" t="s">
        <v>154</v>
      </c>
      <c r="K483" s="258"/>
      <c r="L483" s="262"/>
      <c r="M483" s="262"/>
    </row>
    <row r="484" spans="1:13" s="127" customFormat="1" ht="23.25" customHeight="1">
      <c r="A484" s="644"/>
      <c r="B484" s="644"/>
      <c r="C484" s="645"/>
      <c r="D484" s="126">
        <v>200</v>
      </c>
      <c r="E484" s="126">
        <v>200</v>
      </c>
      <c r="F484" s="126">
        <v>200</v>
      </c>
      <c r="G484" s="126">
        <v>200</v>
      </c>
      <c r="H484" s="126"/>
      <c r="I484" s="126">
        <v>200</v>
      </c>
      <c r="J484" s="126">
        <v>200</v>
      </c>
      <c r="K484" s="634">
        <f>SUM(D484:J484,D486:J486)</f>
        <v>2600</v>
      </c>
      <c r="L484" s="262"/>
      <c r="M484" s="262"/>
    </row>
    <row r="485" spans="1:13" s="127" customFormat="1" ht="23.25" customHeight="1">
      <c r="A485" s="644"/>
      <c r="B485" s="644"/>
      <c r="C485" s="645"/>
      <c r="D485" s="128" t="s">
        <v>155</v>
      </c>
      <c r="E485" s="128" t="s">
        <v>156</v>
      </c>
      <c r="F485" s="128" t="s">
        <v>157</v>
      </c>
      <c r="G485" s="128" t="s">
        <v>158</v>
      </c>
      <c r="H485" s="128" t="s">
        <v>159</v>
      </c>
      <c r="I485" s="128" t="s">
        <v>402</v>
      </c>
      <c r="J485" s="128" t="s">
        <v>160</v>
      </c>
      <c r="K485" s="635"/>
      <c r="L485" s="262"/>
      <c r="M485" s="262"/>
    </row>
    <row r="486" spans="1:13" s="127" customFormat="1" ht="23.25" customHeight="1" thickBot="1">
      <c r="A486" s="644"/>
      <c r="B486" s="644"/>
      <c r="C486" s="645"/>
      <c r="D486" s="126">
        <v>200</v>
      </c>
      <c r="E486" s="126">
        <v>200</v>
      </c>
      <c r="F486" s="126">
        <v>200</v>
      </c>
      <c r="G486" s="126">
        <v>200</v>
      </c>
      <c r="H486" s="126">
        <v>200</v>
      </c>
      <c r="I486" s="126">
        <v>200</v>
      </c>
      <c r="J486" s="126">
        <v>200</v>
      </c>
      <c r="K486" s="259"/>
      <c r="L486" s="262"/>
      <c r="M486" s="262"/>
    </row>
    <row r="487" spans="1:13" ht="23.25" customHeight="1">
      <c r="A487" s="646">
        <v>286</v>
      </c>
      <c r="B487" s="649" t="s">
        <v>264</v>
      </c>
      <c r="C487" s="648">
        <v>415</v>
      </c>
      <c r="D487" s="46" t="s">
        <v>149</v>
      </c>
      <c r="E487" s="46" t="s">
        <v>150</v>
      </c>
      <c r="F487" s="46" t="s">
        <v>151</v>
      </c>
      <c r="G487" s="46" t="s">
        <v>152</v>
      </c>
      <c r="H487" s="46" t="s">
        <v>22</v>
      </c>
      <c r="I487" s="46" t="s">
        <v>153</v>
      </c>
      <c r="J487" s="46" t="s">
        <v>154</v>
      </c>
      <c r="K487" s="258"/>
      <c r="L487" s="262"/>
      <c r="M487" s="262"/>
    </row>
    <row r="488" spans="1:13" ht="23.25" customHeight="1">
      <c r="A488" s="646"/>
      <c r="B488" s="649"/>
      <c r="C488" s="648"/>
      <c r="D488" s="44">
        <v>415</v>
      </c>
      <c r="E488" s="44">
        <v>415</v>
      </c>
      <c r="F488" s="44" t="s">
        <v>304</v>
      </c>
      <c r="G488" s="44"/>
      <c r="H488" s="44"/>
      <c r="I488" s="44"/>
      <c r="J488" s="44"/>
      <c r="K488" s="634">
        <f>SUM(D488:J488,D490:J490)</f>
        <v>830</v>
      </c>
      <c r="L488" s="262"/>
      <c r="M488" s="262"/>
    </row>
    <row r="489" spans="1:13" ht="23.25" customHeight="1">
      <c r="A489" s="646"/>
      <c r="B489" s="649"/>
      <c r="C489" s="648"/>
      <c r="D489" s="46" t="s">
        <v>155</v>
      </c>
      <c r="E489" s="46" t="s">
        <v>156</v>
      </c>
      <c r="F489" s="46" t="s">
        <v>157</v>
      </c>
      <c r="G489" s="46" t="s">
        <v>158</v>
      </c>
      <c r="H489" s="46" t="s">
        <v>159</v>
      </c>
      <c r="I489" s="46" t="s">
        <v>279</v>
      </c>
      <c r="J489" s="46" t="s">
        <v>160</v>
      </c>
      <c r="K489" s="635"/>
      <c r="L489" s="262"/>
      <c r="M489" s="262"/>
    </row>
    <row r="490" spans="1:13" ht="23.25" customHeight="1" thickBot="1">
      <c r="A490" s="646"/>
      <c r="B490" s="649"/>
      <c r="C490" s="648"/>
      <c r="D490" s="44"/>
      <c r="E490" s="44"/>
      <c r="F490" s="44"/>
      <c r="G490" s="44"/>
      <c r="H490" s="44"/>
      <c r="I490" s="44"/>
      <c r="J490" s="44"/>
      <c r="K490" s="259"/>
      <c r="L490" s="262"/>
      <c r="M490" s="262"/>
    </row>
    <row r="491" spans="1:13" ht="23.25" customHeight="1">
      <c r="A491" s="646">
        <v>288</v>
      </c>
      <c r="B491" s="646" t="s">
        <v>120</v>
      </c>
      <c r="C491" s="648">
        <v>415</v>
      </c>
      <c r="D491" s="46" t="s">
        <v>149</v>
      </c>
      <c r="E491" s="46" t="s">
        <v>150</v>
      </c>
      <c r="F491" s="46" t="s">
        <v>151</v>
      </c>
      <c r="G491" s="46" t="s">
        <v>152</v>
      </c>
      <c r="H491" s="46" t="s">
        <v>22</v>
      </c>
      <c r="I491" s="46" t="s">
        <v>153</v>
      </c>
      <c r="J491" s="46" t="s">
        <v>154</v>
      </c>
      <c r="K491" s="258"/>
      <c r="L491" s="262"/>
      <c r="M491" s="262"/>
    </row>
    <row r="492" spans="1:13" ht="23.25" customHeight="1">
      <c r="A492" s="646"/>
      <c r="B492" s="646"/>
      <c r="C492" s="648"/>
      <c r="D492" s="44"/>
      <c r="E492" s="44"/>
      <c r="F492" s="44"/>
      <c r="G492" s="44">
        <v>415</v>
      </c>
      <c r="H492" s="44"/>
      <c r="I492" s="44">
        <v>415</v>
      </c>
      <c r="J492" s="44">
        <v>415</v>
      </c>
      <c r="K492" s="634">
        <f>SUM(D492:J492,D494:J494)</f>
        <v>2105</v>
      </c>
      <c r="L492" s="262"/>
      <c r="M492" s="262"/>
    </row>
    <row r="493" spans="1:13" ht="23.25" customHeight="1">
      <c r="A493" s="646"/>
      <c r="B493" s="646"/>
      <c r="C493" s="648"/>
      <c r="D493" s="46" t="s">
        <v>155</v>
      </c>
      <c r="E493" s="46" t="s">
        <v>156</v>
      </c>
      <c r="F493" s="46" t="s">
        <v>157</v>
      </c>
      <c r="G493" s="46" t="s">
        <v>158</v>
      </c>
      <c r="H493" s="46" t="s">
        <v>159</v>
      </c>
      <c r="I493" s="46" t="s">
        <v>279</v>
      </c>
      <c r="J493" s="46" t="s">
        <v>160</v>
      </c>
      <c r="K493" s="635"/>
      <c r="L493" s="262"/>
      <c r="M493" s="262"/>
    </row>
    <row r="494" spans="1:13" ht="23.25" customHeight="1" thickBot="1">
      <c r="A494" s="646"/>
      <c r="B494" s="646"/>
      <c r="C494" s="648"/>
      <c r="D494" s="44">
        <v>415</v>
      </c>
      <c r="E494" s="44"/>
      <c r="F494" s="44"/>
      <c r="G494" s="44"/>
      <c r="H494" s="44"/>
      <c r="I494" s="44"/>
      <c r="J494" s="44">
        <v>445</v>
      </c>
      <c r="K494" s="259"/>
      <c r="L494" s="262"/>
      <c r="M494" s="262"/>
    </row>
    <row r="495" spans="1:13" ht="23.25" customHeight="1">
      <c r="A495" s="646">
        <v>290</v>
      </c>
      <c r="B495" s="647" t="s">
        <v>265</v>
      </c>
      <c r="C495" s="648">
        <v>400</v>
      </c>
      <c r="D495" s="46" t="s">
        <v>149</v>
      </c>
      <c r="E495" s="46" t="s">
        <v>150</v>
      </c>
      <c r="F495" s="46" t="s">
        <v>151</v>
      </c>
      <c r="G495" s="46" t="s">
        <v>152</v>
      </c>
      <c r="H495" s="46" t="s">
        <v>22</v>
      </c>
      <c r="I495" s="46" t="s">
        <v>153</v>
      </c>
      <c r="J495" s="46" t="s">
        <v>154</v>
      </c>
      <c r="K495" s="258"/>
      <c r="L495" s="262"/>
      <c r="M495" s="262"/>
    </row>
    <row r="496" spans="1:13" ht="23.25" customHeight="1">
      <c r="A496" s="646"/>
      <c r="B496" s="647"/>
      <c r="C496" s="648"/>
      <c r="D496" s="44"/>
      <c r="E496" s="44"/>
      <c r="F496" s="44">
        <v>400</v>
      </c>
      <c r="G496" s="44">
        <v>400</v>
      </c>
      <c r="H496" s="44"/>
      <c r="I496" s="44">
        <v>400</v>
      </c>
      <c r="J496" s="44">
        <v>400</v>
      </c>
      <c r="K496" s="634">
        <f>SUM(D496:J496,D498:J498)</f>
        <v>2400</v>
      </c>
      <c r="L496" s="262"/>
      <c r="M496" s="262"/>
    </row>
    <row r="497" spans="1:13" ht="23.25" customHeight="1">
      <c r="A497" s="646"/>
      <c r="B497" s="647"/>
      <c r="C497" s="648"/>
      <c r="D497" s="46" t="s">
        <v>155</v>
      </c>
      <c r="E497" s="46" t="s">
        <v>156</v>
      </c>
      <c r="F497" s="46" t="s">
        <v>157</v>
      </c>
      <c r="G497" s="46" t="s">
        <v>158</v>
      </c>
      <c r="H497" s="46" t="s">
        <v>159</v>
      </c>
      <c r="I497" s="46" t="s">
        <v>279</v>
      </c>
      <c r="J497" s="46" t="s">
        <v>160</v>
      </c>
      <c r="K497" s="635"/>
      <c r="L497" s="262"/>
      <c r="M497" s="262"/>
    </row>
    <row r="498" spans="1:13" ht="23.25" customHeight="1" thickBot="1">
      <c r="A498" s="646"/>
      <c r="B498" s="647"/>
      <c r="C498" s="648"/>
      <c r="D498" s="44">
        <v>400</v>
      </c>
      <c r="E498" s="44"/>
      <c r="F498" s="44"/>
      <c r="G498" s="44"/>
      <c r="H498" s="44"/>
      <c r="I498" s="44"/>
      <c r="J498" s="44">
        <v>400</v>
      </c>
      <c r="K498" s="259"/>
      <c r="L498" s="262"/>
      <c r="M498" s="262"/>
    </row>
    <row r="499" spans="1:13" s="127" customFormat="1" ht="23.25" customHeight="1">
      <c r="A499" s="644">
        <v>293</v>
      </c>
      <c r="B499" s="644" t="s">
        <v>266</v>
      </c>
      <c r="C499" s="645">
        <v>300</v>
      </c>
      <c r="D499" s="128" t="s">
        <v>149</v>
      </c>
      <c r="E499" s="128" t="s">
        <v>150</v>
      </c>
      <c r="F499" s="128" t="s">
        <v>151</v>
      </c>
      <c r="G499" s="128" t="s">
        <v>152</v>
      </c>
      <c r="H499" s="128" t="s">
        <v>22</v>
      </c>
      <c r="I499" s="128" t="s">
        <v>153</v>
      </c>
      <c r="J499" s="128" t="s">
        <v>154</v>
      </c>
      <c r="K499" s="258"/>
      <c r="L499" s="262"/>
      <c r="M499" s="262"/>
    </row>
    <row r="500" spans="1:13" s="127" customFormat="1" ht="23.25" customHeight="1">
      <c r="A500" s="644"/>
      <c r="B500" s="644"/>
      <c r="C500" s="645"/>
      <c r="D500" s="126">
        <v>300</v>
      </c>
      <c r="E500" s="126">
        <v>300</v>
      </c>
      <c r="F500" s="126">
        <v>300</v>
      </c>
      <c r="G500" s="126">
        <v>300</v>
      </c>
      <c r="H500" s="126"/>
      <c r="I500" s="126">
        <v>300</v>
      </c>
      <c r="J500" s="126">
        <v>300</v>
      </c>
      <c r="K500" s="634">
        <f>SUM(D500:J500,D502:J502)</f>
        <v>3900</v>
      </c>
      <c r="L500" s="262"/>
      <c r="M500" s="262"/>
    </row>
    <row r="501" spans="1:13" s="127" customFormat="1" ht="23.25" customHeight="1">
      <c r="A501" s="644"/>
      <c r="B501" s="644"/>
      <c r="C501" s="645"/>
      <c r="D501" s="128" t="s">
        <v>155</v>
      </c>
      <c r="E501" s="128" t="s">
        <v>156</v>
      </c>
      <c r="F501" s="128" t="s">
        <v>157</v>
      </c>
      <c r="G501" s="128" t="s">
        <v>158</v>
      </c>
      <c r="H501" s="128" t="s">
        <v>159</v>
      </c>
      <c r="I501" s="128" t="s">
        <v>279</v>
      </c>
      <c r="J501" s="128" t="s">
        <v>160</v>
      </c>
      <c r="K501" s="635"/>
      <c r="L501" s="262"/>
      <c r="M501" s="262"/>
    </row>
    <row r="502" spans="1:13" s="127" customFormat="1" ht="23.25" customHeight="1" thickBot="1">
      <c r="A502" s="644"/>
      <c r="B502" s="644"/>
      <c r="C502" s="645"/>
      <c r="D502" s="126">
        <v>300</v>
      </c>
      <c r="E502" s="126">
        <v>300</v>
      </c>
      <c r="F502" s="126">
        <v>300</v>
      </c>
      <c r="G502" s="126">
        <v>300</v>
      </c>
      <c r="H502" s="126">
        <v>300</v>
      </c>
      <c r="I502" s="126">
        <v>300</v>
      </c>
      <c r="J502" s="126">
        <v>300</v>
      </c>
      <c r="K502" s="259"/>
      <c r="L502" s="262"/>
      <c r="M502" s="262"/>
    </row>
    <row r="503" spans="1:13" s="127" customFormat="1" ht="23.25" customHeight="1">
      <c r="A503" s="644">
        <v>296</v>
      </c>
      <c r="B503" s="644" t="s">
        <v>267</v>
      </c>
      <c r="C503" s="645">
        <v>300</v>
      </c>
      <c r="D503" s="128" t="s">
        <v>149</v>
      </c>
      <c r="E503" s="128" t="s">
        <v>150</v>
      </c>
      <c r="F503" s="128" t="s">
        <v>151</v>
      </c>
      <c r="G503" s="128" t="s">
        <v>152</v>
      </c>
      <c r="H503" s="128" t="s">
        <v>22</v>
      </c>
      <c r="I503" s="128" t="s">
        <v>153</v>
      </c>
      <c r="J503" s="128" t="s">
        <v>154</v>
      </c>
      <c r="K503" s="258"/>
      <c r="L503" s="262"/>
      <c r="M503" s="262"/>
    </row>
    <row r="504" spans="1:13" s="127" customFormat="1" ht="23.25" customHeight="1">
      <c r="A504" s="644"/>
      <c r="B504" s="644"/>
      <c r="C504" s="645"/>
      <c r="D504" s="126">
        <v>300</v>
      </c>
      <c r="E504" s="126">
        <v>300</v>
      </c>
      <c r="F504" s="126">
        <v>400</v>
      </c>
      <c r="G504" s="126">
        <v>300</v>
      </c>
      <c r="H504" s="126"/>
      <c r="I504" s="126">
        <v>300</v>
      </c>
      <c r="J504" s="126">
        <v>300</v>
      </c>
      <c r="K504" s="634">
        <f>SUM(D504:J504,D506:J506)</f>
        <v>3700</v>
      </c>
      <c r="L504" s="262"/>
      <c r="M504" s="262"/>
    </row>
    <row r="505" spans="1:13" s="127" customFormat="1" ht="23.25" customHeight="1">
      <c r="A505" s="644"/>
      <c r="B505" s="644"/>
      <c r="C505" s="645"/>
      <c r="D505" s="128" t="s">
        <v>155</v>
      </c>
      <c r="E505" s="128" t="s">
        <v>156</v>
      </c>
      <c r="F505" s="128" t="s">
        <v>157</v>
      </c>
      <c r="G505" s="128" t="s">
        <v>158</v>
      </c>
      <c r="H505" s="128" t="s">
        <v>159</v>
      </c>
      <c r="I505" s="128" t="s">
        <v>279</v>
      </c>
      <c r="J505" s="128" t="s">
        <v>160</v>
      </c>
      <c r="K505" s="635"/>
      <c r="L505" s="262" t="s">
        <v>977</v>
      </c>
      <c r="M505" s="262"/>
    </row>
    <row r="506" spans="1:13" s="127" customFormat="1" ht="23.25" customHeight="1" thickBot="1">
      <c r="A506" s="644"/>
      <c r="B506" s="644"/>
      <c r="C506" s="645"/>
      <c r="D506" s="126">
        <v>300</v>
      </c>
      <c r="E506" s="126">
        <v>300</v>
      </c>
      <c r="F506" s="126">
        <v>300</v>
      </c>
      <c r="G506" s="126">
        <v>300</v>
      </c>
      <c r="H506" s="126">
        <v>300</v>
      </c>
      <c r="I506" s="126"/>
      <c r="J506" s="126">
        <v>300</v>
      </c>
      <c r="K506" s="259"/>
      <c r="L506" s="262"/>
      <c r="M506" s="262"/>
    </row>
    <row r="507" spans="1:13" ht="23.25" customHeight="1">
      <c r="A507" s="646">
        <v>297</v>
      </c>
      <c r="B507" s="647" t="s">
        <v>268</v>
      </c>
      <c r="C507" s="648">
        <v>275</v>
      </c>
      <c r="D507" s="46" t="s">
        <v>149</v>
      </c>
      <c r="E507" s="46" t="s">
        <v>150</v>
      </c>
      <c r="F507" s="46" t="s">
        <v>151</v>
      </c>
      <c r="G507" s="46" t="s">
        <v>152</v>
      </c>
      <c r="H507" s="46" t="s">
        <v>22</v>
      </c>
      <c r="I507" s="46" t="s">
        <v>153</v>
      </c>
      <c r="J507" s="46" t="s">
        <v>154</v>
      </c>
      <c r="K507" s="258"/>
      <c r="L507" s="262"/>
      <c r="M507" s="262"/>
    </row>
    <row r="508" spans="1:13" ht="23.25" customHeight="1">
      <c r="A508" s="646"/>
      <c r="B508" s="647"/>
      <c r="C508" s="648"/>
      <c r="D508" s="44"/>
      <c r="E508" s="44">
        <v>275</v>
      </c>
      <c r="F508" s="44">
        <v>275</v>
      </c>
      <c r="G508" s="44"/>
      <c r="H508" s="44"/>
      <c r="I508" s="44">
        <v>275</v>
      </c>
      <c r="J508" s="44"/>
      <c r="K508" s="634">
        <f>SUM(D508:J508,D510:J510)</f>
        <v>825</v>
      </c>
      <c r="L508" s="262"/>
      <c r="M508" s="262"/>
    </row>
    <row r="509" spans="1:13" ht="23.25" customHeight="1">
      <c r="A509" s="646"/>
      <c r="B509" s="647"/>
      <c r="C509" s="648"/>
      <c r="D509" s="46" t="s">
        <v>155</v>
      </c>
      <c r="E509" s="46" t="s">
        <v>156</v>
      </c>
      <c r="F509" s="46" t="s">
        <v>157</v>
      </c>
      <c r="G509" s="46" t="s">
        <v>158</v>
      </c>
      <c r="H509" s="46" t="s">
        <v>159</v>
      </c>
      <c r="I509" s="46" t="s">
        <v>279</v>
      </c>
      <c r="J509" s="46" t="s">
        <v>160</v>
      </c>
      <c r="K509" s="635"/>
      <c r="L509" s="262"/>
      <c r="M509" s="262"/>
    </row>
    <row r="510" spans="1:13" ht="23.25" customHeight="1" thickBot="1">
      <c r="A510" s="646"/>
      <c r="B510" s="647"/>
      <c r="C510" s="648"/>
      <c r="D510" s="44"/>
      <c r="E510" s="44"/>
      <c r="F510" s="44"/>
      <c r="G510" s="44"/>
      <c r="H510" s="44"/>
      <c r="I510" s="44"/>
      <c r="J510" s="44"/>
      <c r="K510" s="259"/>
      <c r="L510" s="262"/>
      <c r="M510" s="262"/>
    </row>
    <row r="511" spans="1:13" s="127" customFormat="1" ht="23.25" customHeight="1">
      <c r="A511" s="644">
        <v>298</v>
      </c>
      <c r="B511" s="644" t="s">
        <v>269</v>
      </c>
      <c r="C511" s="645">
        <v>520</v>
      </c>
      <c r="D511" s="128" t="s">
        <v>149</v>
      </c>
      <c r="E511" s="128" t="s">
        <v>150</v>
      </c>
      <c r="F511" s="128" t="s">
        <v>151</v>
      </c>
      <c r="G511" s="128" t="s">
        <v>152</v>
      </c>
      <c r="H511" s="128" t="s">
        <v>22</v>
      </c>
      <c r="I511" s="128" t="s">
        <v>153</v>
      </c>
      <c r="J511" s="128" t="s">
        <v>154</v>
      </c>
      <c r="K511" s="258"/>
      <c r="L511" s="262"/>
      <c r="M511" s="262"/>
    </row>
    <row r="512" spans="1:13" s="127" customFormat="1" ht="23.25" customHeight="1">
      <c r="A512" s="644"/>
      <c r="B512" s="644"/>
      <c r="C512" s="645"/>
      <c r="D512" s="126">
        <v>520</v>
      </c>
      <c r="E512" s="126">
        <v>520</v>
      </c>
      <c r="F512" s="126">
        <v>520</v>
      </c>
      <c r="G512" s="126">
        <v>520</v>
      </c>
      <c r="H512" s="126">
        <v>90</v>
      </c>
      <c r="I512" s="126">
        <v>520</v>
      </c>
      <c r="J512" s="126">
        <v>520</v>
      </c>
      <c r="K512" s="634">
        <f>SUM(D512:J512,D514:J514)</f>
        <v>6850</v>
      </c>
      <c r="L512" s="262"/>
      <c r="M512" s="262"/>
    </row>
    <row r="513" spans="1:13" s="127" customFormat="1" ht="23.25" customHeight="1">
      <c r="A513" s="644"/>
      <c r="B513" s="644"/>
      <c r="C513" s="645"/>
      <c r="D513" s="128" t="s">
        <v>155</v>
      </c>
      <c r="E513" s="128" t="s">
        <v>156</v>
      </c>
      <c r="F513" s="128" t="s">
        <v>157</v>
      </c>
      <c r="G513" s="128" t="s">
        <v>158</v>
      </c>
      <c r="H513" s="128" t="s">
        <v>159</v>
      </c>
      <c r="I513" s="128" t="s">
        <v>279</v>
      </c>
      <c r="J513" s="128" t="s">
        <v>160</v>
      </c>
      <c r="K513" s="635"/>
      <c r="L513" s="262"/>
      <c r="M513" s="262"/>
    </row>
    <row r="514" spans="1:13" s="127" customFormat="1" ht="23.25" customHeight="1" thickBot="1">
      <c r="A514" s="644"/>
      <c r="B514" s="644"/>
      <c r="C514" s="645"/>
      <c r="D514" s="126">
        <v>520</v>
      </c>
      <c r="E514" s="126">
        <v>520</v>
      </c>
      <c r="F514" s="126">
        <v>520</v>
      </c>
      <c r="G514" s="126">
        <v>520</v>
      </c>
      <c r="H514" s="126">
        <v>520</v>
      </c>
      <c r="I514" s="126">
        <v>520</v>
      </c>
      <c r="J514" s="126">
        <v>520</v>
      </c>
      <c r="K514" s="259"/>
      <c r="L514" s="262"/>
      <c r="M514" s="262"/>
    </row>
    <row r="515" spans="1:13" s="127" customFormat="1" ht="23.25" customHeight="1">
      <c r="A515" s="644">
        <v>315</v>
      </c>
      <c r="B515" s="644" t="s">
        <v>270</v>
      </c>
      <c r="C515" s="645">
        <v>280</v>
      </c>
      <c r="D515" s="128" t="s">
        <v>149</v>
      </c>
      <c r="E515" s="128" t="s">
        <v>150</v>
      </c>
      <c r="F515" s="128" t="s">
        <v>151</v>
      </c>
      <c r="G515" s="128" t="s">
        <v>152</v>
      </c>
      <c r="H515" s="128" t="s">
        <v>22</v>
      </c>
      <c r="I515" s="128" t="s">
        <v>153</v>
      </c>
      <c r="J515" s="128" t="s">
        <v>154</v>
      </c>
      <c r="K515" s="258"/>
      <c r="L515" s="262"/>
      <c r="M515" s="262"/>
    </row>
    <row r="516" spans="1:13" s="127" customFormat="1" ht="23.25" customHeight="1">
      <c r="A516" s="644"/>
      <c r="B516" s="644"/>
      <c r="C516" s="645"/>
      <c r="D516" s="126">
        <v>280</v>
      </c>
      <c r="E516" s="126">
        <v>280</v>
      </c>
      <c r="F516" s="126">
        <v>280</v>
      </c>
      <c r="G516" s="126">
        <v>280</v>
      </c>
      <c r="H516" s="126"/>
      <c r="I516" s="126">
        <v>280</v>
      </c>
      <c r="J516" s="126">
        <v>280</v>
      </c>
      <c r="K516" s="634">
        <f>SUM(D516:J516,D518:J518)</f>
        <v>3640</v>
      </c>
      <c r="L516" s="262"/>
      <c r="M516" s="262"/>
    </row>
    <row r="517" spans="1:13" s="127" customFormat="1" ht="23.25" customHeight="1">
      <c r="A517" s="644"/>
      <c r="B517" s="644"/>
      <c r="C517" s="645"/>
      <c r="D517" s="128" t="s">
        <v>155</v>
      </c>
      <c r="E517" s="128" t="s">
        <v>156</v>
      </c>
      <c r="F517" s="128" t="s">
        <v>157</v>
      </c>
      <c r="G517" s="128" t="s">
        <v>158</v>
      </c>
      <c r="H517" s="128" t="s">
        <v>159</v>
      </c>
      <c r="I517" s="128" t="s">
        <v>279</v>
      </c>
      <c r="J517" s="128" t="s">
        <v>160</v>
      </c>
      <c r="K517" s="635"/>
      <c r="L517" s="262"/>
      <c r="M517" s="262"/>
    </row>
    <row r="518" spans="1:13" s="127" customFormat="1" ht="23.25" customHeight="1" thickBot="1">
      <c r="A518" s="644"/>
      <c r="B518" s="644"/>
      <c r="C518" s="645"/>
      <c r="D518" s="126">
        <v>280</v>
      </c>
      <c r="E518" s="126">
        <v>280</v>
      </c>
      <c r="F518" s="126">
        <v>280</v>
      </c>
      <c r="G518" s="126">
        <v>280</v>
      </c>
      <c r="H518" s="126">
        <v>560</v>
      </c>
      <c r="I518" s="126"/>
      <c r="J518" s="227">
        <v>280</v>
      </c>
      <c r="K518" s="259"/>
      <c r="L518" s="262"/>
      <c r="M518" s="262"/>
    </row>
    <row r="519" spans="1:13" s="127" customFormat="1" ht="23.25" customHeight="1">
      <c r="A519" s="644">
        <v>319</v>
      </c>
      <c r="B519" s="644" t="s">
        <v>271</v>
      </c>
      <c r="C519" s="645">
        <v>260</v>
      </c>
      <c r="D519" s="128" t="s">
        <v>149</v>
      </c>
      <c r="E519" s="128" t="s">
        <v>150</v>
      </c>
      <c r="F519" s="128" t="s">
        <v>151</v>
      </c>
      <c r="G519" s="128" t="s">
        <v>152</v>
      </c>
      <c r="H519" s="128" t="s">
        <v>22</v>
      </c>
      <c r="I519" s="128" t="s">
        <v>153</v>
      </c>
      <c r="J519" s="128" t="s">
        <v>154</v>
      </c>
      <c r="K519" s="258"/>
      <c r="L519" s="265"/>
      <c r="M519" s="265"/>
    </row>
    <row r="520" spans="1:13" s="127" customFormat="1" ht="23.25" customHeight="1">
      <c r="A520" s="644"/>
      <c r="B520" s="644"/>
      <c r="C520" s="645"/>
      <c r="D520" s="126">
        <v>260</v>
      </c>
      <c r="E520" s="126">
        <v>260</v>
      </c>
      <c r="F520" s="126">
        <v>260</v>
      </c>
      <c r="G520" s="126">
        <v>260</v>
      </c>
      <c r="H520" s="126"/>
      <c r="I520" s="126">
        <v>260</v>
      </c>
      <c r="J520" s="126">
        <v>220</v>
      </c>
      <c r="K520" s="634">
        <f>SUM(D520:J520,D522:J522)</f>
        <v>3520</v>
      </c>
      <c r="L520" s="265"/>
      <c r="M520" s="265"/>
    </row>
    <row r="521" spans="1:13" s="127" customFormat="1" ht="23.25" customHeight="1">
      <c r="A521" s="644"/>
      <c r="B521" s="644"/>
      <c r="C521" s="645"/>
      <c r="D521" s="128" t="s">
        <v>155</v>
      </c>
      <c r="E521" s="128" t="s">
        <v>156</v>
      </c>
      <c r="F521" s="128" t="s">
        <v>157</v>
      </c>
      <c r="G521" s="128" t="s">
        <v>158</v>
      </c>
      <c r="H521" s="128" t="s">
        <v>159</v>
      </c>
      <c r="I521" s="128" t="s">
        <v>279</v>
      </c>
      <c r="J521" s="128" t="s">
        <v>160</v>
      </c>
      <c r="K521" s="635"/>
      <c r="L521" s="265"/>
      <c r="M521" s="265"/>
    </row>
    <row r="522" spans="1:13" s="127" customFormat="1" ht="23.25" customHeight="1" thickBot="1">
      <c r="A522" s="644"/>
      <c r="B522" s="644"/>
      <c r="C522" s="645"/>
      <c r="D522" s="126">
        <v>260</v>
      </c>
      <c r="E522" s="126">
        <v>260</v>
      </c>
      <c r="F522" s="126">
        <v>260</v>
      </c>
      <c r="G522" s="126">
        <v>260</v>
      </c>
      <c r="H522" s="126">
        <v>260</v>
      </c>
      <c r="I522" s="126">
        <v>260</v>
      </c>
      <c r="J522" s="126">
        <v>440</v>
      </c>
      <c r="K522" s="259"/>
      <c r="L522" s="265"/>
      <c r="M522" s="265"/>
    </row>
    <row r="523" spans="1:13" ht="23.25" customHeight="1">
      <c r="A523" s="646">
        <v>338</v>
      </c>
      <c r="B523" s="646" t="s">
        <v>272</v>
      </c>
      <c r="C523" s="648">
        <v>550</v>
      </c>
      <c r="D523" s="46" t="s">
        <v>149</v>
      </c>
      <c r="E523" s="46" t="s">
        <v>150</v>
      </c>
      <c r="F523" s="46" t="s">
        <v>151</v>
      </c>
      <c r="G523" s="46" t="s">
        <v>152</v>
      </c>
      <c r="H523" s="46" t="s">
        <v>22</v>
      </c>
      <c r="I523" s="46" t="s">
        <v>153</v>
      </c>
      <c r="J523" s="46" t="s">
        <v>154</v>
      </c>
      <c r="K523" s="258"/>
      <c r="L523" s="262"/>
      <c r="M523" s="262"/>
    </row>
    <row r="524" spans="1:13" ht="23.25" customHeight="1">
      <c r="A524" s="646"/>
      <c r="B524" s="646"/>
      <c r="C524" s="648"/>
      <c r="D524" s="44">
        <v>550</v>
      </c>
      <c r="E524" s="44"/>
      <c r="F524" s="44"/>
      <c r="G524" s="44">
        <v>550</v>
      </c>
      <c r="H524" s="44"/>
      <c r="I524" s="44">
        <v>550</v>
      </c>
      <c r="J524" s="44"/>
      <c r="K524" s="634">
        <f>SUM(D524:J524,D526:J526)</f>
        <v>2200</v>
      </c>
      <c r="L524" s="262"/>
      <c r="M524" s="262" t="s">
        <v>392</v>
      </c>
    </row>
    <row r="525" spans="1:13" ht="23.25" customHeight="1">
      <c r="A525" s="646"/>
      <c r="B525" s="646"/>
      <c r="C525" s="648"/>
      <c r="D525" s="46" t="s">
        <v>155</v>
      </c>
      <c r="E525" s="46" t="s">
        <v>156</v>
      </c>
      <c r="F525" s="46" t="s">
        <v>157</v>
      </c>
      <c r="G525" s="46" t="s">
        <v>158</v>
      </c>
      <c r="H525" s="46" t="s">
        <v>159</v>
      </c>
      <c r="I525" s="46" t="s">
        <v>279</v>
      </c>
      <c r="J525" s="46" t="s">
        <v>160</v>
      </c>
      <c r="K525" s="635"/>
      <c r="L525" s="262"/>
      <c r="M525" s="262"/>
    </row>
    <row r="526" spans="1:13" ht="23.25" customHeight="1" thickBot="1">
      <c r="A526" s="646"/>
      <c r="B526" s="646"/>
      <c r="C526" s="648"/>
      <c r="D526" s="44">
        <v>550</v>
      </c>
      <c r="E526" s="44"/>
      <c r="F526" s="44"/>
      <c r="G526" s="44"/>
      <c r="H526" s="44"/>
      <c r="I526" s="44"/>
      <c r="J526" s="44"/>
      <c r="K526" s="259"/>
      <c r="L526" s="262"/>
      <c r="M526" s="262"/>
    </row>
    <row r="527" spans="1:13" s="127" customFormat="1" ht="23.25" customHeight="1">
      <c r="A527" s="644">
        <v>344</v>
      </c>
      <c r="B527" s="644" t="s">
        <v>273</v>
      </c>
      <c r="C527" s="645">
        <v>415</v>
      </c>
      <c r="D527" s="128" t="s">
        <v>149</v>
      </c>
      <c r="E527" s="128" t="s">
        <v>150</v>
      </c>
      <c r="F527" s="128" t="s">
        <v>151</v>
      </c>
      <c r="G527" s="128" t="s">
        <v>152</v>
      </c>
      <c r="H527" s="128" t="s">
        <v>22</v>
      </c>
      <c r="I527" s="128" t="s">
        <v>153</v>
      </c>
      <c r="J527" s="128" t="s">
        <v>154</v>
      </c>
      <c r="K527" s="258"/>
      <c r="L527" s="265"/>
      <c r="M527" s="265"/>
    </row>
    <row r="528" spans="1:13" s="127" customFormat="1" ht="23.25" customHeight="1">
      <c r="A528" s="644"/>
      <c r="B528" s="644"/>
      <c r="C528" s="645"/>
      <c r="D528" s="126" t="s">
        <v>998</v>
      </c>
      <c r="E528" s="126">
        <v>415</v>
      </c>
      <c r="F528" s="126">
        <v>415</v>
      </c>
      <c r="G528" s="126">
        <v>415</v>
      </c>
      <c r="H528" s="126"/>
      <c r="I528" s="126">
        <v>415</v>
      </c>
      <c r="J528" s="126">
        <v>415</v>
      </c>
      <c r="K528" s="634">
        <f>SUM(D528:J528,D530:J530)</f>
        <v>4980</v>
      </c>
      <c r="L528" s="265"/>
      <c r="M528" s="265"/>
    </row>
    <row r="529" spans="1:13" s="127" customFormat="1" ht="23.25" customHeight="1">
      <c r="A529" s="644"/>
      <c r="B529" s="644"/>
      <c r="C529" s="645"/>
      <c r="D529" s="128" t="s">
        <v>155</v>
      </c>
      <c r="E529" s="128" t="s">
        <v>156</v>
      </c>
      <c r="F529" s="128" t="s">
        <v>157</v>
      </c>
      <c r="G529" s="128" t="s">
        <v>158</v>
      </c>
      <c r="H529" s="128" t="s">
        <v>159</v>
      </c>
      <c r="I529" s="128" t="s">
        <v>279</v>
      </c>
      <c r="J529" s="128" t="s">
        <v>160</v>
      </c>
      <c r="K529" s="635"/>
      <c r="L529" s="265"/>
      <c r="M529" s="265"/>
    </row>
    <row r="530" spans="1:13" s="127" customFormat="1" ht="23.25" customHeight="1" thickBot="1">
      <c r="A530" s="644"/>
      <c r="B530" s="644"/>
      <c r="C530" s="645"/>
      <c r="D530" s="126">
        <v>415</v>
      </c>
      <c r="E530" s="126">
        <v>415</v>
      </c>
      <c r="F530" s="126">
        <v>415</v>
      </c>
      <c r="G530" s="126">
        <v>415</v>
      </c>
      <c r="H530" s="126">
        <v>415</v>
      </c>
      <c r="I530" s="126">
        <v>415</v>
      </c>
      <c r="J530" s="126">
        <v>415</v>
      </c>
      <c r="K530" s="259"/>
      <c r="L530" s="265"/>
      <c r="M530" s="265"/>
    </row>
    <row r="531" spans="1:13" ht="23.25" customHeight="1">
      <c r="A531" s="646">
        <v>352</v>
      </c>
      <c r="B531" s="647" t="s">
        <v>359</v>
      </c>
      <c r="C531" s="648">
        <v>1210</v>
      </c>
      <c r="D531" s="46" t="s">
        <v>149</v>
      </c>
      <c r="E531" s="46" t="s">
        <v>150</v>
      </c>
      <c r="F531" s="46" t="s">
        <v>151</v>
      </c>
      <c r="G531" s="46" t="s">
        <v>152</v>
      </c>
      <c r="H531" s="46" t="s">
        <v>22</v>
      </c>
      <c r="I531" s="46" t="s">
        <v>153</v>
      </c>
      <c r="J531" s="46" t="s">
        <v>154</v>
      </c>
      <c r="K531" s="258"/>
      <c r="L531" s="262"/>
      <c r="M531" s="262"/>
    </row>
    <row r="532" spans="1:13" ht="23.25" customHeight="1">
      <c r="A532" s="646"/>
      <c r="B532" s="647"/>
      <c r="C532" s="648"/>
      <c r="D532" s="44" t="s">
        <v>998</v>
      </c>
      <c r="E532" s="44">
        <v>1210</v>
      </c>
      <c r="F532" s="44">
        <v>1495</v>
      </c>
      <c r="G532" s="44">
        <v>1210</v>
      </c>
      <c r="H532" s="44">
        <v>180</v>
      </c>
      <c r="I532" s="44"/>
      <c r="J532" s="44">
        <v>1210</v>
      </c>
      <c r="K532" s="634">
        <f>SUM(D532:J532,D534:J534)</f>
        <v>7725</v>
      </c>
      <c r="L532" s="262"/>
      <c r="M532" s="262"/>
    </row>
    <row r="533" spans="1:13" ht="23.25" customHeight="1">
      <c r="A533" s="646"/>
      <c r="B533" s="647"/>
      <c r="C533" s="648"/>
      <c r="D533" s="46" t="s">
        <v>155</v>
      </c>
      <c r="E533" s="46" t="s">
        <v>156</v>
      </c>
      <c r="F533" s="46" t="s">
        <v>157</v>
      </c>
      <c r="G533" s="46" t="s">
        <v>158</v>
      </c>
      <c r="H533" s="46" t="s">
        <v>159</v>
      </c>
      <c r="I533" s="46" t="s">
        <v>279</v>
      </c>
      <c r="J533" s="46" t="s">
        <v>160</v>
      </c>
      <c r="K533" s="635"/>
      <c r="L533" s="262"/>
      <c r="M533" s="262"/>
    </row>
    <row r="534" spans="1:13" ht="23.25" customHeight="1" thickBot="1">
      <c r="A534" s="646"/>
      <c r="B534" s="647"/>
      <c r="C534" s="648"/>
      <c r="D534" s="44"/>
      <c r="E534" s="44"/>
      <c r="F534" s="44"/>
      <c r="G534" s="44">
        <v>1210</v>
      </c>
      <c r="H534" s="44"/>
      <c r="I534" s="44"/>
      <c r="J534" s="44">
        <v>1210</v>
      </c>
      <c r="K534" s="259"/>
      <c r="L534" s="262"/>
      <c r="M534" s="262"/>
    </row>
    <row r="535" spans="1:13" ht="23.25" customHeight="1">
      <c r="A535" s="646">
        <v>451</v>
      </c>
      <c r="B535" s="646" t="s">
        <v>274</v>
      </c>
      <c r="C535" s="648">
        <v>115</v>
      </c>
      <c r="D535" s="46" t="s">
        <v>149</v>
      </c>
      <c r="E535" s="46" t="s">
        <v>150</v>
      </c>
      <c r="F535" s="46" t="s">
        <v>151</v>
      </c>
      <c r="G535" s="46" t="s">
        <v>152</v>
      </c>
      <c r="H535" s="46" t="s">
        <v>22</v>
      </c>
      <c r="I535" s="46" t="s">
        <v>153</v>
      </c>
      <c r="J535" s="46" t="s">
        <v>154</v>
      </c>
      <c r="K535" s="258"/>
      <c r="L535" s="262"/>
      <c r="M535" s="262"/>
    </row>
    <row r="536" spans="1:13" ht="23.25" customHeight="1">
      <c r="A536" s="646"/>
      <c r="B536" s="646"/>
      <c r="C536" s="648"/>
      <c r="D536" s="44">
        <v>115</v>
      </c>
      <c r="E536" s="44">
        <v>115</v>
      </c>
      <c r="F536" s="44">
        <v>115</v>
      </c>
      <c r="G536" s="44">
        <v>115</v>
      </c>
      <c r="H536" s="44"/>
      <c r="I536" s="44">
        <v>115</v>
      </c>
      <c r="J536" s="44">
        <v>115</v>
      </c>
      <c r="K536" s="634">
        <f>SUM(D536:J536,D538:J538)</f>
        <v>1695</v>
      </c>
      <c r="L536" s="262"/>
      <c r="M536" s="262"/>
    </row>
    <row r="537" spans="1:13" ht="23.25" customHeight="1">
      <c r="A537" s="646"/>
      <c r="B537" s="646"/>
      <c r="C537" s="648"/>
      <c r="D537" s="46" t="s">
        <v>155</v>
      </c>
      <c r="E537" s="46" t="s">
        <v>156</v>
      </c>
      <c r="F537" s="46" t="s">
        <v>157</v>
      </c>
      <c r="G537" s="46" t="s">
        <v>158</v>
      </c>
      <c r="H537" s="46" t="s">
        <v>159</v>
      </c>
      <c r="I537" s="46" t="s">
        <v>279</v>
      </c>
      <c r="J537" s="46" t="s">
        <v>160</v>
      </c>
      <c r="K537" s="635"/>
      <c r="L537" s="262"/>
      <c r="M537" s="262"/>
    </row>
    <row r="538" spans="1:13" ht="23.25" customHeight="1" thickBot="1">
      <c r="A538" s="646"/>
      <c r="B538" s="646"/>
      <c r="C538" s="648"/>
      <c r="D538" s="44">
        <v>115</v>
      </c>
      <c r="E538" s="44">
        <v>115</v>
      </c>
      <c r="F538" s="44">
        <v>115</v>
      </c>
      <c r="G538" s="44">
        <v>115</v>
      </c>
      <c r="H538" s="44">
        <v>215</v>
      </c>
      <c r="I538" s="44">
        <v>215</v>
      </c>
      <c r="J538" s="44">
        <v>115</v>
      </c>
      <c r="K538" s="259"/>
      <c r="L538" s="262"/>
      <c r="M538" s="262"/>
    </row>
    <row r="539" spans="1:13" ht="23.25" customHeight="1">
      <c r="A539" s="646">
        <v>483</v>
      </c>
      <c r="B539" s="646" t="s">
        <v>275</v>
      </c>
      <c r="C539" s="648">
        <v>75</v>
      </c>
      <c r="D539" s="46" t="s">
        <v>149</v>
      </c>
      <c r="E539" s="46" t="s">
        <v>150</v>
      </c>
      <c r="F539" s="46" t="s">
        <v>151</v>
      </c>
      <c r="G539" s="46" t="s">
        <v>152</v>
      </c>
      <c r="H539" s="46" t="s">
        <v>22</v>
      </c>
      <c r="I539" s="46" t="s">
        <v>153</v>
      </c>
      <c r="J539" s="46" t="s">
        <v>154</v>
      </c>
      <c r="K539" s="258"/>
      <c r="L539" s="262"/>
      <c r="M539" s="262"/>
    </row>
    <row r="540" spans="1:13" ht="23.25" customHeight="1">
      <c r="A540" s="646"/>
      <c r="B540" s="646"/>
      <c r="C540" s="648"/>
      <c r="D540" s="44">
        <v>75</v>
      </c>
      <c r="E540" s="44">
        <v>75</v>
      </c>
      <c r="F540" s="44">
        <v>75</v>
      </c>
      <c r="G540" s="44"/>
      <c r="H540" s="44"/>
      <c r="I540" s="44">
        <v>75</v>
      </c>
      <c r="J540" s="44"/>
      <c r="K540" s="634">
        <f>SUM(D540:J540,D542:J542)</f>
        <v>525</v>
      </c>
      <c r="L540" s="262"/>
      <c r="M540" s="262"/>
    </row>
    <row r="541" spans="1:13" ht="23.25" customHeight="1">
      <c r="A541" s="646"/>
      <c r="B541" s="646"/>
      <c r="C541" s="648"/>
      <c r="D541" s="46" t="s">
        <v>155</v>
      </c>
      <c r="E541" s="46" t="s">
        <v>156</v>
      </c>
      <c r="F541" s="46" t="s">
        <v>157</v>
      </c>
      <c r="G541" s="46" t="s">
        <v>158</v>
      </c>
      <c r="H541" s="46" t="s">
        <v>159</v>
      </c>
      <c r="I541" s="46" t="s">
        <v>279</v>
      </c>
      <c r="J541" s="46" t="s">
        <v>160</v>
      </c>
      <c r="K541" s="635"/>
      <c r="L541" s="262"/>
      <c r="M541" s="262"/>
    </row>
    <row r="542" spans="1:13" ht="23.25" customHeight="1" thickBot="1">
      <c r="A542" s="646"/>
      <c r="B542" s="646"/>
      <c r="C542" s="648"/>
      <c r="D542" s="44">
        <v>75</v>
      </c>
      <c r="E542" s="44">
        <v>75</v>
      </c>
      <c r="F542" s="44">
        <v>75</v>
      </c>
      <c r="G542" s="44"/>
      <c r="H542" s="44"/>
      <c r="I542" s="44"/>
      <c r="J542" s="44"/>
      <c r="K542" s="259"/>
      <c r="L542" s="262"/>
      <c r="M542" s="262"/>
    </row>
    <row r="543" spans="1:13" ht="23.25" customHeight="1">
      <c r="A543" s="646">
        <v>513</v>
      </c>
      <c r="B543" s="646" t="s">
        <v>276</v>
      </c>
      <c r="C543" s="648">
        <v>335</v>
      </c>
      <c r="D543" s="46" t="s">
        <v>149</v>
      </c>
      <c r="E543" s="46" t="s">
        <v>150</v>
      </c>
      <c r="F543" s="46" t="s">
        <v>151</v>
      </c>
      <c r="G543" s="46" t="s">
        <v>152</v>
      </c>
      <c r="H543" s="46" t="s">
        <v>22</v>
      </c>
      <c r="I543" s="46" t="s">
        <v>153</v>
      </c>
      <c r="J543" s="46" t="s">
        <v>154</v>
      </c>
      <c r="K543" s="258"/>
      <c r="L543" s="262"/>
      <c r="M543" s="262"/>
    </row>
    <row r="544" spans="1:13" ht="23.25" customHeight="1">
      <c r="A544" s="646"/>
      <c r="B544" s="646"/>
      <c r="C544" s="648"/>
      <c r="D544" s="44">
        <v>335</v>
      </c>
      <c r="E544" s="44">
        <v>335</v>
      </c>
      <c r="F544" s="44">
        <v>335</v>
      </c>
      <c r="G544" s="44">
        <v>335</v>
      </c>
      <c r="H544" s="44"/>
      <c r="I544" s="44">
        <v>335</v>
      </c>
      <c r="J544" s="44">
        <v>335</v>
      </c>
      <c r="K544" s="634">
        <f>SUM(D544:J544,D546:J546)</f>
        <v>3685</v>
      </c>
      <c r="L544" s="262"/>
      <c r="M544" s="262"/>
    </row>
    <row r="545" spans="1:13" ht="23.25" customHeight="1">
      <c r="A545" s="646"/>
      <c r="B545" s="646"/>
      <c r="C545" s="648"/>
      <c r="D545" s="46" t="s">
        <v>155</v>
      </c>
      <c r="E545" s="46" t="s">
        <v>156</v>
      </c>
      <c r="F545" s="46" t="s">
        <v>157</v>
      </c>
      <c r="G545" s="46" t="s">
        <v>158</v>
      </c>
      <c r="H545" s="46" t="s">
        <v>159</v>
      </c>
      <c r="I545" s="46" t="s">
        <v>279</v>
      </c>
      <c r="J545" s="46" t="s">
        <v>160</v>
      </c>
      <c r="K545" s="635"/>
      <c r="L545" s="262"/>
      <c r="M545" s="262"/>
    </row>
    <row r="546" spans="1:13" ht="23.25" customHeight="1" thickBot="1">
      <c r="A546" s="646"/>
      <c r="B546" s="646"/>
      <c r="C546" s="648"/>
      <c r="D546" s="44">
        <v>335</v>
      </c>
      <c r="E546" s="44">
        <v>335</v>
      </c>
      <c r="F546" s="44">
        <v>335</v>
      </c>
      <c r="G546" s="44"/>
      <c r="H546" s="44">
        <v>335</v>
      </c>
      <c r="I546" s="44">
        <v>335</v>
      </c>
      <c r="J546" s="44"/>
      <c r="K546" s="259"/>
      <c r="L546" s="262"/>
      <c r="M546" s="262"/>
    </row>
    <row r="547" spans="1:13" ht="23.25" customHeight="1">
      <c r="A547" s="646">
        <v>605</v>
      </c>
      <c r="B547" s="646" t="s">
        <v>277</v>
      </c>
      <c r="C547" s="648">
        <v>220</v>
      </c>
      <c r="D547" s="46" t="s">
        <v>149</v>
      </c>
      <c r="E547" s="46" t="s">
        <v>150</v>
      </c>
      <c r="F547" s="46" t="s">
        <v>151</v>
      </c>
      <c r="G547" s="46" t="s">
        <v>152</v>
      </c>
      <c r="H547" s="46" t="s">
        <v>22</v>
      </c>
      <c r="I547" s="46" t="s">
        <v>153</v>
      </c>
      <c r="J547" s="46" t="s">
        <v>154</v>
      </c>
      <c r="K547" s="258"/>
      <c r="L547" s="262"/>
      <c r="M547" s="262"/>
    </row>
    <row r="548" spans="1:13" ht="23.25" customHeight="1">
      <c r="A548" s="646"/>
      <c r="B548" s="646"/>
      <c r="C548" s="648"/>
      <c r="D548" s="44"/>
      <c r="E548" s="44"/>
      <c r="F548" s="44">
        <v>220</v>
      </c>
      <c r="G548" s="44"/>
      <c r="H548" s="44"/>
      <c r="I548" s="44">
        <v>220</v>
      </c>
      <c r="J548" s="44"/>
      <c r="K548" s="634">
        <f>SUM(D548:J548,D550:J550)</f>
        <v>880</v>
      </c>
      <c r="L548" s="262"/>
      <c r="M548" s="262"/>
    </row>
    <row r="549" spans="1:13" ht="23.25" customHeight="1">
      <c r="A549" s="646"/>
      <c r="B549" s="646"/>
      <c r="C549" s="648"/>
      <c r="D549" s="46" t="s">
        <v>155</v>
      </c>
      <c r="E549" s="46" t="s">
        <v>156</v>
      </c>
      <c r="F549" s="46" t="s">
        <v>157</v>
      </c>
      <c r="G549" s="46" t="s">
        <v>158</v>
      </c>
      <c r="H549" s="46" t="s">
        <v>159</v>
      </c>
      <c r="I549" s="46" t="s">
        <v>279</v>
      </c>
      <c r="J549" s="46" t="s">
        <v>160</v>
      </c>
      <c r="K549" s="635"/>
      <c r="L549" s="262"/>
      <c r="M549" s="262"/>
    </row>
    <row r="550" spans="1:13" ht="23.25" customHeight="1" thickBot="1">
      <c r="A550" s="646"/>
      <c r="B550" s="646"/>
      <c r="C550" s="648"/>
      <c r="D550" s="44"/>
      <c r="E550" s="44">
        <v>220</v>
      </c>
      <c r="F550" s="44"/>
      <c r="G550" s="44"/>
      <c r="H550" s="44"/>
      <c r="I550" s="44"/>
      <c r="J550" s="44">
        <v>220</v>
      </c>
      <c r="K550" s="259"/>
      <c r="L550" s="262"/>
      <c r="M550" s="262"/>
    </row>
    <row r="551" spans="1:13" ht="23.25" customHeight="1">
      <c r="A551" s="646">
        <v>715</v>
      </c>
      <c r="B551" s="646" t="s">
        <v>278</v>
      </c>
      <c r="C551" s="648">
        <v>155</v>
      </c>
      <c r="D551" s="46" t="s">
        <v>149</v>
      </c>
      <c r="E551" s="46" t="s">
        <v>150</v>
      </c>
      <c r="F551" s="46" t="s">
        <v>151</v>
      </c>
      <c r="G551" s="46" t="s">
        <v>152</v>
      </c>
      <c r="H551" s="46" t="s">
        <v>22</v>
      </c>
      <c r="I551" s="46" t="s">
        <v>153</v>
      </c>
      <c r="J551" s="46" t="s">
        <v>154</v>
      </c>
      <c r="K551" s="258"/>
      <c r="L551" s="262"/>
      <c r="M551" s="262"/>
    </row>
    <row r="552" spans="1:13" ht="23.25" customHeight="1">
      <c r="A552" s="646"/>
      <c r="B552" s="646"/>
      <c r="C552" s="648"/>
      <c r="D552" s="44"/>
      <c r="E552" s="44"/>
      <c r="F552" s="44"/>
      <c r="G552" s="44"/>
      <c r="H552" s="44"/>
      <c r="I552" s="44"/>
      <c r="J552" s="44"/>
      <c r="K552" s="634">
        <f>SUM(D552:J552,D554:J554)</f>
        <v>0</v>
      </c>
      <c r="L552" s="262"/>
      <c r="M552" s="262"/>
    </row>
    <row r="553" spans="1:13" ht="23.25" customHeight="1">
      <c r="A553" s="646"/>
      <c r="B553" s="646"/>
      <c r="C553" s="648"/>
      <c r="D553" s="46" t="s">
        <v>155</v>
      </c>
      <c r="E553" s="46" t="s">
        <v>156</v>
      </c>
      <c r="F553" s="46" t="s">
        <v>157</v>
      </c>
      <c r="G553" s="46" t="s">
        <v>158</v>
      </c>
      <c r="H553" s="46" t="s">
        <v>159</v>
      </c>
      <c r="I553" s="46" t="s">
        <v>279</v>
      </c>
      <c r="J553" s="46" t="s">
        <v>160</v>
      </c>
      <c r="K553" s="635"/>
      <c r="L553" s="262"/>
      <c r="M553" s="262"/>
    </row>
    <row r="554" spans="1:13" ht="23.25" customHeight="1" thickBot="1">
      <c r="A554" s="646"/>
      <c r="B554" s="646"/>
      <c r="C554" s="648"/>
      <c r="D554" s="44"/>
      <c r="E554" s="44"/>
      <c r="F554" s="44"/>
      <c r="G554" s="44"/>
      <c r="H554" s="44"/>
      <c r="I554" s="44"/>
      <c r="J554" s="44"/>
      <c r="K554" s="259"/>
      <c r="L554" s="262"/>
      <c r="M554" s="262"/>
    </row>
    <row r="555" spans="1:13" ht="23.25" customHeight="1">
      <c r="A555" s="646">
        <v>740</v>
      </c>
      <c r="B555" s="646" t="s">
        <v>136</v>
      </c>
      <c r="C555" s="648">
        <v>120</v>
      </c>
      <c r="D555" s="46" t="s">
        <v>149</v>
      </c>
      <c r="E555" s="46" t="s">
        <v>150</v>
      </c>
      <c r="F555" s="46" t="s">
        <v>151</v>
      </c>
      <c r="G555" s="46" t="s">
        <v>152</v>
      </c>
      <c r="H555" s="46" t="s">
        <v>22</v>
      </c>
      <c r="I555" s="46" t="s">
        <v>153</v>
      </c>
      <c r="J555" s="46" t="s">
        <v>154</v>
      </c>
      <c r="K555" s="258"/>
      <c r="L555" s="262"/>
      <c r="M555" s="262"/>
    </row>
    <row r="556" spans="1:13" ht="23.25" customHeight="1">
      <c r="A556" s="646"/>
      <c r="B556" s="646"/>
      <c r="C556" s="648"/>
      <c r="D556" s="44"/>
      <c r="E556" s="44"/>
      <c r="F556" s="44"/>
      <c r="G556" s="44"/>
      <c r="H556" s="44"/>
      <c r="I556" s="44"/>
      <c r="J556" s="44"/>
      <c r="K556" s="634">
        <f>SUM(D556:J556,D558:J558)</f>
        <v>0</v>
      </c>
      <c r="L556" s="262"/>
      <c r="M556" s="262"/>
    </row>
    <row r="557" spans="1:13" ht="23.25" customHeight="1">
      <c r="A557" s="646"/>
      <c r="B557" s="646"/>
      <c r="C557" s="648"/>
      <c r="D557" s="46" t="s">
        <v>155</v>
      </c>
      <c r="E557" s="46" t="s">
        <v>156</v>
      </c>
      <c r="F557" s="46" t="s">
        <v>157</v>
      </c>
      <c r="G557" s="46" t="s">
        <v>158</v>
      </c>
      <c r="H557" s="46" t="s">
        <v>159</v>
      </c>
      <c r="I557" s="46" t="s">
        <v>279</v>
      </c>
      <c r="J557" s="46" t="s">
        <v>160</v>
      </c>
      <c r="K557" s="635"/>
      <c r="L557" s="262"/>
      <c r="M557" s="262"/>
    </row>
    <row r="558" spans="1:13" ht="23.25" customHeight="1" thickBot="1">
      <c r="A558" s="646"/>
      <c r="B558" s="646"/>
      <c r="C558" s="648"/>
      <c r="D558" s="44"/>
      <c r="E558" s="44"/>
      <c r="F558" s="44"/>
      <c r="G558" s="44"/>
      <c r="H558" s="44"/>
      <c r="I558" s="44"/>
      <c r="J558" s="44"/>
      <c r="K558" s="259"/>
      <c r="L558" s="262"/>
      <c r="M558" s="262"/>
    </row>
    <row r="559" spans="1:13" s="222" customFormat="1" ht="23.25" customHeight="1">
      <c r="A559" s="636"/>
      <c r="B559" s="636" t="s">
        <v>134</v>
      </c>
      <c r="C559" s="637">
        <v>605</v>
      </c>
      <c r="D559" s="221" t="s">
        <v>149</v>
      </c>
      <c r="E559" s="221" t="s">
        <v>150</v>
      </c>
      <c r="F559" s="221" t="s">
        <v>151</v>
      </c>
      <c r="G559" s="221" t="s">
        <v>152</v>
      </c>
      <c r="H559" s="221" t="s">
        <v>22</v>
      </c>
      <c r="I559" s="221" t="s">
        <v>153</v>
      </c>
      <c r="J559" s="221" t="s">
        <v>154</v>
      </c>
      <c r="K559" s="258"/>
      <c r="L559" s="262"/>
      <c r="M559" s="262"/>
    </row>
    <row r="560" spans="1:13" s="222" customFormat="1" ht="23.25" customHeight="1">
      <c r="A560" s="636"/>
      <c r="B560" s="636"/>
      <c r="C560" s="637"/>
      <c r="D560" s="223">
        <v>605</v>
      </c>
      <c r="E560" s="223">
        <v>605</v>
      </c>
      <c r="F560" s="223">
        <v>605</v>
      </c>
      <c r="G560" s="223">
        <v>605</v>
      </c>
      <c r="H560" s="223"/>
      <c r="I560" s="223">
        <v>605</v>
      </c>
      <c r="J560" s="223"/>
      <c r="K560" s="634">
        <f>SUM(D560:J560,D562:J562)</f>
        <v>5445</v>
      </c>
      <c r="L560" s="262"/>
      <c r="M560" s="262"/>
    </row>
    <row r="561" spans="1:13" s="222" customFormat="1" ht="23.25" customHeight="1">
      <c r="A561" s="636"/>
      <c r="B561" s="636"/>
      <c r="C561" s="637"/>
      <c r="D561" s="221" t="s">
        <v>155</v>
      </c>
      <c r="E561" s="221" t="s">
        <v>156</v>
      </c>
      <c r="F561" s="221" t="s">
        <v>157</v>
      </c>
      <c r="G561" s="221" t="s">
        <v>158</v>
      </c>
      <c r="H561" s="221" t="s">
        <v>159</v>
      </c>
      <c r="I561" s="221" t="s">
        <v>279</v>
      </c>
      <c r="J561" s="221" t="s">
        <v>160</v>
      </c>
      <c r="K561" s="635"/>
      <c r="L561" s="262" t="s">
        <v>970</v>
      </c>
      <c r="M561" s="262"/>
    </row>
    <row r="562" spans="1:13" s="222" customFormat="1" ht="23.25" customHeight="1" thickBot="1">
      <c r="A562" s="636"/>
      <c r="B562" s="636"/>
      <c r="C562" s="637"/>
      <c r="D562" s="223"/>
      <c r="E562" s="223"/>
      <c r="F562" s="223">
        <v>605</v>
      </c>
      <c r="G562" s="223">
        <v>605</v>
      </c>
      <c r="H562" s="223">
        <v>605</v>
      </c>
      <c r="I562" s="223">
        <v>605</v>
      </c>
      <c r="J562" s="223"/>
      <c r="K562" s="259"/>
      <c r="L562" s="262"/>
      <c r="M562" s="262"/>
    </row>
    <row r="563" spans="1:13" ht="23.25" customHeight="1">
      <c r="K563" s="258"/>
      <c r="L563" s="262"/>
      <c r="M563" s="262"/>
    </row>
    <row r="564" spans="1:13" ht="23.25" customHeight="1">
      <c r="K564" s="634">
        <f>SUM(D564:J564,D566:J566)</f>
        <v>2080</v>
      </c>
      <c r="L564" s="262"/>
      <c r="M564" s="262"/>
    </row>
    <row r="565" spans="1:13" ht="23.25" customHeight="1">
      <c r="A565" s="43">
        <v>705</v>
      </c>
      <c r="B565" s="43" t="s">
        <v>980</v>
      </c>
      <c r="D565" s="43" t="s">
        <v>981</v>
      </c>
      <c r="E565" s="43" t="s">
        <v>982</v>
      </c>
      <c r="K565" s="635"/>
      <c r="L565" s="262"/>
      <c r="M565" s="262"/>
    </row>
    <row r="566" spans="1:13" ht="23.25" customHeight="1" thickBot="1">
      <c r="D566" s="43">
        <v>1180</v>
      </c>
      <c r="E566" s="43">
        <v>900</v>
      </c>
      <c r="K566" s="259"/>
      <c r="L566" s="262"/>
      <c r="M566" s="262"/>
    </row>
    <row r="567" spans="1:13" ht="23.25" customHeight="1">
      <c r="K567" s="258"/>
      <c r="L567" s="262"/>
      <c r="M567" s="262"/>
    </row>
    <row r="568" spans="1:13" ht="23.25" customHeight="1">
      <c r="B568" s="633" t="s">
        <v>1007</v>
      </c>
      <c r="E568" s="43">
        <v>300</v>
      </c>
      <c r="K568" s="634">
        <f>SUM(D568:J568,D570:J570)</f>
        <v>300</v>
      </c>
      <c r="L568" s="262"/>
      <c r="M568" s="262"/>
    </row>
    <row r="569" spans="1:13" ht="23.25" customHeight="1">
      <c r="B569" s="633"/>
      <c r="K569" s="635"/>
      <c r="L569" s="262"/>
      <c r="M569" s="262"/>
    </row>
    <row r="570" spans="1:13" ht="23.25" customHeight="1" thickBot="1">
      <c r="K570" s="259"/>
      <c r="L570" s="262"/>
      <c r="M570" s="262"/>
    </row>
    <row r="571" spans="1:13" ht="23.25" customHeight="1">
      <c r="K571" s="258"/>
      <c r="L571" s="262"/>
      <c r="M571" s="262"/>
    </row>
    <row r="572" spans="1:13" ht="23.25" customHeight="1">
      <c r="K572" s="634">
        <f>SUM(D572:J572,D574:J574)</f>
        <v>0</v>
      </c>
      <c r="L572" s="262"/>
      <c r="M572" s="262"/>
    </row>
    <row r="573" spans="1:13" ht="23.25" customHeight="1">
      <c r="K573" s="635"/>
      <c r="L573" s="262"/>
      <c r="M573" s="262"/>
    </row>
    <row r="574" spans="1:13" ht="23.25" customHeight="1" thickBot="1">
      <c r="K574" s="259"/>
      <c r="L574" s="262"/>
      <c r="M574" s="262"/>
    </row>
    <row r="575" spans="1:13" ht="23.25" customHeight="1">
      <c r="K575" s="258"/>
      <c r="L575" s="262"/>
      <c r="M575" s="262"/>
    </row>
    <row r="576" spans="1:13" ht="23.25" customHeight="1">
      <c r="K576" s="634">
        <f>SUM(D576:J576,D578:J578)</f>
        <v>0</v>
      </c>
      <c r="L576" s="262"/>
      <c r="M576" s="262"/>
    </row>
    <row r="577" spans="11:13" ht="23.25" customHeight="1">
      <c r="K577" s="635"/>
      <c r="L577" s="262"/>
      <c r="M577" s="262"/>
    </row>
    <row r="578" spans="11:13" ht="23.25" customHeight="1" thickBot="1">
      <c r="K578" s="259"/>
      <c r="L578" s="262"/>
      <c r="M578" s="262"/>
    </row>
  </sheetData>
  <autoFilter ref="A2:J558" xr:uid="{00000000-0009-0000-0000-000010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568">
    <mergeCell ref="L26:M26"/>
    <mergeCell ref="L25:M25"/>
    <mergeCell ref="A555:A558"/>
    <mergeCell ref="B555:B558"/>
    <mergeCell ref="C555:C558"/>
    <mergeCell ref="A547:A550"/>
    <mergeCell ref="B547:B550"/>
    <mergeCell ref="C547:C550"/>
    <mergeCell ref="A551:A554"/>
    <mergeCell ref="B551:B554"/>
    <mergeCell ref="C551:C554"/>
    <mergeCell ref="A539:A542"/>
    <mergeCell ref="B539:B542"/>
    <mergeCell ref="C539:C542"/>
    <mergeCell ref="A543:A546"/>
    <mergeCell ref="B543:B546"/>
    <mergeCell ref="C543:C546"/>
    <mergeCell ref="A531:A534"/>
    <mergeCell ref="B531:B534"/>
    <mergeCell ref="C531:C534"/>
    <mergeCell ref="A535:A538"/>
    <mergeCell ref="B535:B538"/>
    <mergeCell ref="C535:C538"/>
    <mergeCell ref="A523:A526"/>
    <mergeCell ref="B523:B526"/>
    <mergeCell ref="C523:C526"/>
    <mergeCell ref="A527:A530"/>
    <mergeCell ref="B527:B530"/>
    <mergeCell ref="C527:C530"/>
    <mergeCell ref="A515:A518"/>
    <mergeCell ref="B515:B518"/>
    <mergeCell ref="C515:C518"/>
    <mergeCell ref="A519:A522"/>
    <mergeCell ref="B519:B522"/>
    <mergeCell ref="C519:C522"/>
    <mergeCell ref="A507:A510"/>
    <mergeCell ref="B507:B510"/>
    <mergeCell ref="C507:C510"/>
    <mergeCell ref="A511:A514"/>
    <mergeCell ref="B511:B514"/>
    <mergeCell ref="C511:C514"/>
    <mergeCell ref="A499:A502"/>
    <mergeCell ref="B499:B502"/>
    <mergeCell ref="C499:C502"/>
    <mergeCell ref="A503:A506"/>
    <mergeCell ref="B503:B506"/>
    <mergeCell ref="C503:C506"/>
    <mergeCell ref="A491:A494"/>
    <mergeCell ref="B491:B494"/>
    <mergeCell ref="C491:C494"/>
    <mergeCell ref="A495:A498"/>
    <mergeCell ref="B495:B498"/>
    <mergeCell ref="C495:C498"/>
    <mergeCell ref="A483:A486"/>
    <mergeCell ref="B483:B486"/>
    <mergeCell ref="C483:C486"/>
    <mergeCell ref="A487:A490"/>
    <mergeCell ref="B487:B490"/>
    <mergeCell ref="C487:C490"/>
    <mergeCell ref="A475:A478"/>
    <mergeCell ref="B475:B478"/>
    <mergeCell ref="C475:C478"/>
    <mergeCell ref="A479:A482"/>
    <mergeCell ref="B479:B482"/>
    <mergeCell ref="C479:C482"/>
    <mergeCell ref="A463:A466"/>
    <mergeCell ref="B463:B466"/>
    <mergeCell ref="C463:C466"/>
    <mergeCell ref="A467:A470"/>
    <mergeCell ref="B467:B470"/>
    <mergeCell ref="C467:C470"/>
    <mergeCell ref="A471:A474"/>
    <mergeCell ref="B471:B474"/>
    <mergeCell ref="C471:C474"/>
    <mergeCell ref="A455:A458"/>
    <mergeCell ref="B455:B458"/>
    <mergeCell ref="C455:C458"/>
    <mergeCell ref="A459:A462"/>
    <mergeCell ref="B459:B462"/>
    <mergeCell ref="C459:C462"/>
    <mergeCell ref="A447:A450"/>
    <mergeCell ref="B447:B450"/>
    <mergeCell ref="C447:C450"/>
    <mergeCell ref="A451:A454"/>
    <mergeCell ref="B451:B454"/>
    <mergeCell ref="C451:C454"/>
    <mergeCell ref="A439:A442"/>
    <mergeCell ref="B439:B442"/>
    <mergeCell ref="C439:C442"/>
    <mergeCell ref="A443:A446"/>
    <mergeCell ref="B443:B446"/>
    <mergeCell ref="C443:C446"/>
    <mergeCell ref="A431:A434"/>
    <mergeCell ref="B431:B434"/>
    <mergeCell ref="C431:C434"/>
    <mergeCell ref="A435:A438"/>
    <mergeCell ref="B435:B438"/>
    <mergeCell ref="C435:C438"/>
    <mergeCell ref="A423:A426"/>
    <mergeCell ref="B423:B426"/>
    <mergeCell ref="C423:C426"/>
    <mergeCell ref="A427:A430"/>
    <mergeCell ref="B427:B430"/>
    <mergeCell ref="C427:C430"/>
    <mergeCell ref="A415:A418"/>
    <mergeCell ref="B415:B418"/>
    <mergeCell ref="C415:C418"/>
    <mergeCell ref="A419:A422"/>
    <mergeCell ref="B419:B422"/>
    <mergeCell ref="C419:C422"/>
    <mergeCell ref="A407:A410"/>
    <mergeCell ref="B407:B410"/>
    <mergeCell ref="C407:C410"/>
    <mergeCell ref="A411:A414"/>
    <mergeCell ref="B411:B414"/>
    <mergeCell ref="C411:C414"/>
    <mergeCell ref="A391:A394"/>
    <mergeCell ref="B391:B394"/>
    <mergeCell ref="C391:C394"/>
    <mergeCell ref="A395:A398"/>
    <mergeCell ref="B395:B398"/>
    <mergeCell ref="C395:C398"/>
    <mergeCell ref="A399:A402"/>
    <mergeCell ref="B399:B402"/>
    <mergeCell ref="C399:C402"/>
    <mergeCell ref="A383:A386"/>
    <mergeCell ref="B383:B386"/>
    <mergeCell ref="C383:C386"/>
    <mergeCell ref="A387:A390"/>
    <mergeCell ref="B387:B390"/>
    <mergeCell ref="C387:C390"/>
    <mergeCell ref="A375:A378"/>
    <mergeCell ref="B375:B378"/>
    <mergeCell ref="C375:C378"/>
    <mergeCell ref="A379:A382"/>
    <mergeCell ref="B379:B382"/>
    <mergeCell ref="C379:C382"/>
    <mergeCell ref="A367:A370"/>
    <mergeCell ref="B367:B370"/>
    <mergeCell ref="C367:C370"/>
    <mergeCell ref="A371:A374"/>
    <mergeCell ref="B371:B374"/>
    <mergeCell ref="C371:C374"/>
    <mergeCell ref="A359:A362"/>
    <mergeCell ref="B359:B362"/>
    <mergeCell ref="C359:C362"/>
    <mergeCell ref="A363:A366"/>
    <mergeCell ref="B363:B366"/>
    <mergeCell ref="C363:C366"/>
    <mergeCell ref="A351:A354"/>
    <mergeCell ref="B351:B354"/>
    <mergeCell ref="C351:C354"/>
    <mergeCell ref="A355:A358"/>
    <mergeCell ref="B355:B358"/>
    <mergeCell ref="C355:C358"/>
    <mergeCell ref="A343:A346"/>
    <mergeCell ref="B343:B346"/>
    <mergeCell ref="C343:C346"/>
    <mergeCell ref="A347:A350"/>
    <mergeCell ref="B347:B350"/>
    <mergeCell ref="C347:C350"/>
    <mergeCell ref="A335:A338"/>
    <mergeCell ref="B335:B338"/>
    <mergeCell ref="C335:C338"/>
    <mergeCell ref="A339:A342"/>
    <mergeCell ref="B339:B342"/>
    <mergeCell ref="C339:C342"/>
    <mergeCell ref="A327:A330"/>
    <mergeCell ref="B327:B330"/>
    <mergeCell ref="C327:C330"/>
    <mergeCell ref="A331:A334"/>
    <mergeCell ref="B331:B334"/>
    <mergeCell ref="C331:C334"/>
    <mergeCell ref="A319:A322"/>
    <mergeCell ref="B319:B322"/>
    <mergeCell ref="C319:C322"/>
    <mergeCell ref="A323:A326"/>
    <mergeCell ref="B323:B326"/>
    <mergeCell ref="C323:C326"/>
    <mergeCell ref="A311:A314"/>
    <mergeCell ref="B311:B314"/>
    <mergeCell ref="C311:C314"/>
    <mergeCell ref="A315:A318"/>
    <mergeCell ref="B315:B318"/>
    <mergeCell ref="C315:C318"/>
    <mergeCell ref="A303:A306"/>
    <mergeCell ref="B303:B306"/>
    <mergeCell ref="C303:C306"/>
    <mergeCell ref="A307:A310"/>
    <mergeCell ref="B307:B310"/>
    <mergeCell ref="C307:C310"/>
    <mergeCell ref="A295:A298"/>
    <mergeCell ref="B295:B298"/>
    <mergeCell ref="C295:C298"/>
    <mergeCell ref="A299:A302"/>
    <mergeCell ref="B299:B302"/>
    <mergeCell ref="C299:C302"/>
    <mergeCell ref="A287:A290"/>
    <mergeCell ref="B287:B290"/>
    <mergeCell ref="C287:C290"/>
    <mergeCell ref="A291:A294"/>
    <mergeCell ref="B291:B294"/>
    <mergeCell ref="C291:C294"/>
    <mergeCell ref="A279:A282"/>
    <mergeCell ref="B279:B282"/>
    <mergeCell ref="C279:C282"/>
    <mergeCell ref="A283:A286"/>
    <mergeCell ref="B283:B286"/>
    <mergeCell ref="C283:C286"/>
    <mergeCell ref="A271:A274"/>
    <mergeCell ref="B271:B274"/>
    <mergeCell ref="C271:C274"/>
    <mergeCell ref="A275:A278"/>
    <mergeCell ref="B275:B278"/>
    <mergeCell ref="C275:C278"/>
    <mergeCell ref="A263:A266"/>
    <mergeCell ref="B263:B266"/>
    <mergeCell ref="C263:C266"/>
    <mergeCell ref="A267:A270"/>
    <mergeCell ref="B267:B270"/>
    <mergeCell ref="C267:C270"/>
    <mergeCell ref="A255:A258"/>
    <mergeCell ref="B255:B258"/>
    <mergeCell ref="C255:C258"/>
    <mergeCell ref="A259:A262"/>
    <mergeCell ref="B259:B262"/>
    <mergeCell ref="C259:C262"/>
    <mergeCell ref="A247:A250"/>
    <mergeCell ref="B247:B250"/>
    <mergeCell ref="C247:C250"/>
    <mergeCell ref="A251:A254"/>
    <mergeCell ref="B251:B254"/>
    <mergeCell ref="C251:C254"/>
    <mergeCell ref="A239:A242"/>
    <mergeCell ref="B239:B242"/>
    <mergeCell ref="C239:C242"/>
    <mergeCell ref="A243:A246"/>
    <mergeCell ref="B243:B246"/>
    <mergeCell ref="C243:C246"/>
    <mergeCell ref="A231:A234"/>
    <mergeCell ref="B231:B234"/>
    <mergeCell ref="C231:C234"/>
    <mergeCell ref="A235:A238"/>
    <mergeCell ref="B235:B238"/>
    <mergeCell ref="C235:C238"/>
    <mergeCell ref="A223:A226"/>
    <mergeCell ref="B223:B226"/>
    <mergeCell ref="C223:C226"/>
    <mergeCell ref="A227:A230"/>
    <mergeCell ref="B227:B230"/>
    <mergeCell ref="C227:C230"/>
    <mergeCell ref="A215:A218"/>
    <mergeCell ref="B215:B218"/>
    <mergeCell ref="C215:C218"/>
    <mergeCell ref="A219:A222"/>
    <mergeCell ref="B219:B222"/>
    <mergeCell ref="C219:C222"/>
    <mergeCell ref="A207:A210"/>
    <mergeCell ref="B207:B210"/>
    <mergeCell ref="C207:C210"/>
    <mergeCell ref="A211:A214"/>
    <mergeCell ref="B211:B214"/>
    <mergeCell ref="C211:C214"/>
    <mergeCell ref="A199:A202"/>
    <mergeCell ref="B199:B202"/>
    <mergeCell ref="C199:C202"/>
    <mergeCell ref="A203:A206"/>
    <mergeCell ref="B203:B206"/>
    <mergeCell ref="C203:C206"/>
    <mergeCell ref="A191:A194"/>
    <mergeCell ref="B191:B194"/>
    <mergeCell ref="C191:C194"/>
    <mergeCell ref="A195:A198"/>
    <mergeCell ref="B195:B198"/>
    <mergeCell ref="C195:C198"/>
    <mergeCell ref="A183:A186"/>
    <mergeCell ref="B183:B186"/>
    <mergeCell ref="C183:C186"/>
    <mergeCell ref="A187:A190"/>
    <mergeCell ref="B187:B190"/>
    <mergeCell ref="C187:C190"/>
    <mergeCell ref="A175:A178"/>
    <mergeCell ref="B175:B178"/>
    <mergeCell ref="C175:C178"/>
    <mergeCell ref="A179:A182"/>
    <mergeCell ref="B179:B182"/>
    <mergeCell ref="C179:C182"/>
    <mergeCell ref="A167:A170"/>
    <mergeCell ref="B167:B170"/>
    <mergeCell ref="C167:C170"/>
    <mergeCell ref="A171:A174"/>
    <mergeCell ref="B171:B174"/>
    <mergeCell ref="C171:C174"/>
    <mergeCell ref="A159:A162"/>
    <mergeCell ref="B159:B162"/>
    <mergeCell ref="C159:C162"/>
    <mergeCell ref="A163:A166"/>
    <mergeCell ref="B163:B166"/>
    <mergeCell ref="C163:C166"/>
    <mergeCell ref="A151:A154"/>
    <mergeCell ref="B151:B154"/>
    <mergeCell ref="C151:C154"/>
    <mergeCell ref="A155:A158"/>
    <mergeCell ref="B155:B158"/>
    <mergeCell ref="C155:C158"/>
    <mergeCell ref="A123:A126"/>
    <mergeCell ref="B123:B126"/>
    <mergeCell ref="C123:C126"/>
    <mergeCell ref="A143:A146"/>
    <mergeCell ref="B143:B146"/>
    <mergeCell ref="C143:C146"/>
    <mergeCell ref="A147:A150"/>
    <mergeCell ref="B147:B150"/>
    <mergeCell ref="C147:C150"/>
    <mergeCell ref="A135:A138"/>
    <mergeCell ref="B135:B138"/>
    <mergeCell ref="C135:C138"/>
    <mergeCell ref="A139:A142"/>
    <mergeCell ref="B139:B142"/>
    <mergeCell ref="C139:C142"/>
    <mergeCell ref="A83:A86"/>
    <mergeCell ref="B83:B86"/>
    <mergeCell ref="C83:C86"/>
    <mergeCell ref="A91:A94"/>
    <mergeCell ref="B91:B94"/>
    <mergeCell ref="C91:C94"/>
    <mergeCell ref="A111:A114"/>
    <mergeCell ref="B111:B114"/>
    <mergeCell ref="C111:C114"/>
    <mergeCell ref="A103:A106"/>
    <mergeCell ref="B103:B106"/>
    <mergeCell ref="C103:C106"/>
    <mergeCell ref="A107:A110"/>
    <mergeCell ref="B107:B110"/>
    <mergeCell ref="C107:C110"/>
    <mergeCell ref="A87:A90"/>
    <mergeCell ref="B87:B90"/>
    <mergeCell ref="C87:C90"/>
    <mergeCell ref="A75:A78"/>
    <mergeCell ref="B75:B78"/>
    <mergeCell ref="C75:C78"/>
    <mergeCell ref="A79:A82"/>
    <mergeCell ref="B79:B82"/>
    <mergeCell ref="C79:C82"/>
    <mergeCell ref="A67:A70"/>
    <mergeCell ref="B67:B70"/>
    <mergeCell ref="C67:C70"/>
    <mergeCell ref="A71:A74"/>
    <mergeCell ref="B71:B74"/>
    <mergeCell ref="C71:C74"/>
    <mergeCell ref="A59:A62"/>
    <mergeCell ref="B59:B62"/>
    <mergeCell ref="C59:C62"/>
    <mergeCell ref="A63:A66"/>
    <mergeCell ref="B63:B66"/>
    <mergeCell ref="C63:C66"/>
    <mergeCell ref="A51:A54"/>
    <mergeCell ref="B51:B54"/>
    <mergeCell ref="C51:C54"/>
    <mergeCell ref="A55:A58"/>
    <mergeCell ref="B55:B58"/>
    <mergeCell ref="C55:C58"/>
    <mergeCell ref="A43:A46"/>
    <mergeCell ref="B43:B46"/>
    <mergeCell ref="C43:C46"/>
    <mergeCell ref="A47:A50"/>
    <mergeCell ref="B47:B50"/>
    <mergeCell ref="C47:C50"/>
    <mergeCell ref="A35:A38"/>
    <mergeCell ref="B35:B38"/>
    <mergeCell ref="C35:C38"/>
    <mergeCell ref="A39:A42"/>
    <mergeCell ref="B39:B42"/>
    <mergeCell ref="C39:C42"/>
    <mergeCell ref="A27:A30"/>
    <mergeCell ref="B27:B30"/>
    <mergeCell ref="C27:C30"/>
    <mergeCell ref="A31:A34"/>
    <mergeCell ref="B31:B34"/>
    <mergeCell ref="C31:C34"/>
    <mergeCell ref="A19:A22"/>
    <mergeCell ref="B19:B22"/>
    <mergeCell ref="C19:C22"/>
    <mergeCell ref="A23:A26"/>
    <mergeCell ref="B23:B26"/>
    <mergeCell ref="C23:C26"/>
    <mergeCell ref="A11:A14"/>
    <mergeCell ref="B11:B14"/>
    <mergeCell ref="C11:C14"/>
    <mergeCell ref="A15:A18"/>
    <mergeCell ref="B15:B18"/>
    <mergeCell ref="C15:C18"/>
    <mergeCell ref="A3:A6"/>
    <mergeCell ref="B3:B6"/>
    <mergeCell ref="C3:C6"/>
    <mergeCell ref="A7:A10"/>
    <mergeCell ref="B7:B10"/>
    <mergeCell ref="C7:C10"/>
    <mergeCell ref="A559:A562"/>
    <mergeCell ref="B559:B562"/>
    <mergeCell ref="C559:C562"/>
    <mergeCell ref="A403:A406"/>
    <mergeCell ref="B403:B406"/>
    <mergeCell ref="C403:C406"/>
    <mergeCell ref="A95:A98"/>
    <mergeCell ref="B95:B98"/>
    <mergeCell ref="C95:C98"/>
    <mergeCell ref="A99:A102"/>
    <mergeCell ref="B99:B102"/>
    <mergeCell ref="C99:C102"/>
    <mergeCell ref="A115:A118"/>
    <mergeCell ref="B115:B118"/>
    <mergeCell ref="C115:C118"/>
    <mergeCell ref="A127:A130"/>
    <mergeCell ref="B127:B130"/>
    <mergeCell ref="C127:C130"/>
    <mergeCell ref="A131:A134"/>
    <mergeCell ref="B131:B134"/>
    <mergeCell ref="C131:C134"/>
    <mergeCell ref="A119:A122"/>
    <mergeCell ref="B119:B122"/>
    <mergeCell ref="C119:C122"/>
    <mergeCell ref="K4:K5"/>
    <mergeCell ref="K8:K9"/>
    <mergeCell ref="K12:K13"/>
    <mergeCell ref="K16:K17"/>
    <mergeCell ref="K20:K21"/>
    <mergeCell ref="K24:K25"/>
    <mergeCell ref="K28:K29"/>
    <mergeCell ref="K32:K33"/>
    <mergeCell ref="K36:K37"/>
    <mergeCell ref="K40:K41"/>
    <mergeCell ref="K44:K45"/>
    <mergeCell ref="K48:K49"/>
    <mergeCell ref="K52:K53"/>
    <mergeCell ref="K56:K57"/>
    <mergeCell ref="K60:K61"/>
    <mergeCell ref="K64:K65"/>
    <mergeCell ref="K68:K69"/>
    <mergeCell ref="K72:K73"/>
    <mergeCell ref="K76:K77"/>
    <mergeCell ref="K80:K81"/>
    <mergeCell ref="K84:K85"/>
    <mergeCell ref="K88:K89"/>
    <mergeCell ref="K92:K93"/>
    <mergeCell ref="K96:K97"/>
    <mergeCell ref="K100:K101"/>
    <mergeCell ref="K104:K105"/>
    <mergeCell ref="K108:K109"/>
    <mergeCell ref="K112:K113"/>
    <mergeCell ref="K116:K117"/>
    <mergeCell ref="K120:K121"/>
    <mergeCell ref="K124:K125"/>
    <mergeCell ref="K128:K129"/>
    <mergeCell ref="K132:K133"/>
    <mergeCell ref="K136:K137"/>
    <mergeCell ref="K140:K141"/>
    <mergeCell ref="K144:K145"/>
    <mergeCell ref="K148:K149"/>
    <mergeCell ref="K152:K153"/>
    <mergeCell ref="K156:K157"/>
    <mergeCell ref="K160:K161"/>
    <mergeCell ref="K164:K165"/>
    <mergeCell ref="K168:K169"/>
    <mergeCell ref="K172:K173"/>
    <mergeCell ref="K176:K177"/>
    <mergeCell ref="K180:K181"/>
    <mergeCell ref="K184:K185"/>
    <mergeCell ref="K188:K189"/>
    <mergeCell ref="K192:K193"/>
    <mergeCell ref="K196:K197"/>
    <mergeCell ref="K200:K201"/>
    <mergeCell ref="K204:K205"/>
    <mergeCell ref="K208:K209"/>
    <mergeCell ref="K212:K213"/>
    <mergeCell ref="K216:K217"/>
    <mergeCell ref="K220:K221"/>
    <mergeCell ref="K224:K225"/>
    <mergeCell ref="K228:K229"/>
    <mergeCell ref="K232:K233"/>
    <mergeCell ref="K236:K237"/>
    <mergeCell ref="K240:K241"/>
    <mergeCell ref="K244:K245"/>
    <mergeCell ref="K248:K249"/>
    <mergeCell ref="K252:K253"/>
    <mergeCell ref="K256:K257"/>
    <mergeCell ref="K260:K261"/>
    <mergeCell ref="K264:K265"/>
    <mergeCell ref="K268:K269"/>
    <mergeCell ref="K272:K273"/>
    <mergeCell ref="K276:K277"/>
    <mergeCell ref="K280:K281"/>
    <mergeCell ref="K284:K285"/>
    <mergeCell ref="K288:K289"/>
    <mergeCell ref="K292:K293"/>
    <mergeCell ref="K296:K297"/>
    <mergeCell ref="K300:K301"/>
    <mergeCell ref="K304:K305"/>
    <mergeCell ref="K308:K309"/>
    <mergeCell ref="K312:K313"/>
    <mergeCell ref="K316:K317"/>
    <mergeCell ref="K320:K321"/>
    <mergeCell ref="K324:K325"/>
    <mergeCell ref="K328:K329"/>
    <mergeCell ref="K332:K333"/>
    <mergeCell ref="K336:K337"/>
    <mergeCell ref="K340:K341"/>
    <mergeCell ref="K344:K345"/>
    <mergeCell ref="K348:K349"/>
    <mergeCell ref="K352:K353"/>
    <mergeCell ref="K356:K357"/>
    <mergeCell ref="K360:K361"/>
    <mergeCell ref="K364:K365"/>
    <mergeCell ref="K368:K369"/>
    <mergeCell ref="K372:K373"/>
    <mergeCell ref="K376:K377"/>
    <mergeCell ref="K380:K381"/>
    <mergeCell ref="K384:K385"/>
    <mergeCell ref="K388:K389"/>
    <mergeCell ref="K392:K393"/>
    <mergeCell ref="K396:K397"/>
    <mergeCell ref="K460:K461"/>
    <mergeCell ref="K464:K465"/>
    <mergeCell ref="K468:K469"/>
    <mergeCell ref="K400:K401"/>
    <mergeCell ref="K404:K405"/>
    <mergeCell ref="K408:K409"/>
    <mergeCell ref="K412:K413"/>
    <mergeCell ref="K416:K417"/>
    <mergeCell ref="K420:K421"/>
    <mergeCell ref="K424:K425"/>
    <mergeCell ref="K428:K429"/>
    <mergeCell ref="K432:K433"/>
    <mergeCell ref="K572:K573"/>
    <mergeCell ref="K576:K577"/>
    <mergeCell ref="K508:K509"/>
    <mergeCell ref="K512:K513"/>
    <mergeCell ref="K516:K517"/>
    <mergeCell ref="K520:K521"/>
    <mergeCell ref="K524:K525"/>
    <mergeCell ref="K528:K529"/>
    <mergeCell ref="K532:K533"/>
    <mergeCell ref="K536:K537"/>
    <mergeCell ref="K540:K541"/>
    <mergeCell ref="D2:J2"/>
    <mergeCell ref="B568:B569"/>
    <mergeCell ref="K544:K545"/>
    <mergeCell ref="K548:K549"/>
    <mergeCell ref="K552:K553"/>
    <mergeCell ref="K556:K557"/>
    <mergeCell ref="K560:K561"/>
    <mergeCell ref="K564:K565"/>
    <mergeCell ref="K568:K569"/>
    <mergeCell ref="K472:K473"/>
    <mergeCell ref="K476:K477"/>
    <mergeCell ref="K480:K481"/>
    <mergeCell ref="K484:K485"/>
    <mergeCell ref="K488:K489"/>
    <mergeCell ref="K492:K493"/>
    <mergeCell ref="K496:K497"/>
    <mergeCell ref="K500:K501"/>
    <mergeCell ref="K504:K505"/>
    <mergeCell ref="K436:K437"/>
    <mergeCell ref="K440:K441"/>
    <mergeCell ref="K444:K445"/>
    <mergeCell ref="K448:K449"/>
    <mergeCell ref="K452:K453"/>
    <mergeCell ref="K456:K457"/>
  </mergeCells>
  <conditionalFormatting sqref="L82:XFD86 N220:XFD220 N224:XFD224 N26:XFD26 M80:XFD80 M6:XFD6 A6:K6 M4:XFD4 A4:K4 A10:XFD10 A14:XFD14 A18:XFD18 A8:XFD8 A12:XFD12 A16:XFD16 A22:XFD22 A38:XFD38 A54:XFD54 A70:XFD70 A86:K86 A102:XFD102 A118:XFD118 A134:XFD134 A150:XFD150 A166:XFD166 A182:XFD182 A198:XFD198 A214:XFD214 A230:XFD230 A246:XFD246 A262:XFD262 A278:XFD278 A294:XFD294 A310:XFD310 D326:K326 D342:K342 D358:K358 D374:K374 D390:K390 D406:K406 D422:K422 D438:K438 D454:K454 D470:K470 D486:K486 D502:K502 D518:K518 D534:K534 D550:K550 K566 A20:XFD20 A36:XFD36 A52:XFD52 A68:XFD68 A84:K84 A100:XFD100 A116:XFD116 A132:XFD132 A148:XFD148 A164:XFD164 A180:XFD180 A196:XFD196 A212:XFD212 A228:XFD228 A244:XFD244 A260:XFD260 A276:XFD276 A292:XFD292 A308:XFD308 D324:K324 D340:K340 D356:K356 D372:K372 D388:K388 D404:K404 D420:K420 D436:K436 D452:K452 D468:K468 D484:K484 D500:K500 D516:K516 D532:K532 D548:K548 K564 A26:K26 A42:XFD42 A58:XFD58 A74:XFD74 A90:XFD90 A106:XFD106 A122:XFD122 A138:XFD138 A154:XFD154 A170:XFD170 A186:XFD186 A202:XFD202 A218:XFD218 A234:XFD234 A250:XFD250 A266:XFD266 A282:XFD282 A298:XFD298 A314:XFD314 D330:K330 D346:K346 D362:K362 D378:K378 D394:K394 D410:K410 D426:K426 D442:K442 D458:K458 K474 D490:K490 D506:K506 D522:K522 D538:K538 D554:K554 K570 A30:XFD30 A46:XFD46 A62:XFD62 A78:XFD78 A94:XFD94 A110:XFD110 A126:XFD126 A142:XFD142 A158:XFD158 A174:XFD174 A206:XFD206 A222:XFD222 A238:XFD238 A254:XFD254 A270:XFD270 A286:XFD286 A302:XFD302 A318:XFD318 D334:K334 D350:K350 D366:K366 D382:K382 D398:K398 D414:K414 D430:K430 D446:K446 D462:K462 D478:K478 D494:K494 D510:K510 D526:K526 D542:K542 D558:K558 K574 A34:XFD34 A50:XFD50 A66:XFD66 A82:K82 A98:XFD98 A114:XFD114 A130:XFD130 A146:XFD146 A162:XFD162 A178:XFD178 A194:XFD194 A210:XFD210 A226:XFD226 A242:XFD242 A258:XFD258 A274:XFD274 A290:XFD290 A306:XFD306 A322:XFD322 D338:K338 D354:K354 D370:K370 D386:K386 D402:K402 D418:K418 D434:K434 D450:K450 D466:K466 D482:K482 D498:K498 D514:K514 D530:K530 D546:K546 D562:K562 K578 A24:XFD24 A40:XFD40 A56:XFD56 A72:XFD72 A88:XFD88 A104:XFD104 A120:XFD120 A136:XFD136 A152:XFD152 A168:XFD168 A184:XFD184 A200:XFD200 A216:XFD216 A232:XFD232 A248:XFD248 A264:XFD264 A280:XFD280 A296:XFD296 A312:XFD312 D328:K328 D344:K344 D360:K360 D376:K376 D392:K392 D408:K408 D424:K424 D440:K440 D456:K456 K472 D488:K488 D504:K504 D520:K520 D536:K536 D552:K552 K568 A28:XFD28 A44:XFD44 A60:XFD60 A76:XFD76 A92:XFD92 A108:XFD108 A124:XFD124 A140:XFD140 A156:XFD156 A172:XFD172 A188:XFD188 A204:XFD204 A220:L220 A236:XFD236 A252:XFD252 A268:XFD268 A284:XFD284 A300:XFD300 A316:XFD316 D332:K332 D348:K348 D364:K364 D380:K380 D396:K396 D412:K412 D428:K428 D444:K444 D460:K460 D476:K476 D492:K492 D508:K508 D524:K524 D540:K540 D556:K556 K572 A32:XFD32 A48:XFD48 A64:XFD64 A80:K80 A96:XFD96 A112:XFD112 A128:XFD128 A144:XFD144 A160:XFD160 A176:XFD176 A192:XFD192 A208:XFD208 A224:L224 A240:XFD240 A256:XFD256 A272:XFD272 A288:XFD288 A304:XFD304 A320:XFD320 D336:K336 D352:K352 D368:K368 D384:K384 D400:K400 D416:K416 D432:K432 D448:K448 D464:K464 D480:K480 D496:K496 D512:K512 D528:K528 D544:K544 D560:K560 K576 A190:XFD190">
    <cfRule type="cellIs" dxfId="860" priority="10" operator="greaterThan">
      <formula>0</formula>
    </cfRule>
  </conditionalFormatting>
  <conditionalFormatting sqref="D472:J472 D474:J474">
    <cfRule type="cellIs" dxfId="859" priority="3" operator="greaterThan">
      <formula>0</formula>
    </cfRule>
  </conditionalFormatting>
  <conditionalFormatting sqref="M220">
    <cfRule type="cellIs" dxfId="858" priority="2" operator="greaterThan">
      <formula>0</formula>
    </cfRule>
  </conditionalFormatting>
  <conditionalFormatting sqref="M224">
    <cfRule type="cellIs" dxfId="857" priority="1" operator="greaterThan">
      <formula>0</formula>
    </cfRule>
  </conditionalFormatting>
  <hyperlinks>
    <hyperlink ref="G1" location="'2022'!A1" display="'2022'!A1" xr:uid="{00000000-0004-0000-1000-000000000000}"/>
    <hyperlink ref="I1" location="'2023'!A1" display="'2023'!A1" xr:uid="{00000000-0004-0000-1000-000001000000}"/>
    <hyperlink ref="E1" location="'2021'!A1" display="'2021'!A1" xr:uid="{00000000-0004-0000-1000-000002000000}"/>
    <hyperlink ref="A1" location="dashboard!A1" display="DASHBOARD" xr:uid="{00000000-0004-0000-1000-000003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A1:P623"/>
  <sheetViews>
    <sheetView zoomScale="87" zoomScaleNormal="87" workbookViewId="0">
      <pane ySplit="2" topLeftCell="A325" activePane="bottomLeft" state="frozen"/>
      <selection pane="bottomLeft" activeCell="J1" sqref="J1"/>
    </sheetView>
  </sheetViews>
  <sheetFormatPr defaultColWidth="18.5703125" defaultRowHeight="15"/>
  <cols>
    <col min="1" max="1" width="18.5703125" customWidth="1"/>
    <col min="2" max="2" width="22.7109375" customWidth="1"/>
  </cols>
  <sheetData>
    <row r="1" spans="1:16" s="142" customFormat="1" ht="22.5" customHeight="1" thickBot="1">
      <c r="A1" s="668" t="s">
        <v>1006</v>
      </c>
      <c r="B1" s="668"/>
      <c r="C1" s="144"/>
      <c r="D1" s="141">
        <v>2021</v>
      </c>
      <c r="E1" s="140"/>
      <c r="F1" s="145">
        <v>2022</v>
      </c>
      <c r="H1" s="145">
        <v>2023</v>
      </c>
      <c r="J1" s="346">
        <v>2024</v>
      </c>
    </row>
    <row r="2" spans="1:16" s="257" customFormat="1" ht="35.25" customHeight="1" thickTop="1" thickBot="1">
      <c r="A2" s="345"/>
      <c r="B2" s="357">
        <f>SUM(P3:P586)</f>
        <v>766352.66</v>
      </c>
      <c r="C2" s="255">
        <v>44927</v>
      </c>
      <c r="D2" s="255">
        <v>44958</v>
      </c>
      <c r="E2" s="255">
        <v>44986</v>
      </c>
      <c r="F2" s="255">
        <v>45017</v>
      </c>
      <c r="G2" s="255">
        <v>45047</v>
      </c>
      <c r="H2" s="255">
        <v>45078</v>
      </c>
      <c r="I2" s="255">
        <v>45108</v>
      </c>
      <c r="J2" s="255">
        <v>45139</v>
      </c>
      <c r="K2" s="255">
        <v>45170</v>
      </c>
      <c r="L2" s="255">
        <v>45200</v>
      </c>
      <c r="M2" s="255">
        <v>45231</v>
      </c>
      <c r="N2" s="255" t="s">
        <v>1139</v>
      </c>
      <c r="O2" s="255">
        <v>45261</v>
      </c>
      <c r="P2" s="256" t="s">
        <v>1004</v>
      </c>
    </row>
    <row r="3" spans="1:16" ht="15" customHeight="1" thickTop="1">
      <c r="A3" s="496">
        <v>2</v>
      </c>
      <c r="B3" s="584" t="s">
        <v>148</v>
      </c>
      <c r="C3" s="585">
        <v>560</v>
      </c>
      <c r="D3" s="586">
        <v>560</v>
      </c>
      <c r="E3" s="586">
        <v>560</v>
      </c>
      <c r="F3" s="586">
        <v>560</v>
      </c>
      <c r="G3" s="586">
        <v>560</v>
      </c>
      <c r="H3" s="586">
        <v>560</v>
      </c>
      <c r="I3" s="586">
        <v>560</v>
      </c>
      <c r="J3" s="586">
        <v>560</v>
      </c>
      <c r="K3" s="586">
        <v>560</v>
      </c>
      <c r="L3" s="586">
        <v>560</v>
      </c>
      <c r="M3" s="502">
        <v>560</v>
      </c>
      <c r="N3" s="502"/>
      <c r="O3" s="589">
        <v>560</v>
      </c>
      <c r="P3" s="476">
        <f>SUM(C3:O4)</f>
        <v>6720</v>
      </c>
    </row>
    <row r="4" spans="1:16">
      <c r="A4" s="496"/>
      <c r="B4" s="507"/>
      <c r="C4" s="509"/>
      <c r="D4" s="503"/>
      <c r="E4" s="503"/>
      <c r="F4" s="503"/>
      <c r="G4" s="503"/>
      <c r="H4" s="503"/>
      <c r="I4" s="503"/>
      <c r="J4" s="503"/>
      <c r="K4" s="503"/>
      <c r="L4" s="503"/>
      <c r="M4" s="503"/>
      <c r="N4" s="503"/>
      <c r="O4" s="502"/>
      <c r="P4" s="445"/>
    </row>
    <row r="5" spans="1:16">
      <c r="A5" s="496"/>
      <c r="B5" s="81" t="s">
        <v>363</v>
      </c>
      <c r="C5" s="72">
        <v>45089</v>
      </c>
      <c r="D5" s="65">
        <v>45089</v>
      </c>
      <c r="E5" s="65">
        <v>45183</v>
      </c>
      <c r="F5" s="65">
        <v>45183</v>
      </c>
      <c r="G5" s="65">
        <v>45260</v>
      </c>
      <c r="H5" s="65">
        <v>45260</v>
      </c>
      <c r="I5" s="65">
        <v>45299</v>
      </c>
      <c r="J5" s="65">
        <v>45299</v>
      </c>
      <c r="K5" s="64">
        <v>45387</v>
      </c>
      <c r="L5" s="64">
        <v>45387</v>
      </c>
      <c r="M5" s="65">
        <v>45460</v>
      </c>
      <c r="N5" s="54"/>
      <c r="O5" s="65">
        <v>45460</v>
      </c>
      <c r="P5" s="101"/>
    </row>
    <row r="6" spans="1:16">
      <c r="A6" s="471"/>
      <c r="B6" s="78" t="s">
        <v>377</v>
      </c>
      <c r="C6" s="73" t="s">
        <v>367</v>
      </c>
      <c r="D6" s="54" t="s">
        <v>368</v>
      </c>
      <c r="E6" s="54" t="s">
        <v>368</v>
      </c>
      <c r="F6" s="54" t="s">
        <v>368</v>
      </c>
      <c r="G6" s="54" t="s">
        <v>368</v>
      </c>
      <c r="H6" s="54" t="s">
        <v>368</v>
      </c>
      <c r="I6" s="54" t="s">
        <v>368</v>
      </c>
      <c r="J6" s="54" t="s">
        <v>368</v>
      </c>
      <c r="K6" s="54" t="s">
        <v>386</v>
      </c>
      <c r="L6" s="54" t="s">
        <v>368</v>
      </c>
      <c r="M6" s="54" t="s">
        <v>386</v>
      </c>
      <c r="N6" s="54"/>
      <c r="O6" s="54" t="s">
        <v>386</v>
      </c>
      <c r="P6" s="101"/>
    </row>
    <row r="7" spans="1:16" ht="15" customHeight="1">
      <c r="A7" s="496">
        <v>3</v>
      </c>
      <c r="B7" s="584" t="s">
        <v>1219</v>
      </c>
      <c r="C7" s="585" t="s">
        <v>998</v>
      </c>
      <c r="D7" s="586" t="s">
        <v>998</v>
      </c>
      <c r="E7" s="585" t="s">
        <v>998</v>
      </c>
      <c r="F7" s="586" t="s">
        <v>998</v>
      </c>
      <c r="G7" s="585" t="s">
        <v>998</v>
      </c>
      <c r="H7" s="586" t="s">
        <v>998</v>
      </c>
      <c r="I7" s="585" t="s">
        <v>998</v>
      </c>
      <c r="J7" s="586" t="s">
        <v>998</v>
      </c>
      <c r="K7" s="502" t="s">
        <v>998</v>
      </c>
      <c r="L7" s="502">
        <v>540</v>
      </c>
      <c r="M7" s="502">
        <v>540</v>
      </c>
      <c r="N7" s="502">
        <v>135</v>
      </c>
      <c r="O7" s="502">
        <v>540</v>
      </c>
      <c r="P7" s="476">
        <f>SUM(C7:O8)</f>
        <v>1755</v>
      </c>
    </row>
    <row r="8" spans="1:16">
      <c r="A8" s="496"/>
      <c r="B8" s="507"/>
      <c r="C8" s="509"/>
      <c r="D8" s="503"/>
      <c r="E8" s="509"/>
      <c r="F8" s="503"/>
      <c r="G8" s="509"/>
      <c r="H8" s="503"/>
      <c r="I8" s="509"/>
      <c r="J8" s="503"/>
      <c r="K8" s="503"/>
      <c r="L8" s="503"/>
      <c r="M8" s="503"/>
      <c r="N8" s="503"/>
      <c r="O8" s="503"/>
      <c r="P8" s="445"/>
    </row>
    <row r="9" spans="1:16">
      <c r="A9" s="496"/>
      <c r="B9" s="81" t="s">
        <v>363</v>
      </c>
      <c r="C9" s="72" t="s">
        <v>998</v>
      </c>
      <c r="D9" s="65" t="s">
        <v>998</v>
      </c>
      <c r="E9" s="72" t="s">
        <v>998</v>
      </c>
      <c r="F9" s="65" t="s">
        <v>998</v>
      </c>
      <c r="G9" s="72" t="s">
        <v>998</v>
      </c>
      <c r="H9" s="65" t="s">
        <v>998</v>
      </c>
      <c r="I9" s="72" t="s">
        <v>998</v>
      </c>
      <c r="J9" s="65" t="s">
        <v>998</v>
      </c>
      <c r="K9" s="54" t="s">
        <v>998</v>
      </c>
      <c r="L9" s="65">
        <v>45236</v>
      </c>
      <c r="M9" s="65">
        <v>45638</v>
      </c>
      <c r="N9" s="65">
        <v>45638</v>
      </c>
      <c r="O9" s="65">
        <v>45299</v>
      </c>
      <c r="P9" s="101"/>
    </row>
    <row r="10" spans="1:16">
      <c r="A10" s="471"/>
      <c r="B10" s="78" t="s">
        <v>377</v>
      </c>
      <c r="C10" s="73" t="s">
        <v>998</v>
      </c>
      <c r="D10" s="54" t="s">
        <v>998</v>
      </c>
      <c r="E10" s="73" t="s">
        <v>998</v>
      </c>
      <c r="F10" s="54" t="s">
        <v>998</v>
      </c>
      <c r="G10" s="73" t="s">
        <v>998</v>
      </c>
      <c r="H10" s="54" t="s">
        <v>998</v>
      </c>
      <c r="I10" s="73" t="s">
        <v>998</v>
      </c>
      <c r="J10" s="54" t="s">
        <v>998</v>
      </c>
      <c r="K10" s="54" t="s">
        <v>998</v>
      </c>
      <c r="L10" s="54" t="s">
        <v>371</v>
      </c>
      <c r="M10" s="54" t="s">
        <v>371</v>
      </c>
      <c r="N10" s="54" t="s">
        <v>371</v>
      </c>
      <c r="O10" s="54" t="s">
        <v>384</v>
      </c>
      <c r="P10" s="101"/>
    </row>
    <row r="11" spans="1:16" ht="15" customHeight="1">
      <c r="A11" s="485">
        <v>4</v>
      </c>
      <c r="B11" s="489" t="s">
        <v>2</v>
      </c>
      <c r="C11" s="509">
        <v>710</v>
      </c>
      <c r="D11" s="582">
        <v>710</v>
      </c>
      <c r="E11" s="582">
        <v>710</v>
      </c>
      <c r="F11" s="590">
        <v>710</v>
      </c>
      <c r="G11" s="582">
        <v>710</v>
      </c>
      <c r="H11" s="582">
        <v>710</v>
      </c>
      <c r="I11" s="582">
        <v>700</v>
      </c>
      <c r="J11" s="582">
        <v>710</v>
      </c>
      <c r="K11" s="582">
        <v>710</v>
      </c>
      <c r="L11" s="582">
        <v>710</v>
      </c>
      <c r="M11" s="582">
        <v>710</v>
      </c>
      <c r="N11" s="582">
        <v>710</v>
      </c>
      <c r="O11" s="582">
        <v>710</v>
      </c>
      <c r="P11" s="476">
        <f>SUM(C11:O12)</f>
        <v>9220</v>
      </c>
    </row>
    <row r="12" spans="1:16" ht="21" customHeight="1">
      <c r="A12" s="468"/>
      <c r="B12" s="490"/>
      <c r="C12" s="509"/>
      <c r="D12" s="503"/>
      <c r="E12" s="503"/>
      <c r="F12" s="503"/>
      <c r="G12" s="503"/>
      <c r="H12" s="503"/>
      <c r="I12" s="503"/>
      <c r="J12" s="503"/>
      <c r="K12" s="503"/>
      <c r="L12" s="503"/>
      <c r="M12" s="503"/>
      <c r="N12" s="503"/>
      <c r="O12" s="503"/>
      <c r="P12" s="445"/>
    </row>
    <row r="13" spans="1:16">
      <c r="A13" s="468"/>
      <c r="B13" s="81" t="s">
        <v>363</v>
      </c>
      <c r="C13" s="97">
        <v>44974</v>
      </c>
      <c r="D13" s="65">
        <v>45001</v>
      </c>
      <c r="E13" s="65">
        <v>45021</v>
      </c>
      <c r="F13" s="65">
        <v>45051</v>
      </c>
      <c r="G13" s="65">
        <v>45083</v>
      </c>
      <c r="H13" s="65">
        <v>45120</v>
      </c>
      <c r="I13" s="65">
        <v>45139</v>
      </c>
      <c r="J13" s="65">
        <v>45175</v>
      </c>
      <c r="K13" s="65">
        <v>45203</v>
      </c>
      <c r="L13" s="65">
        <v>45240</v>
      </c>
      <c r="M13" s="65">
        <v>45261</v>
      </c>
      <c r="N13" s="65">
        <v>45261</v>
      </c>
      <c r="O13" s="65">
        <v>45295</v>
      </c>
      <c r="P13" s="101"/>
    </row>
    <row r="14" spans="1:16">
      <c r="A14" s="478"/>
      <c r="B14" s="76" t="s">
        <v>377</v>
      </c>
      <c r="C14" s="73" t="s">
        <v>367</v>
      </c>
      <c r="D14" s="54" t="s">
        <v>373</v>
      </c>
      <c r="E14" s="54" t="s">
        <v>368</v>
      </c>
      <c r="F14" s="54" t="s">
        <v>368</v>
      </c>
      <c r="G14" s="54" t="s">
        <v>368</v>
      </c>
      <c r="H14" s="54" t="s">
        <v>368</v>
      </c>
      <c r="I14" s="54" t="s">
        <v>368</v>
      </c>
      <c r="J14" s="54" t="s">
        <v>368</v>
      </c>
      <c r="K14" s="54" t="s">
        <v>386</v>
      </c>
      <c r="L14" s="54" t="s">
        <v>368</v>
      </c>
      <c r="M14" s="54" t="s">
        <v>386</v>
      </c>
      <c r="N14" s="54" t="s">
        <v>386</v>
      </c>
      <c r="O14" s="54" t="s">
        <v>386</v>
      </c>
      <c r="P14" s="101"/>
    </row>
    <row r="15" spans="1:16" ht="15" customHeight="1">
      <c r="A15" s="485">
        <v>5</v>
      </c>
      <c r="B15" s="489" t="s">
        <v>826</v>
      </c>
      <c r="C15" s="509" t="s">
        <v>998</v>
      </c>
      <c r="D15" s="582" t="s">
        <v>998</v>
      </c>
      <c r="E15" s="582" t="s">
        <v>998</v>
      </c>
      <c r="F15" s="590" t="s">
        <v>998</v>
      </c>
      <c r="G15" s="582" t="s">
        <v>998</v>
      </c>
      <c r="H15" s="582" t="s">
        <v>998</v>
      </c>
      <c r="I15" s="582" t="s">
        <v>998</v>
      </c>
      <c r="J15" s="582" t="s">
        <v>998</v>
      </c>
      <c r="K15" s="582" t="s">
        <v>998</v>
      </c>
      <c r="L15" s="582" t="s">
        <v>998</v>
      </c>
      <c r="M15" s="582">
        <v>350</v>
      </c>
      <c r="N15" s="582"/>
      <c r="O15" s="582">
        <v>350</v>
      </c>
      <c r="P15" s="476">
        <f>SUM(C15:O16)</f>
        <v>700</v>
      </c>
    </row>
    <row r="16" spans="1:16" ht="21" customHeight="1">
      <c r="A16" s="468"/>
      <c r="B16" s="490"/>
      <c r="C16" s="509"/>
      <c r="D16" s="503"/>
      <c r="E16" s="503"/>
      <c r="F16" s="503"/>
      <c r="G16" s="503"/>
      <c r="H16" s="503"/>
      <c r="I16" s="503"/>
      <c r="J16" s="503"/>
      <c r="K16" s="503"/>
      <c r="L16" s="503"/>
      <c r="M16" s="503"/>
      <c r="N16" s="503"/>
      <c r="O16" s="503"/>
      <c r="P16" s="445"/>
    </row>
    <row r="17" spans="1:16">
      <c r="A17" s="468"/>
      <c r="B17" s="81" t="s">
        <v>363</v>
      </c>
      <c r="C17" s="97" t="s">
        <v>998</v>
      </c>
      <c r="D17" s="65" t="s">
        <v>998</v>
      </c>
      <c r="E17" s="65" t="s">
        <v>998</v>
      </c>
      <c r="F17" s="65" t="s">
        <v>998</v>
      </c>
      <c r="G17" s="65" t="s">
        <v>998</v>
      </c>
      <c r="H17" s="65" t="s">
        <v>998</v>
      </c>
      <c r="I17" s="65" t="s">
        <v>998</v>
      </c>
      <c r="J17" s="65" t="s">
        <v>998</v>
      </c>
      <c r="K17" s="65" t="s">
        <v>998</v>
      </c>
      <c r="L17" s="65" t="s">
        <v>998</v>
      </c>
      <c r="M17" s="65">
        <v>45243</v>
      </c>
      <c r="N17" s="65"/>
      <c r="O17" s="65">
        <v>45271</v>
      </c>
      <c r="P17" s="101"/>
    </row>
    <row r="18" spans="1:16">
      <c r="A18" s="478"/>
      <c r="B18" s="76" t="s">
        <v>377</v>
      </c>
      <c r="C18" s="73" t="s">
        <v>998</v>
      </c>
      <c r="D18" s="54" t="s">
        <v>998</v>
      </c>
      <c r="E18" s="54" t="s">
        <v>998</v>
      </c>
      <c r="F18" s="54" t="s">
        <v>998</v>
      </c>
      <c r="G18" s="54" t="s">
        <v>998</v>
      </c>
      <c r="H18" s="54" t="s">
        <v>998</v>
      </c>
      <c r="I18" s="54" t="s">
        <v>998</v>
      </c>
      <c r="J18" s="54" t="s">
        <v>998</v>
      </c>
      <c r="K18" s="54" t="s">
        <v>998</v>
      </c>
      <c r="L18" s="54" t="s">
        <v>998</v>
      </c>
      <c r="M18" s="54" t="s">
        <v>384</v>
      </c>
      <c r="N18" s="54"/>
      <c r="O18" s="54" t="s">
        <v>386</v>
      </c>
      <c r="P18" s="101"/>
    </row>
    <row r="19" spans="1:16" ht="15" customHeight="1">
      <c r="A19" s="485">
        <v>6</v>
      </c>
      <c r="B19" s="489" t="s">
        <v>311</v>
      </c>
      <c r="C19" s="479">
        <v>565</v>
      </c>
      <c r="D19" s="481">
        <v>565</v>
      </c>
      <c r="E19" s="481">
        <v>565</v>
      </c>
      <c r="F19" s="481">
        <v>565</v>
      </c>
      <c r="G19" s="500">
        <v>565</v>
      </c>
      <c r="H19" s="481">
        <v>565</v>
      </c>
      <c r="I19" s="481">
        <v>565</v>
      </c>
      <c r="J19" s="481">
        <v>565</v>
      </c>
      <c r="K19" s="481">
        <v>565</v>
      </c>
      <c r="L19" s="481">
        <v>565</v>
      </c>
      <c r="M19" s="481">
        <v>565</v>
      </c>
      <c r="N19" s="481">
        <v>565</v>
      </c>
      <c r="O19" s="481">
        <v>565</v>
      </c>
      <c r="P19" s="476">
        <f>SUM(C19:O20)</f>
        <v>7345</v>
      </c>
    </row>
    <row r="20" spans="1:16">
      <c r="A20" s="468"/>
      <c r="B20" s="490"/>
      <c r="C20" s="480"/>
      <c r="D20" s="482"/>
      <c r="E20" s="482"/>
      <c r="F20" s="482"/>
      <c r="G20" s="482"/>
      <c r="H20" s="482"/>
      <c r="I20" s="482"/>
      <c r="J20" s="482"/>
      <c r="K20" s="482"/>
      <c r="L20" s="482"/>
      <c r="M20" s="482"/>
      <c r="N20" s="482"/>
      <c r="O20" s="482"/>
      <c r="P20" s="445"/>
    </row>
    <row r="21" spans="1:16">
      <c r="A21" s="468"/>
      <c r="B21" s="81" t="s">
        <v>363</v>
      </c>
      <c r="C21" s="97">
        <v>44964</v>
      </c>
      <c r="D21" s="65">
        <v>44995</v>
      </c>
      <c r="E21" s="65">
        <v>45026</v>
      </c>
      <c r="F21" s="65">
        <v>45057</v>
      </c>
      <c r="G21" s="65">
        <v>45089</v>
      </c>
      <c r="H21" s="65">
        <v>45117</v>
      </c>
      <c r="I21" s="65">
        <v>45148</v>
      </c>
      <c r="J21" s="65">
        <v>45180</v>
      </c>
      <c r="K21" s="65">
        <v>45209</v>
      </c>
      <c r="L21" s="65">
        <v>45240</v>
      </c>
      <c r="M21" s="65">
        <v>45271</v>
      </c>
      <c r="N21" s="65">
        <v>45282</v>
      </c>
      <c r="O21" s="65">
        <v>45301</v>
      </c>
      <c r="P21" s="101"/>
    </row>
    <row r="22" spans="1:16">
      <c r="A22" s="478"/>
      <c r="B22" s="76" t="s">
        <v>377</v>
      </c>
      <c r="C22" s="73" t="s">
        <v>371</v>
      </c>
      <c r="D22" s="54" t="s">
        <v>384</v>
      </c>
      <c r="E22" s="54" t="s">
        <v>371</v>
      </c>
      <c r="F22" s="54" t="s">
        <v>384</v>
      </c>
      <c r="G22" s="54" t="s">
        <v>384</v>
      </c>
      <c r="H22" s="54" t="s">
        <v>373</v>
      </c>
      <c r="I22" s="54" t="s">
        <v>373</v>
      </c>
      <c r="J22" s="54" t="s">
        <v>373</v>
      </c>
      <c r="K22" s="54" t="s">
        <v>373</v>
      </c>
      <c r="L22" s="54" t="s">
        <v>384</v>
      </c>
      <c r="M22" s="54" t="s">
        <v>371</v>
      </c>
      <c r="N22" s="54" t="s">
        <v>384</v>
      </c>
      <c r="O22" s="54" t="s">
        <v>384</v>
      </c>
      <c r="P22" s="101"/>
    </row>
    <row r="23" spans="1:16" ht="25.5" customHeight="1">
      <c r="A23" s="485">
        <v>7</v>
      </c>
      <c r="B23" s="489" t="s">
        <v>7</v>
      </c>
      <c r="C23" s="479">
        <v>915</v>
      </c>
      <c r="D23" s="481">
        <v>915</v>
      </c>
      <c r="E23" s="481">
        <v>915</v>
      </c>
      <c r="F23" s="481">
        <v>915</v>
      </c>
      <c r="G23" s="481">
        <v>915</v>
      </c>
      <c r="H23" s="481">
        <v>915</v>
      </c>
      <c r="I23" s="481">
        <v>915</v>
      </c>
      <c r="J23" s="481">
        <v>915</v>
      </c>
      <c r="K23" s="481">
        <v>915</v>
      </c>
      <c r="L23" s="481">
        <v>915</v>
      </c>
      <c r="M23" s="481">
        <v>915</v>
      </c>
      <c r="N23" s="481">
        <v>915</v>
      </c>
      <c r="O23" s="481">
        <v>915</v>
      </c>
      <c r="P23" s="476">
        <f>SUM(C23:O24)</f>
        <v>11895</v>
      </c>
    </row>
    <row r="24" spans="1:16">
      <c r="A24" s="468"/>
      <c r="B24" s="490"/>
      <c r="C24" s="480"/>
      <c r="D24" s="482"/>
      <c r="E24" s="482"/>
      <c r="F24" s="482"/>
      <c r="G24" s="482"/>
      <c r="H24" s="482"/>
      <c r="I24" s="482"/>
      <c r="J24" s="482"/>
      <c r="K24" s="482"/>
      <c r="L24" s="482"/>
      <c r="M24" s="482"/>
      <c r="N24" s="482"/>
      <c r="O24" s="482"/>
      <c r="P24" s="445"/>
    </row>
    <row r="25" spans="1:16">
      <c r="A25" s="468"/>
      <c r="B25" s="76" t="s">
        <v>363</v>
      </c>
      <c r="C25" s="97">
        <v>44966</v>
      </c>
      <c r="D25" s="65">
        <v>44992</v>
      </c>
      <c r="E25" s="65">
        <v>45021</v>
      </c>
      <c r="F25" s="65">
        <v>45050</v>
      </c>
      <c r="G25" s="65">
        <v>45090</v>
      </c>
      <c r="H25" s="65">
        <v>45114</v>
      </c>
      <c r="I25" s="65">
        <v>45142</v>
      </c>
      <c r="J25" s="65">
        <v>45191</v>
      </c>
      <c r="K25" s="65">
        <v>45208</v>
      </c>
      <c r="L25" s="65">
        <v>45239</v>
      </c>
      <c r="M25" s="65">
        <v>45640</v>
      </c>
      <c r="N25" s="65">
        <v>45640</v>
      </c>
      <c r="O25" s="65">
        <v>45301</v>
      </c>
      <c r="P25" s="101"/>
    </row>
    <row r="26" spans="1:16">
      <c r="A26" s="501"/>
      <c r="B26" s="79" t="s">
        <v>377</v>
      </c>
      <c r="C26" s="73" t="s">
        <v>367</v>
      </c>
      <c r="D26" s="54" t="s">
        <v>368</v>
      </c>
      <c r="E26" s="54" t="s">
        <v>368</v>
      </c>
      <c r="F26" s="54" t="s">
        <v>368</v>
      </c>
      <c r="G26" s="54" t="s">
        <v>368</v>
      </c>
      <c r="H26" s="54" t="s">
        <v>368</v>
      </c>
      <c r="I26" s="54" t="s">
        <v>368</v>
      </c>
      <c r="J26" s="54" t="s">
        <v>368</v>
      </c>
      <c r="K26" s="54" t="s">
        <v>386</v>
      </c>
      <c r="L26" s="54" t="s">
        <v>368</v>
      </c>
      <c r="M26" s="54" t="s">
        <v>386</v>
      </c>
      <c r="N26" s="54" t="s">
        <v>386</v>
      </c>
      <c r="O26" s="54" t="s">
        <v>386</v>
      </c>
      <c r="P26" s="101"/>
    </row>
    <row r="27" spans="1:16" ht="15" customHeight="1">
      <c r="A27" s="467">
        <v>8</v>
      </c>
      <c r="B27" s="489" t="s">
        <v>312</v>
      </c>
      <c r="C27" s="479">
        <v>540</v>
      </c>
      <c r="D27" s="481">
        <v>540</v>
      </c>
      <c r="E27" s="481">
        <v>540</v>
      </c>
      <c r="F27" s="481">
        <v>540</v>
      </c>
      <c r="G27" s="481">
        <v>540</v>
      </c>
      <c r="H27" s="481">
        <v>540</v>
      </c>
      <c r="I27" s="481">
        <v>540</v>
      </c>
      <c r="J27" s="481">
        <v>540</v>
      </c>
      <c r="K27" s="481">
        <v>540</v>
      </c>
      <c r="L27" s="481">
        <v>540</v>
      </c>
      <c r="M27" s="481">
        <v>540</v>
      </c>
      <c r="N27" s="482"/>
      <c r="O27" s="481">
        <v>540</v>
      </c>
      <c r="P27" s="476">
        <f>SUM(C27:O28)</f>
        <v>6480</v>
      </c>
    </row>
    <row r="28" spans="1:16">
      <c r="A28" s="468"/>
      <c r="B28" s="490"/>
      <c r="C28" s="480"/>
      <c r="D28" s="482"/>
      <c r="E28" s="482"/>
      <c r="F28" s="482"/>
      <c r="G28" s="482"/>
      <c r="H28" s="482"/>
      <c r="I28" s="482"/>
      <c r="J28" s="482"/>
      <c r="K28" s="482"/>
      <c r="L28" s="482"/>
      <c r="M28" s="482"/>
      <c r="N28" s="482"/>
      <c r="O28" s="482"/>
      <c r="P28" s="445"/>
    </row>
    <row r="29" spans="1:16">
      <c r="A29" s="468"/>
      <c r="B29" s="81" t="s">
        <v>363</v>
      </c>
      <c r="C29" s="97">
        <v>44987</v>
      </c>
      <c r="D29" s="65">
        <v>45016</v>
      </c>
      <c r="E29" s="65">
        <v>45044</v>
      </c>
      <c r="F29" s="65">
        <v>45076</v>
      </c>
      <c r="G29" s="65">
        <v>45104</v>
      </c>
      <c r="H29" s="65">
        <v>45140</v>
      </c>
      <c r="I29" s="65">
        <v>45169</v>
      </c>
      <c r="J29" s="65">
        <v>45197</v>
      </c>
      <c r="K29" s="65">
        <v>45230</v>
      </c>
      <c r="L29" s="65">
        <v>45264</v>
      </c>
      <c r="M29" s="65">
        <v>45320</v>
      </c>
      <c r="N29" s="54"/>
      <c r="O29" s="65">
        <v>45348</v>
      </c>
      <c r="P29" s="101"/>
    </row>
    <row r="30" spans="1:16">
      <c r="A30" s="501"/>
      <c r="B30" s="76" t="s">
        <v>377</v>
      </c>
      <c r="C30" s="73" t="s">
        <v>367</v>
      </c>
      <c r="D30" s="54" t="s">
        <v>368</v>
      </c>
      <c r="E30" s="54" t="s">
        <v>368</v>
      </c>
      <c r="F30" s="54" t="s">
        <v>368</v>
      </c>
      <c r="G30" s="54" t="s">
        <v>368</v>
      </c>
      <c r="H30" s="54" t="s">
        <v>368</v>
      </c>
      <c r="I30" s="54" t="s">
        <v>368</v>
      </c>
      <c r="J30" s="54" t="s">
        <v>368</v>
      </c>
      <c r="K30" s="54" t="s">
        <v>386</v>
      </c>
      <c r="L30" s="54" t="s">
        <v>368</v>
      </c>
      <c r="M30" s="54" t="s">
        <v>386</v>
      </c>
      <c r="N30" s="54"/>
      <c r="O30" s="54" t="s">
        <v>386</v>
      </c>
      <c r="P30" s="101"/>
    </row>
    <row r="31" spans="1:16" ht="25.5" customHeight="1">
      <c r="A31" s="467">
        <v>9</v>
      </c>
      <c r="B31" s="489" t="s">
        <v>164</v>
      </c>
      <c r="C31" s="472">
        <v>925</v>
      </c>
      <c r="D31" s="481">
        <v>925</v>
      </c>
      <c r="E31" s="481">
        <v>925</v>
      </c>
      <c r="F31" s="481">
        <v>925</v>
      </c>
      <c r="G31" s="481">
        <v>925</v>
      </c>
      <c r="H31" s="481">
        <v>925</v>
      </c>
      <c r="I31" s="481">
        <v>925</v>
      </c>
      <c r="J31" s="481">
        <v>925</v>
      </c>
      <c r="K31" s="481">
        <v>925</v>
      </c>
      <c r="L31" s="481">
        <v>925</v>
      </c>
      <c r="M31" s="481">
        <v>925</v>
      </c>
      <c r="N31" s="482"/>
      <c r="O31" s="481">
        <v>925</v>
      </c>
      <c r="P31" s="476">
        <f>SUM(C31:O32)</f>
        <v>11100</v>
      </c>
    </row>
    <row r="32" spans="1:16">
      <c r="A32" s="468"/>
      <c r="B32" s="490"/>
      <c r="C32" s="472"/>
      <c r="D32" s="482"/>
      <c r="E32" s="482"/>
      <c r="F32" s="482"/>
      <c r="G32" s="482"/>
      <c r="H32" s="482"/>
      <c r="I32" s="482"/>
      <c r="J32" s="482"/>
      <c r="K32" s="482"/>
      <c r="L32" s="482"/>
      <c r="M32" s="482"/>
      <c r="N32" s="482"/>
      <c r="O32" s="482"/>
      <c r="P32" s="445"/>
    </row>
    <row r="33" spans="1:16">
      <c r="A33" s="468"/>
      <c r="B33" s="81" t="s">
        <v>363</v>
      </c>
      <c r="C33" s="97">
        <v>44974</v>
      </c>
      <c r="D33" s="65">
        <v>44998</v>
      </c>
      <c r="E33" s="65">
        <v>45034</v>
      </c>
      <c r="F33" s="65">
        <v>45065</v>
      </c>
      <c r="G33" s="65">
        <v>45093</v>
      </c>
      <c r="H33" s="65">
        <v>45121</v>
      </c>
      <c r="I33" s="65">
        <v>45167</v>
      </c>
      <c r="J33" s="65">
        <v>45190</v>
      </c>
      <c r="K33" s="65">
        <v>45224</v>
      </c>
      <c r="L33" s="65">
        <v>45257</v>
      </c>
      <c r="M33" s="65">
        <v>45647</v>
      </c>
      <c r="N33" s="54"/>
      <c r="O33" s="65">
        <v>45314</v>
      </c>
      <c r="P33" s="101"/>
    </row>
    <row r="34" spans="1:16">
      <c r="A34" s="501"/>
      <c r="B34" s="76" t="s">
        <v>377</v>
      </c>
      <c r="C34" s="73" t="s">
        <v>367</v>
      </c>
      <c r="D34" s="54" t="s">
        <v>368</v>
      </c>
      <c r="E34" s="54" t="s">
        <v>368</v>
      </c>
      <c r="F34" s="54" t="s">
        <v>368</v>
      </c>
      <c r="G34" s="54" t="s">
        <v>368</v>
      </c>
      <c r="H34" s="54" t="s">
        <v>368</v>
      </c>
      <c r="I34" s="54" t="s">
        <v>368</v>
      </c>
      <c r="J34" s="54" t="s">
        <v>368</v>
      </c>
      <c r="K34" s="54" t="s">
        <v>386</v>
      </c>
      <c r="L34" s="54" t="s">
        <v>368</v>
      </c>
      <c r="M34" s="54" t="s">
        <v>386</v>
      </c>
      <c r="N34" s="54"/>
      <c r="O34" s="54" t="s">
        <v>386</v>
      </c>
      <c r="P34" s="101"/>
    </row>
    <row r="35" spans="1:16" ht="25.5" customHeight="1">
      <c r="A35" s="467">
        <v>10</v>
      </c>
      <c r="B35" s="489" t="s">
        <v>9</v>
      </c>
      <c r="C35" s="480"/>
      <c r="D35" s="482"/>
      <c r="E35" s="482"/>
      <c r="F35" s="482"/>
      <c r="G35" s="482"/>
      <c r="H35" s="482"/>
      <c r="I35" s="482"/>
      <c r="J35" s="482"/>
      <c r="K35" s="482"/>
      <c r="L35" s="482"/>
      <c r="M35" s="482"/>
      <c r="N35" s="482"/>
      <c r="O35" s="491"/>
      <c r="P35" s="476">
        <f>SUM(C35:O36)</f>
        <v>0</v>
      </c>
    </row>
    <row r="36" spans="1:16">
      <c r="A36" s="468"/>
      <c r="B36" s="490"/>
      <c r="C36" s="480"/>
      <c r="D36" s="482"/>
      <c r="E36" s="482"/>
      <c r="F36" s="482"/>
      <c r="G36" s="482"/>
      <c r="H36" s="482"/>
      <c r="I36" s="482"/>
      <c r="J36" s="482"/>
      <c r="K36" s="482"/>
      <c r="L36" s="482"/>
      <c r="M36" s="482"/>
      <c r="N36" s="482"/>
      <c r="O36" s="492"/>
      <c r="P36" s="445"/>
    </row>
    <row r="37" spans="1:16">
      <c r="A37" s="468"/>
      <c r="B37" s="81" t="s">
        <v>363</v>
      </c>
      <c r="C37" s="73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101"/>
    </row>
    <row r="38" spans="1:16" ht="15.75" thickBot="1">
      <c r="A38" s="501"/>
      <c r="B38" s="76" t="s">
        <v>377</v>
      </c>
      <c r="C38" s="73"/>
      <c r="D38" s="54"/>
      <c r="E38" s="54"/>
      <c r="F38" s="54"/>
      <c r="G38" s="54"/>
      <c r="H38" s="54"/>
      <c r="I38" s="54"/>
      <c r="J38" s="54"/>
      <c r="K38" s="54"/>
      <c r="L38" s="118"/>
      <c r="M38" s="54"/>
      <c r="N38" s="54"/>
      <c r="O38" s="54"/>
      <c r="P38" s="101"/>
    </row>
    <row r="39" spans="1:16" ht="25.5" customHeight="1" thickTop="1">
      <c r="A39" s="467">
        <v>12</v>
      </c>
      <c r="B39" s="489" t="s">
        <v>1225</v>
      </c>
      <c r="C39" s="480" t="s">
        <v>998</v>
      </c>
      <c r="D39" s="482" t="s">
        <v>998</v>
      </c>
      <c r="E39" s="482" t="s">
        <v>998</v>
      </c>
      <c r="F39" s="482" t="s">
        <v>998</v>
      </c>
      <c r="G39" s="482" t="s">
        <v>998</v>
      </c>
      <c r="H39" s="482" t="s">
        <v>998</v>
      </c>
      <c r="I39" s="482" t="s">
        <v>998</v>
      </c>
      <c r="J39" s="482" t="s">
        <v>998</v>
      </c>
      <c r="K39" s="538" t="s">
        <v>998</v>
      </c>
      <c r="L39" s="575">
        <v>350</v>
      </c>
      <c r="M39" s="480"/>
      <c r="N39" s="482"/>
      <c r="O39" s="491"/>
      <c r="P39" s="476">
        <f>SUM(C39:O40)</f>
        <v>350</v>
      </c>
    </row>
    <row r="40" spans="1:16" ht="15.75" thickBot="1">
      <c r="A40" s="468"/>
      <c r="B40" s="490"/>
      <c r="C40" s="480"/>
      <c r="D40" s="482"/>
      <c r="E40" s="482"/>
      <c r="F40" s="482"/>
      <c r="G40" s="482"/>
      <c r="H40" s="482"/>
      <c r="I40" s="482"/>
      <c r="J40" s="482"/>
      <c r="K40" s="538"/>
      <c r="L40" s="576"/>
      <c r="M40" s="480"/>
      <c r="N40" s="482"/>
      <c r="O40" s="492"/>
      <c r="P40" s="445"/>
    </row>
    <row r="41" spans="1:16" ht="15.75" thickTop="1">
      <c r="A41" s="468"/>
      <c r="B41" s="81" t="s">
        <v>363</v>
      </c>
      <c r="C41" s="73" t="s">
        <v>998</v>
      </c>
      <c r="D41" s="54" t="s">
        <v>998</v>
      </c>
      <c r="E41" s="54" t="s">
        <v>998</v>
      </c>
      <c r="F41" s="54" t="s">
        <v>998</v>
      </c>
      <c r="G41" s="54" t="s">
        <v>998</v>
      </c>
      <c r="H41" s="54" t="s">
        <v>998</v>
      </c>
      <c r="I41" s="54" t="s">
        <v>998</v>
      </c>
      <c r="J41" s="54" t="s">
        <v>998</v>
      </c>
      <c r="K41" s="54" t="s">
        <v>998</v>
      </c>
      <c r="L41" s="105">
        <v>45257</v>
      </c>
      <c r="M41" s="54"/>
      <c r="N41" s="54"/>
      <c r="O41" s="54"/>
      <c r="P41" s="101"/>
    </row>
    <row r="42" spans="1:16">
      <c r="A42" s="501"/>
      <c r="B42" s="76" t="s">
        <v>377</v>
      </c>
      <c r="C42" s="73" t="s">
        <v>998</v>
      </c>
      <c r="D42" s="54" t="s">
        <v>998</v>
      </c>
      <c r="E42" s="54" t="s">
        <v>998</v>
      </c>
      <c r="F42" s="54" t="s">
        <v>998</v>
      </c>
      <c r="G42" s="54" t="s">
        <v>998</v>
      </c>
      <c r="H42" s="54" t="s">
        <v>998</v>
      </c>
      <c r="I42" s="54" t="s">
        <v>998</v>
      </c>
      <c r="J42" s="54" t="s">
        <v>998</v>
      </c>
      <c r="K42" s="54" t="s">
        <v>998</v>
      </c>
      <c r="L42" s="54" t="s">
        <v>371</v>
      </c>
      <c r="M42" s="54"/>
      <c r="N42" s="54"/>
      <c r="O42" s="54"/>
      <c r="P42" s="101"/>
    </row>
    <row r="43" spans="1:16" ht="15" customHeight="1">
      <c r="A43" s="467">
        <v>13</v>
      </c>
      <c r="B43" s="489" t="s">
        <v>313</v>
      </c>
      <c r="C43" s="479">
        <v>705</v>
      </c>
      <c r="D43" s="481">
        <v>705</v>
      </c>
      <c r="E43" s="481">
        <v>705</v>
      </c>
      <c r="F43" s="481">
        <v>705</v>
      </c>
      <c r="G43" s="481">
        <v>705</v>
      </c>
      <c r="H43" s="482" t="s">
        <v>998</v>
      </c>
      <c r="I43" s="482" t="s">
        <v>998</v>
      </c>
      <c r="J43" s="482" t="s">
        <v>998</v>
      </c>
      <c r="K43" s="482" t="s">
        <v>998</v>
      </c>
      <c r="L43" s="482" t="s">
        <v>998</v>
      </c>
      <c r="M43" s="482" t="s">
        <v>998</v>
      </c>
      <c r="N43" s="482" t="s">
        <v>998</v>
      </c>
      <c r="O43" s="482" t="s">
        <v>998</v>
      </c>
      <c r="P43" s="476">
        <f>SUM(C43:O44)</f>
        <v>3525</v>
      </c>
    </row>
    <row r="44" spans="1:16">
      <c r="A44" s="468"/>
      <c r="B44" s="490"/>
      <c r="C44" s="480"/>
      <c r="D44" s="482"/>
      <c r="E44" s="482"/>
      <c r="F44" s="482"/>
      <c r="G44" s="482"/>
      <c r="H44" s="482"/>
      <c r="I44" s="482"/>
      <c r="J44" s="482"/>
      <c r="K44" s="482"/>
      <c r="L44" s="482"/>
      <c r="M44" s="482"/>
      <c r="N44" s="482"/>
      <c r="O44" s="482"/>
      <c r="P44" s="445"/>
    </row>
    <row r="45" spans="1:16">
      <c r="A45" s="468"/>
      <c r="B45" s="81" t="s">
        <v>363</v>
      </c>
      <c r="C45" s="97">
        <v>44965</v>
      </c>
      <c r="D45" s="65">
        <v>44992</v>
      </c>
      <c r="E45" s="65">
        <v>45022</v>
      </c>
      <c r="F45" s="65">
        <v>45054</v>
      </c>
      <c r="G45" s="65">
        <v>45089</v>
      </c>
      <c r="H45" s="54" t="s">
        <v>998</v>
      </c>
      <c r="I45" s="54" t="s">
        <v>998</v>
      </c>
      <c r="J45" s="54" t="s">
        <v>998</v>
      </c>
      <c r="K45" s="54" t="s">
        <v>998</v>
      </c>
      <c r="L45" s="54" t="s">
        <v>998</v>
      </c>
      <c r="M45" s="54" t="s">
        <v>998</v>
      </c>
      <c r="N45" s="54" t="s">
        <v>998</v>
      </c>
      <c r="O45" s="54" t="s">
        <v>998</v>
      </c>
      <c r="P45" s="101"/>
    </row>
    <row r="46" spans="1:16">
      <c r="A46" s="501"/>
      <c r="B46" s="76" t="s">
        <v>377</v>
      </c>
      <c r="C46" s="73" t="s">
        <v>367</v>
      </c>
      <c r="D46" s="54" t="s">
        <v>368</v>
      </c>
      <c r="E46" s="54" t="s">
        <v>368</v>
      </c>
      <c r="F46" s="54" t="s">
        <v>368</v>
      </c>
      <c r="G46" s="54" t="s">
        <v>368</v>
      </c>
      <c r="H46" s="54" t="s">
        <v>998</v>
      </c>
      <c r="I46" s="54" t="s">
        <v>998</v>
      </c>
      <c r="J46" s="54" t="s">
        <v>998</v>
      </c>
      <c r="K46" s="54" t="s">
        <v>998</v>
      </c>
      <c r="L46" s="54" t="s">
        <v>998</v>
      </c>
      <c r="M46" s="54" t="s">
        <v>998</v>
      </c>
      <c r="N46" s="54" t="s">
        <v>998</v>
      </c>
      <c r="O46" s="54" t="s">
        <v>998</v>
      </c>
      <c r="P46" s="101"/>
    </row>
    <row r="47" spans="1:16" ht="25.5" customHeight="1">
      <c r="A47" s="467">
        <v>16</v>
      </c>
      <c r="B47" s="489" t="s">
        <v>11</v>
      </c>
      <c r="C47" s="480"/>
      <c r="D47" s="482"/>
      <c r="E47" s="482"/>
      <c r="F47" s="482"/>
      <c r="G47" s="482"/>
      <c r="H47" s="482"/>
      <c r="I47" s="482"/>
      <c r="J47" s="481">
        <v>690</v>
      </c>
      <c r="K47" s="481">
        <v>690</v>
      </c>
      <c r="L47" s="482"/>
      <c r="M47" s="481">
        <v>690</v>
      </c>
      <c r="N47" s="482"/>
      <c r="O47" s="491"/>
      <c r="P47" s="476">
        <f>SUM(C47:O48)</f>
        <v>2070</v>
      </c>
    </row>
    <row r="48" spans="1:16">
      <c r="A48" s="468"/>
      <c r="B48" s="490"/>
      <c r="C48" s="480"/>
      <c r="D48" s="482"/>
      <c r="E48" s="482"/>
      <c r="F48" s="482"/>
      <c r="G48" s="482"/>
      <c r="H48" s="482"/>
      <c r="I48" s="482"/>
      <c r="J48" s="482"/>
      <c r="K48" s="482"/>
      <c r="L48" s="482"/>
      <c r="M48" s="482"/>
      <c r="N48" s="482"/>
      <c r="O48" s="492"/>
      <c r="P48" s="445"/>
    </row>
    <row r="49" spans="1:16">
      <c r="A49" s="468"/>
      <c r="B49" s="76" t="s">
        <v>363</v>
      </c>
      <c r="C49" s="73"/>
      <c r="D49" s="54"/>
      <c r="E49" s="54"/>
      <c r="F49" s="54"/>
      <c r="G49" s="54"/>
      <c r="H49" s="54"/>
      <c r="I49" s="54"/>
      <c r="J49" s="65">
        <v>45182</v>
      </c>
      <c r="K49" s="65">
        <v>45218</v>
      </c>
      <c r="L49" s="54"/>
      <c r="M49" s="65">
        <v>45640</v>
      </c>
      <c r="N49" s="54"/>
      <c r="O49" s="54"/>
      <c r="P49" s="101"/>
    </row>
    <row r="50" spans="1:16">
      <c r="A50" s="501"/>
      <c r="B50" s="79" t="s">
        <v>377</v>
      </c>
      <c r="C50" s="73"/>
      <c r="D50" s="54"/>
      <c r="E50" s="54"/>
      <c r="F50" s="54"/>
      <c r="G50" s="54"/>
      <c r="H50" s="54"/>
      <c r="I50" s="54"/>
      <c r="J50" s="54" t="s">
        <v>368</v>
      </c>
      <c r="K50" s="54" t="s">
        <v>386</v>
      </c>
      <c r="L50" s="54"/>
      <c r="M50" s="54" t="s">
        <v>386</v>
      </c>
      <c r="N50" s="54"/>
      <c r="O50" s="54"/>
      <c r="P50" s="101"/>
    </row>
    <row r="51" spans="1:16" ht="15" customHeight="1">
      <c r="A51" s="467">
        <v>17</v>
      </c>
      <c r="B51" s="489" t="s">
        <v>315</v>
      </c>
      <c r="C51" s="479">
        <v>535</v>
      </c>
      <c r="D51" s="481">
        <v>535</v>
      </c>
      <c r="E51" s="481">
        <v>535</v>
      </c>
      <c r="F51" s="481">
        <v>535</v>
      </c>
      <c r="G51" s="481">
        <v>535</v>
      </c>
      <c r="H51" s="481">
        <v>535</v>
      </c>
      <c r="I51" s="481">
        <v>535</v>
      </c>
      <c r="J51" s="481">
        <v>535</v>
      </c>
      <c r="K51" s="481">
        <v>535</v>
      </c>
      <c r="L51" s="481">
        <v>535</v>
      </c>
      <c r="M51" s="481">
        <v>535</v>
      </c>
      <c r="N51" s="481">
        <v>535</v>
      </c>
      <c r="O51" s="481">
        <v>535</v>
      </c>
      <c r="P51" s="476">
        <f>SUM(C51:O52)</f>
        <v>6955</v>
      </c>
    </row>
    <row r="52" spans="1:16">
      <c r="A52" s="468"/>
      <c r="B52" s="490"/>
      <c r="C52" s="480"/>
      <c r="D52" s="482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82"/>
      <c r="P52" s="445"/>
    </row>
    <row r="53" spans="1:16">
      <c r="A53" s="468"/>
      <c r="B53" s="81" t="s">
        <v>363</v>
      </c>
      <c r="C53" s="97">
        <v>44967</v>
      </c>
      <c r="D53" s="65">
        <v>44992</v>
      </c>
      <c r="E53" s="65">
        <v>45027</v>
      </c>
      <c r="F53" s="65">
        <v>45055</v>
      </c>
      <c r="G53" s="65">
        <v>45090</v>
      </c>
      <c r="H53" s="65">
        <v>45114</v>
      </c>
      <c r="I53" s="65">
        <v>45148</v>
      </c>
      <c r="J53" s="65">
        <v>45181</v>
      </c>
      <c r="K53" s="65">
        <v>45208</v>
      </c>
      <c r="L53" s="65">
        <v>45238</v>
      </c>
      <c r="M53" s="65">
        <v>45268</v>
      </c>
      <c r="N53" s="65">
        <v>45268</v>
      </c>
      <c r="O53" s="65">
        <v>45310</v>
      </c>
      <c r="P53" s="101"/>
    </row>
    <row r="54" spans="1:16">
      <c r="A54" s="501"/>
      <c r="B54" s="76" t="s">
        <v>377</v>
      </c>
      <c r="C54" s="73" t="s">
        <v>367</v>
      </c>
      <c r="D54" s="54" t="s">
        <v>368</v>
      </c>
      <c r="E54" s="54" t="s">
        <v>368</v>
      </c>
      <c r="F54" s="54" t="s">
        <v>368</v>
      </c>
      <c r="G54" s="54" t="s">
        <v>368</v>
      </c>
      <c r="H54" s="54" t="s">
        <v>368</v>
      </c>
      <c r="I54" s="54" t="s">
        <v>368</v>
      </c>
      <c r="J54" s="54" t="s">
        <v>368</v>
      </c>
      <c r="K54" s="54" t="s">
        <v>386</v>
      </c>
      <c r="L54" s="54" t="s">
        <v>368</v>
      </c>
      <c r="M54" s="54" t="s">
        <v>386</v>
      </c>
      <c r="N54" s="54" t="s">
        <v>386</v>
      </c>
      <c r="O54" s="54" t="s">
        <v>386</v>
      </c>
      <c r="P54" s="101"/>
    </row>
    <row r="55" spans="1:16" ht="15" customHeight="1">
      <c r="A55" s="467">
        <v>18</v>
      </c>
      <c r="B55" s="489" t="s">
        <v>314</v>
      </c>
      <c r="C55" s="479">
        <v>690</v>
      </c>
      <c r="D55" s="481">
        <v>680</v>
      </c>
      <c r="E55" s="481">
        <v>680</v>
      </c>
      <c r="F55" s="482">
        <v>690</v>
      </c>
      <c r="G55" s="481">
        <v>690</v>
      </c>
      <c r="H55" s="481">
        <v>690</v>
      </c>
      <c r="I55" s="481">
        <v>690</v>
      </c>
      <c r="J55" s="481">
        <v>690</v>
      </c>
      <c r="K55" s="481">
        <v>690</v>
      </c>
      <c r="L55" s="482"/>
      <c r="M55" s="482"/>
      <c r="N55" s="482"/>
      <c r="O55" s="481">
        <v>690</v>
      </c>
      <c r="P55" s="476">
        <f>SUM(C55:O56)</f>
        <v>6880</v>
      </c>
    </row>
    <row r="56" spans="1:16">
      <c r="A56" s="468"/>
      <c r="B56" s="490"/>
      <c r="C56" s="480"/>
      <c r="D56" s="482"/>
      <c r="E56" s="482"/>
      <c r="F56" s="482"/>
      <c r="G56" s="482"/>
      <c r="H56" s="482"/>
      <c r="I56" s="482"/>
      <c r="J56" s="482"/>
      <c r="K56" s="482"/>
      <c r="L56" s="482"/>
      <c r="M56" s="482"/>
      <c r="N56" s="482"/>
      <c r="O56" s="482"/>
      <c r="P56" s="445"/>
    </row>
    <row r="57" spans="1:16">
      <c r="A57" s="468"/>
      <c r="B57" s="76" t="s">
        <v>363</v>
      </c>
      <c r="C57" s="97">
        <v>44958</v>
      </c>
      <c r="D57" s="65">
        <v>44991</v>
      </c>
      <c r="E57" s="65">
        <v>45026</v>
      </c>
      <c r="F57" s="54" t="s">
        <v>1305</v>
      </c>
      <c r="G57" s="65">
        <v>45084</v>
      </c>
      <c r="H57" s="65">
        <v>45112</v>
      </c>
      <c r="I57" s="65">
        <v>45173</v>
      </c>
      <c r="J57" s="65">
        <v>45202</v>
      </c>
      <c r="K57" s="65">
        <v>45230</v>
      </c>
      <c r="L57" s="54"/>
      <c r="M57" s="54"/>
      <c r="N57" s="54"/>
      <c r="O57" s="66">
        <v>45261</v>
      </c>
      <c r="P57" s="101"/>
    </row>
    <row r="58" spans="1:16">
      <c r="A58" s="478"/>
      <c r="B58" s="79" t="s">
        <v>377</v>
      </c>
      <c r="C58" s="73" t="s">
        <v>367</v>
      </c>
      <c r="D58" s="54" t="s">
        <v>373</v>
      </c>
      <c r="E58" s="54" t="s">
        <v>373</v>
      </c>
      <c r="F58" s="54"/>
      <c r="G58" s="54" t="s">
        <v>373</v>
      </c>
      <c r="H58" s="54" t="s">
        <v>373</v>
      </c>
      <c r="I58" s="54" t="s">
        <v>373</v>
      </c>
      <c r="J58" s="54" t="s">
        <v>373</v>
      </c>
      <c r="K58" s="54" t="s">
        <v>386</v>
      </c>
      <c r="L58" s="54"/>
      <c r="M58" s="54"/>
      <c r="N58" s="54"/>
      <c r="O58" s="54" t="s">
        <v>1135</v>
      </c>
      <c r="P58" s="101"/>
    </row>
    <row r="59" spans="1:16" ht="15" customHeight="1">
      <c r="A59" s="485">
        <v>19</v>
      </c>
      <c r="B59" s="489" t="s">
        <v>316</v>
      </c>
      <c r="C59" s="479">
        <v>250</v>
      </c>
      <c r="D59" s="479">
        <v>251</v>
      </c>
      <c r="E59" s="479">
        <v>252</v>
      </c>
      <c r="F59" s="479">
        <v>253</v>
      </c>
      <c r="G59" s="479">
        <v>254</v>
      </c>
      <c r="H59" s="481">
        <v>250</v>
      </c>
      <c r="I59" s="481">
        <v>250</v>
      </c>
      <c r="J59" s="481">
        <v>250</v>
      </c>
      <c r="K59" s="481">
        <v>250</v>
      </c>
      <c r="L59" s="481">
        <v>250</v>
      </c>
      <c r="M59" s="481">
        <v>250</v>
      </c>
      <c r="N59" s="481">
        <v>250</v>
      </c>
      <c r="O59" s="491">
        <v>250</v>
      </c>
      <c r="P59" s="476">
        <f>SUM(C59:O60)</f>
        <v>3260</v>
      </c>
    </row>
    <row r="60" spans="1:16">
      <c r="A60" s="468"/>
      <c r="B60" s="490"/>
      <c r="C60" s="480"/>
      <c r="D60" s="480"/>
      <c r="E60" s="480"/>
      <c r="F60" s="480"/>
      <c r="G60" s="480"/>
      <c r="H60" s="482"/>
      <c r="I60" s="482"/>
      <c r="J60" s="482"/>
      <c r="K60" s="482"/>
      <c r="L60" s="482"/>
      <c r="M60" s="482"/>
      <c r="N60" s="482"/>
      <c r="O60" s="492"/>
      <c r="P60" s="445"/>
    </row>
    <row r="61" spans="1:16">
      <c r="A61" s="468"/>
      <c r="B61" s="81" t="s">
        <v>363</v>
      </c>
      <c r="C61" s="97">
        <v>45077</v>
      </c>
      <c r="D61" s="97">
        <v>45078</v>
      </c>
      <c r="E61" s="97">
        <v>45079</v>
      </c>
      <c r="F61" s="97">
        <v>45080</v>
      </c>
      <c r="G61" s="97">
        <v>45081</v>
      </c>
      <c r="H61" s="65">
        <v>45180</v>
      </c>
      <c r="I61" s="65">
        <v>45180</v>
      </c>
      <c r="J61" s="65">
        <v>45180</v>
      </c>
      <c r="K61" s="64">
        <v>45328</v>
      </c>
      <c r="L61" s="64">
        <v>45328</v>
      </c>
      <c r="M61" s="64">
        <v>45328</v>
      </c>
      <c r="N61" s="64">
        <v>45328</v>
      </c>
      <c r="O61" s="64">
        <v>45547</v>
      </c>
      <c r="P61" s="101"/>
    </row>
    <row r="62" spans="1:16">
      <c r="A62" s="501"/>
      <c r="B62" s="76" t="s">
        <v>377</v>
      </c>
      <c r="C62" s="73" t="s">
        <v>384</v>
      </c>
      <c r="D62" s="54" t="s">
        <v>384</v>
      </c>
      <c r="E62" s="54" t="s">
        <v>384</v>
      </c>
      <c r="F62" s="54" t="s">
        <v>384</v>
      </c>
      <c r="G62" s="54" t="s">
        <v>384</v>
      </c>
      <c r="H62" s="54" t="s">
        <v>373</v>
      </c>
      <c r="I62" s="54" t="s">
        <v>373</v>
      </c>
      <c r="J62" s="54" t="s">
        <v>373</v>
      </c>
      <c r="K62" s="54" t="s">
        <v>371</v>
      </c>
      <c r="L62" s="54" t="s">
        <v>371</v>
      </c>
      <c r="M62" s="54" t="s">
        <v>371</v>
      </c>
      <c r="N62" s="54" t="s">
        <v>371</v>
      </c>
      <c r="O62" s="54" t="s">
        <v>371</v>
      </c>
      <c r="P62" s="101"/>
    </row>
    <row r="63" spans="1:16" ht="15" customHeight="1">
      <c r="A63" s="467">
        <v>21</v>
      </c>
      <c r="B63" s="545" t="s">
        <v>317</v>
      </c>
      <c r="C63" s="483">
        <v>765</v>
      </c>
      <c r="D63" s="483">
        <v>765</v>
      </c>
      <c r="E63" s="483">
        <v>765</v>
      </c>
      <c r="F63" s="483">
        <v>765</v>
      </c>
      <c r="G63" s="483">
        <v>805</v>
      </c>
      <c r="H63" s="483">
        <v>765</v>
      </c>
      <c r="I63" s="483">
        <v>765</v>
      </c>
      <c r="J63" s="483">
        <v>765</v>
      </c>
      <c r="K63" s="483">
        <v>765</v>
      </c>
      <c r="L63" s="483">
        <v>765</v>
      </c>
      <c r="M63" s="482"/>
      <c r="N63" s="482"/>
      <c r="O63" s="483">
        <v>765</v>
      </c>
      <c r="P63" s="476">
        <f>SUM(C63:O64)</f>
        <v>8455</v>
      </c>
    </row>
    <row r="64" spans="1:16">
      <c r="A64" s="468"/>
      <c r="B64" s="490"/>
      <c r="C64" s="484"/>
      <c r="D64" s="484"/>
      <c r="E64" s="484"/>
      <c r="F64" s="484"/>
      <c r="G64" s="484"/>
      <c r="H64" s="484"/>
      <c r="I64" s="484"/>
      <c r="J64" s="484"/>
      <c r="K64" s="484"/>
      <c r="L64" s="484"/>
      <c r="M64" s="482"/>
      <c r="N64" s="482"/>
      <c r="O64" s="484"/>
      <c r="P64" s="445"/>
    </row>
    <row r="65" spans="1:16">
      <c r="A65" s="468"/>
      <c r="B65" s="76" t="s">
        <v>363</v>
      </c>
      <c r="C65" s="97" t="s">
        <v>998</v>
      </c>
      <c r="D65" s="65">
        <v>44959</v>
      </c>
      <c r="E65" s="65">
        <v>44987</v>
      </c>
      <c r="F65" s="66">
        <v>45026</v>
      </c>
      <c r="G65" s="65">
        <v>45050</v>
      </c>
      <c r="H65" s="65">
        <v>45082</v>
      </c>
      <c r="I65" s="65">
        <v>45121</v>
      </c>
      <c r="J65" s="65">
        <v>45141</v>
      </c>
      <c r="K65" s="65">
        <v>45175</v>
      </c>
      <c r="L65" s="65">
        <v>45239</v>
      </c>
      <c r="M65" s="54"/>
      <c r="N65" s="54"/>
      <c r="O65" s="65">
        <v>45296</v>
      </c>
      <c r="P65" s="101"/>
    </row>
    <row r="66" spans="1:16">
      <c r="A66" s="501"/>
      <c r="B66" s="79" t="s">
        <v>377</v>
      </c>
      <c r="C66" s="73" t="s">
        <v>998</v>
      </c>
      <c r="D66" s="54" t="s">
        <v>368</v>
      </c>
      <c r="E66" s="54" t="s">
        <v>368</v>
      </c>
      <c r="F66" s="54" t="s">
        <v>368</v>
      </c>
      <c r="G66" s="54" t="s">
        <v>368</v>
      </c>
      <c r="H66" s="54" t="s">
        <v>368</v>
      </c>
      <c r="I66" s="54" t="s">
        <v>368</v>
      </c>
      <c r="J66" s="54" t="s">
        <v>368</v>
      </c>
      <c r="K66" s="54" t="s">
        <v>386</v>
      </c>
      <c r="L66" s="54" t="s">
        <v>368</v>
      </c>
      <c r="M66" s="54"/>
      <c r="N66" s="54"/>
      <c r="O66" s="54" t="s">
        <v>386</v>
      </c>
      <c r="P66" s="101"/>
    </row>
    <row r="67" spans="1:16" ht="15" customHeight="1">
      <c r="A67" s="467">
        <v>25</v>
      </c>
      <c r="B67" s="489" t="s">
        <v>172</v>
      </c>
      <c r="C67" s="480" t="s">
        <v>366</v>
      </c>
      <c r="D67" s="480" t="s">
        <v>366</v>
      </c>
      <c r="E67" s="480" t="s">
        <v>366</v>
      </c>
      <c r="F67" s="482"/>
      <c r="G67" s="482"/>
      <c r="H67" s="482"/>
      <c r="I67" s="482"/>
      <c r="J67" s="482"/>
      <c r="K67" s="482"/>
      <c r="L67" s="482"/>
      <c r="M67" s="482"/>
      <c r="N67" s="482"/>
      <c r="O67" s="491"/>
      <c r="P67" s="476">
        <f>SUM(C67:O68)</f>
        <v>0</v>
      </c>
    </row>
    <row r="68" spans="1:16">
      <c r="A68" s="468"/>
      <c r="B68" s="490"/>
      <c r="C68" s="480"/>
      <c r="D68" s="480"/>
      <c r="E68" s="480"/>
      <c r="F68" s="482"/>
      <c r="G68" s="482"/>
      <c r="H68" s="482"/>
      <c r="I68" s="482"/>
      <c r="J68" s="482"/>
      <c r="K68" s="482"/>
      <c r="L68" s="482"/>
      <c r="M68" s="482"/>
      <c r="N68" s="482"/>
      <c r="O68" s="492"/>
      <c r="P68" s="445"/>
    </row>
    <row r="69" spans="1:16">
      <c r="A69" s="468"/>
      <c r="B69" s="76" t="s">
        <v>363</v>
      </c>
      <c r="C69" s="97">
        <v>45230</v>
      </c>
      <c r="D69" s="65">
        <v>45230</v>
      </c>
      <c r="E69" s="65">
        <v>45230</v>
      </c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101"/>
    </row>
    <row r="70" spans="1:16">
      <c r="A70" s="478"/>
      <c r="B70" s="79" t="s">
        <v>377</v>
      </c>
      <c r="C70" s="73" t="s">
        <v>367</v>
      </c>
      <c r="D70" s="54" t="s">
        <v>368</v>
      </c>
      <c r="E70" s="54" t="s">
        <v>368</v>
      </c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101"/>
    </row>
    <row r="71" spans="1:16" ht="25.5" customHeight="1">
      <c r="A71" s="467">
        <v>27</v>
      </c>
      <c r="B71" s="489" t="s">
        <v>18</v>
      </c>
      <c r="C71" s="480">
        <v>840</v>
      </c>
      <c r="D71" s="480">
        <v>840</v>
      </c>
      <c r="E71" s="480">
        <v>840</v>
      </c>
      <c r="F71" s="480">
        <v>840</v>
      </c>
      <c r="G71" s="480">
        <v>840</v>
      </c>
      <c r="H71" s="480">
        <v>840</v>
      </c>
      <c r="I71" s="480">
        <v>840</v>
      </c>
      <c r="J71" s="480">
        <v>840</v>
      </c>
      <c r="K71" s="480">
        <v>840</v>
      </c>
      <c r="L71" s="480">
        <v>840</v>
      </c>
      <c r="M71" s="480">
        <v>840</v>
      </c>
      <c r="N71" s="480">
        <v>1680</v>
      </c>
      <c r="O71" s="480">
        <v>840</v>
      </c>
      <c r="P71" s="476">
        <f>SUM(C71:O72)</f>
        <v>11760</v>
      </c>
    </row>
    <row r="72" spans="1:16">
      <c r="A72" s="468"/>
      <c r="B72" s="490"/>
      <c r="C72" s="480"/>
      <c r="D72" s="480"/>
      <c r="E72" s="480"/>
      <c r="F72" s="480"/>
      <c r="G72" s="480"/>
      <c r="H72" s="480"/>
      <c r="I72" s="480"/>
      <c r="J72" s="480"/>
      <c r="K72" s="480"/>
      <c r="L72" s="480"/>
      <c r="M72" s="480"/>
      <c r="N72" s="480"/>
      <c r="O72" s="480"/>
      <c r="P72" s="445"/>
    </row>
    <row r="73" spans="1:16">
      <c r="A73" s="468"/>
      <c r="B73" s="81" t="s">
        <v>363</v>
      </c>
      <c r="C73" s="7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101"/>
    </row>
    <row r="74" spans="1:16">
      <c r="A74" s="478"/>
      <c r="B74" s="76" t="s">
        <v>377</v>
      </c>
      <c r="C74" s="73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101"/>
    </row>
    <row r="75" spans="1:16" ht="15" customHeight="1">
      <c r="A75" s="485">
        <v>30</v>
      </c>
      <c r="B75" s="489" t="s">
        <v>318</v>
      </c>
      <c r="C75" s="479">
        <v>1210</v>
      </c>
      <c r="D75" s="479">
        <v>800</v>
      </c>
      <c r="E75" s="481">
        <v>800</v>
      </c>
      <c r="F75" s="481">
        <v>800</v>
      </c>
      <c r="G75" s="481">
        <v>600</v>
      </c>
      <c r="H75" s="481">
        <v>600</v>
      </c>
      <c r="I75" s="481">
        <v>600</v>
      </c>
      <c r="J75" s="481">
        <v>600</v>
      </c>
      <c r="K75" s="481">
        <v>600</v>
      </c>
      <c r="L75" s="481">
        <v>600</v>
      </c>
      <c r="M75" s="482">
        <v>600</v>
      </c>
      <c r="N75" s="482">
        <v>600</v>
      </c>
      <c r="O75" s="491">
        <v>600</v>
      </c>
      <c r="P75" s="476">
        <f>SUM(C75:O76)</f>
        <v>9010</v>
      </c>
    </row>
    <row r="76" spans="1:16">
      <c r="A76" s="468"/>
      <c r="B76" s="490"/>
      <c r="C76" s="480"/>
      <c r="D76" s="480"/>
      <c r="E76" s="482"/>
      <c r="F76" s="482"/>
      <c r="G76" s="482"/>
      <c r="H76" s="482"/>
      <c r="I76" s="482"/>
      <c r="J76" s="482"/>
      <c r="K76" s="482"/>
      <c r="L76" s="482"/>
      <c r="M76" s="482"/>
      <c r="N76" s="482"/>
      <c r="O76" s="492"/>
      <c r="P76" s="445"/>
    </row>
    <row r="77" spans="1:16">
      <c r="A77" s="468"/>
      <c r="B77" s="78" t="s">
        <v>363</v>
      </c>
      <c r="C77" s="97">
        <v>44951</v>
      </c>
      <c r="D77" s="97">
        <v>44988</v>
      </c>
      <c r="E77" s="65">
        <v>45035</v>
      </c>
      <c r="F77" s="65">
        <v>45054</v>
      </c>
      <c r="G77" s="65">
        <v>45083</v>
      </c>
      <c r="H77" s="65">
        <v>45114</v>
      </c>
      <c r="I77" s="65">
        <v>45142</v>
      </c>
      <c r="J77" s="65">
        <v>45182</v>
      </c>
      <c r="K77" s="65">
        <v>45219</v>
      </c>
      <c r="L77" s="65">
        <v>45244</v>
      </c>
      <c r="M77" s="64">
        <v>45762</v>
      </c>
      <c r="N77" s="64">
        <v>45762</v>
      </c>
      <c r="O77" s="64">
        <v>45762</v>
      </c>
      <c r="P77" s="101"/>
    </row>
    <row r="78" spans="1:16">
      <c r="A78" s="501"/>
      <c r="B78" s="79" t="s">
        <v>377</v>
      </c>
      <c r="C78" s="73" t="s">
        <v>1057</v>
      </c>
      <c r="D78" s="73" t="s">
        <v>365</v>
      </c>
      <c r="E78" s="54" t="s">
        <v>368</v>
      </c>
      <c r="F78" s="54" t="s">
        <v>384</v>
      </c>
      <c r="G78" s="54" t="s">
        <v>371</v>
      </c>
      <c r="H78" s="54" t="s">
        <v>373</v>
      </c>
      <c r="I78" s="54" t="s">
        <v>373</v>
      </c>
      <c r="J78" s="54" t="s">
        <v>373</v>
      </c>
      <c r="K78" s="54" t="s">
        <v>373</v>
      </c>
      <c r="L78" s="54" t="s">
        <v>373</v>
      </c>
      <c r="M78" s="54" t="s">
        <v>384</v>
      </c>
      <c r="N78" s="54" t="s">
        <v>384</v>
      </c>
      <c r="O78" s="54" t="s">
        <v>384</v>
      </c>
      <c r="P78" s="101"/>
    </row>
    <row r="79" spans="1:16" ht="25.5" customHeight="1">
      <c r="A79" s="467">
        <v>31</v>
      </c>
      <c r="B79" s="489" t="s">
        <v>175</v>
      </c>
      <c r="C79" s="573">
        <v>1258</v>
      </c>
      <c r="D79" s="481">
        <v>1020</v>
      </c>
      <c r="E79" s="481">
        <v>1021</v>
      </c>
      <c r="F79" s="481">
        <v>1021</v>
      </c>
      <c r="G79" s="481">
        <v>1020</v>
      </c>
      <c r="H79" s="481">
        <v>1020</v>
      </c>
      <c r="I79" s="481">
        <v>1020</v>
      </c>
      <c r="J79" s="481">
        <v>1020</v>
      </c>
      <c r="K79" s="481">
        <v>1020</v>
      </c>
      <c r="L79" s="481">
        <v>1020</v>
      </c>
      <c r="M79" s="482">
        <v>1300</v>
      </c>
      <c r="N79" s="482">
        <v>1300</v>
      </c>
      <c r="O79" s="482">
        <v>1300</v>
      </c>
      <c r="P79" s="476">
        <f>SUM(C79:O80)</f>
        <v>14340</v>
      </c>
    </row>
    <row r="80" spans="1:16">
      <c r="A80" s="468"/>
      <c r="B80" s="490"/>
      <c r="C80" s="574"/>
      <c r="D80" s="482"/>
      <c r="E80" s="482"/>
      <c r="F80" s="482"/>
      <c r="G80" s="482"/>
      <c r="H80" s="482"/>
      <c r="I80" s="482"/>
      <c r="J80" s="482"/>
      <c r="K80" s="482"/>
      <c r="L80" s="482"/>
      <c r="M80" s="482"/>
      <c r="N80" s="482"/>
      <c r="O80" s="482"/>
      <c r="P80" s="445"/>
    </row>
    <row r="81" spans="1:16">
      <c r="A81" s="468"/>
      <c r="B81" s="81" t="s">
        <v>363</v>
      </c>
      <c r="C81" s="97">
        <v>44967</v>
      </c>
      <c r="D81" s="65">
        <v>45013</v>
      </c>
      <c r="E81" s="65">
        <v>45057</v>
      </c>
      <c r="F81" s="65">
        <v>45057</v>
      </c>
      <c r="G81" s="65">
        <v>45100</v>
      </c>
      <c r="H81" s="54" t="s">
        <v>998</v>
      </c>
      <c r="I81" s="54" t="s">
        <v>998</v>
      </c>
      <c r="J81" s="65">
        <v>45243</v>
      </c>
      <c r="K81" s="65">
        <v>45243</v>
      </c>
      <c r="L81" s="54"/>
      <c r="M81" s="54"/>
      <c r="N81" s="54"/>
      <c r="O81" s="65">
        <v>45321</v>
      </c>
      <c r="P81" s="101"/>
    </row>
    <row r="82" spans="1:16">
      <c r="A82" s="478"/>
      <c r="B82" s="76" t="s">
        <v>377</v>
      </c>
      <c r="C82" s="73" t="s">
        <v>367</v>
      </c>
      <c r="D82" s="54" t="s">
        <v>368</v>
      </c>
      <c r="E82" s="54" t="s">
        <v>368</v>
      </c>
      <c r="F82" s="54" t="s">
        <v>368</v>
      </c>
      <c r="G82" s="54" t="s">
        <v>368</v>
      </c>
      <c r="H82" s="54" t="s">
        <v>368</v>
      </c>
      <c r="I82" s="54" t="s">
        <v>368</v>
      </c>
      <c r="J82" s="54" t="s">
        <v>368</v>
      </c>
      <c r="K82" s="54" t="s">
        <v>386</v>
      </c>
      <c r="L82" s="54"/>
      <c r="M82" s="54"/>
      <c r="N82" s="54"/>
      <c r="O82" s="54" t="s">
        <v>386</v>
      </c>
      <c r="P82" s="101"/>
    </row>
    <row r="83" spans="1:16" ht="25.5" customHeight="1">
      <c r="A83" s="467">
        <v>32</v>
      </c>
      <c r="B83" s="470" t="s">
        <v>176</v>
      </c>
      <c r="C83" s="479">
        <v>880</v>
      </c>
      <c r="D83" s="481">
        <v>1030</v>
      </c>
      <c r="E83" s="481">
        <v>880</v>
      </c>
      <c r="F83" s="481">
        <v>880</v>
      </c>
      <c r="G83" s="481">
        <v>880</v>
      </c>
      <c r="H83" s="481">
        <v>880</v>
      </c>
      <c r="I83" s="481">
        <v>880</v>
      </c>
      <c r="J83" s="481">
        <v>880</v>
      </c>
      <c r="K83" s="481">
        <v>880</v>
      </c>
      <c r="L83" s="481">
        <v>880</v>
      </c>
      <c r="M83" s="481">
        <v>880</v>
      </c>
      <c r="N83" s="481">
        <v>880</v>
      </c>
      <c r="O83" s="481">
        <v>880</v>
      </c>
      <c r="P83" s="476">
        <f>SUM(C83:O84)</f>
        <v>11590</v>
      </c>
    </row>
    <row r="84" spans="1:16">
      <c r="A84" s="468"/>
      <c r="B84" s="471"/>
      <c r="C84" s="480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45"/>
    </row>
    <row r="85" spans="1:16">
      <c r="A85" s="468"/>
      <c r="B85" s="79" t="s">
        <v>363</v>
      </c>
      <c r="C85" s="97">
        <v>44972</v>
      </c>
      <c r="D85" s="65">
        <v>45008</v>
      </c>
      <c r="E85" s="65">
        <v>45008</v>
      </c>
      <c r="F85" s="64">
        <v>45063</v>
      </c>
      <c r="G85" s="65">
        <v>45093</v>
      </c>
      <c r="H85" s="65">
        <v>45125</v>
      </c>
      <c r="I85" s="65">
        <v>45155</v>
      </c>
      <c r="J85" s="65">
        <v>45184</v>
      </c>
      <c r="K85" s="65">
        <v>45217</v>
      </c>
      <c r="L85" s="65">
        <v>45240</v>
      </c>
      <c r="M85" s="65">
        <v>45275</v>
      </c>
      <c r="N85" s="65">
        <v>45275</v>
      </c>
      <c r="O85" s="65">
        <v>45306</v>
      </c>
      <c r="P85" s="101"/>
    </row>
    <row r="86" spans="1:16">
      <c r="A86" s="501"/>
      <c r="B86" s="80" t="s">
        <v>377</v>
      </c>
      <c r="C86" s="73" t="s">
        <v>367</v>
      </c>
      <c r="D86" s="54" t="s">
        <v>373</v>
      </c>
      <c r="E86" s="54" t="s">
        <v>373</v>
      </c>
      <c r="F86" s="54" t="s">
        <v>368</v>
      </c>
      <c r="G86" s="54" t="s">
        <v>368</v>
      </c>
      <c r="H86" s="54" t="s">
        <v>368</v>
      </c>
      <c r="I86" s="54" t="s">
        <v>368</v>
      </c>
      <c r="J86" s="54" t="s">
        <v>368</v>
      </c>
      <c r="K86" s="54" t="s">
        <v>386</v>
      </c>
      <c r="L86" s="54" t="s">
        <v>368</v>
      </c>
      <c r="M86" s="54" t="s">
        <v>371</v>
      </c>
      <c r="N86" s="54" t="s">
        <v>371</v>
      </c>
      <c r="O86" s="54" t="s">
        <v>386</v>
      </c>
      <c r="P86" s="101"/>
    </row>
    <row r="87" spans="1:16">
      <c r="A87" s="536">
        <v>34</v>
      </c>
      <c r="B87" s="536" t="s">
        <v>382</v>
      </c>
      <c r="C87" s="569">
        <v>320</v>
      </c>
      <c r="D87" s="483">
        <v>320</v>
      </c>
      <c r="E87" s="483">
        <v>320</v>
      </c>
      <c r="F87" s="483">
        <v>320</v>
      </c>
      <c r="G87" s="483">
        <v>320</v>
      </c>
      <c r="H87" s="483">
        <v>320</v>
      </c>
      <c r="I87" s="483">
        <v>320</v>
      </c>
      <c r="J87" s="483">
        <v>320</v>
      </c>
      <c r="K87" s="483">
        <v>375</v>
      </c>
      <c r="L87" s="491"/>
      <c r="M87" s="491"/>
      <c r="N87" s="491"/>
      <c r="O87" s="491"/>
      <c r="P87" s="476">
        <f>SUM(C87:O88)</f>
        <v>2935</v>
      </c>
    </row>
    <row r="88" spans="1:16">
      <c r="A88" s="536"/>
      <c r="B88" s="536"/>
      <c r="C88" s="570"/>
      <c r="D88" s="492"/>
      <c r="E88" s="492"/>
      <c r="F88" s="492"/>
      <c r="G88" s="492"/>
      <c r="H88" s="492"/>
      <c r="I88" s="492"/>
      <c r="J88" s="492"/>
      <c r="K88" s="492"/>
      <c r="L88" s="492"/>
      <c r="M88" s="492"/>
      <c r="N88" s="492"/>
      <c r="O88" s="492"/>
      <c r="P88" s="445"/>
    </row>
    <row r="89" spans="1:16">
      <c r="A89" s="536"/>
      <c r="B89" s="76" t="s">
        <v>363</v>
      </c>
      <c r="C89" s="73" t="s">
        <v>998</v>
      </c>
      <c r="D89" s="65">
        <v>45005</v>
      </c>
      <c r="E89" s="65">
        <v>45030</v>
      </c>
      <c r="F89" s="65">
        <v>45058</v>
      </c>
      <c r="G89" s="65">
        <v>45104</v>
      </c>
      <c r="H89" s="65">
        <v>45135</v>
      </c>
      <c r="I89" s="65">
        <v>45156</v>
      </c>
      <c r="J89" s="65">
        <v>45204</v>
      </c>
      <c r="K89" s="65">
        <v>45219</v>
      </c>
      <c r="L89" s="54"/>
      <c r="M89" s="54"/>
      <c r="N89" s="54"/>
      <c r="O89" s="54"/>
      <c r="P89" s="101"/>
    </row>
    <row r="90" spans="1:16">
      <c r="A90" s="536"/>
      <c r="B90" s="76" t="s">
        <v>377</v>
      </c>
      <c r="C90" s="73" t="s">
        <v>998</v>
      </c>
      <c r="D90" s="54" t="s">
        <v>373</v>
      </c>
      <c r="E90" s="54" t="s">
        <v>371</v>
      </c>
      <c r="F90" s="54" t="s">
        <v>384</v>
      </c>
      <c r="G90" s="54" t="s">
        <v>371</v>
      </c>
      <c r="H90" s="54" t="s">
        <v>373</v>
      </c>
      <c r="I90" s="54" t="s">
        <v>374</v>
      </c>
      <c r="J90" s="54" t="s">
        <v>373</v>
      </c>
      <c r="K90" s="54" t="s">
        <v>385</v>
      </c>
      <c r="L90" s="54"/>
      <c r="M90" s="54"/>
      <c r="N90" s="54"/>
      <c r="O90" s="54"/>
      <c r="P90" s="101"/>
    </row>
    <row r="91" spans="1:16" ht="15" customHeight="1">
      <c r="A91" s="467">
        <v>33</v>
      </c>
      <c r="B91" s="470" t="s">
        <v>1249</v>
      </c>
      <c r="C91" s="479">
        <v>560</v>
      </c>
      <c r="D91" s="481">
        <v>560</v>
      </c>
      <c r="E91" s="481">
        <v>560</v>
      </c>
      <c r="F91" s="481">
        <v>560</v>
      </c>
      <c r="G91" s="481">
        <v>560</v>
      </c>
      <c r="H91" s="481">
        <v>560</v>
      </c>
      <c r="I91" s="481">
        <v>560</v>
      </c>
      <c r="J91" s="481">
        <v>560</v>
      </c>
      <c r="K91" s="481">
        <v>560</v>
      </c>
      <c r="L91" s="481">
        <v>560</v>
      </c>
      <c r="M91" s="481">
        <v>560</v>
      </c>
      <c r="N91" s="481">
        <v>560</v>
      </c>
      <c r="O91" s="491"/>
      <c r="P91" s="476">
        <f>SUM(C91:O92)</f>
        <v>6720</v>
      </c>
    </row>
    <row r="92" spans="1:16">
      <c r="A92" s="468"/>
      <c r="B92" s="496"/>
      <c r="C92" s="480"/>
      <c r="D92" s="482"/>
      <c r="E92" s="482"/>
      <c r="F92" s="482"/>
      <c r="G92" s="482"/>
      <c r="H92" s="482"/>
      <c r="I92" s="482"/>
      <c r="J92" s="482"/>
      <c r="K92" s="482"/>
      <c r="L92" s="482"/>
      <c r="M92" s="482"/>
      <c r="N92" s="482"/>
      <c r="O92" s="492"/>
      <c r="P92" s="445"/>
    </row>
    <row r="93" spans="1:16">
      <c r="A93" s="468"/>
      <c r="B93" s="76" t="s">
        <v>363</v>
      </c>
      <c r="C93" s="97">
        <v>44970</v>
      </c>
      <c r="D93" s="65">
        <v>45000</v>
      </c>
      <c r="E93" s="65">
        <v>45033</v>
      </c>
      <c r="F93" s="65">
        <v>45062</v>
      </c>
      <c r="G93" s="65">
        <v>45096</v>
      </c>
      <c r="H93" s="65">
        <v>45112</v>
      </c>
      <c r="I93" s="65">
        <v>45147</v>
      </c>
      <c r="J93" s="65">
        <v>45182</v>
      </c>
      <c r="K93" s="65">
        <v>45215</v>
      </c>
      <c r="L93" s="65">
        <v>45239</v>
      </c>
      <c r="M93" s="65">
        <v>45273</v>
      </c>
      <c r="N93" s="65">
        <v>45273</v>
      </c>
      <c r="O93" s="54"/>
      <c r="P93" s="101"/>
    </row>
    <row r="94" spans="1:16">
      <c r="A94" s="501"/>
      <c r="B94" s="80" t="s">
        <v>377</v>
      </c>
      <c r="C94" s="73" t="s">
        <v>367</v>
      </c>
      <c r="D94" s="54" t="s">
        <v>373</v>
      </c>
      <c r="E94" s="54" t="s">
        <v>368</v>
      </c>
      <c r="F94" s="54" t="s">
        <v>384</v>
      </c>
      <c r="G94" s="54" t="s">
        <v>368</v>
      </c>
      <c r="H94" s="54" t="s">
        <v>368</v>
      </c>
      <c r="I94" s="54" t="s">
        <v>368</v>
      </c>
      <c r="J94" s="54" t="s">
        <v>368</v>
      </c>
      <c r="K94" s="54" t="s">
        <v>386</v>
      </c>
      <c r="L94" s="54" t="s">
        <v>368</v>
      </c>
      <c r="M94" s="54" t="s">
        <v>386</v>
      </c>
      <c r="N94" s="54" t="s">
        <v>386</v>
      </c>
      <c r="O94" s="54"/>
      <c r="P94" s="101"/>
    </row>
    <row r="95" spans="1:16" ht="15" customHeight="1">
      <c r="A95" s="467">
        <v>37</v>
      </c>
      <c r="B95" s="470" t="s">
        <v>1323</v>
      </c>
      <c r="C95" s="479" t="s">
        <v>1324</v>
      </c>
      <c r="D95" s="479" t="s">
        <v>1324</v>
      </c>
      <c r="E95" s="479" t="s">
        <v>1324</v>
      </c>
      <c r="F95" s="479" t="s">
        <v>1324</v>
      </c>
      <c r="G95" s="479" t="s">
        <v>1324</v>
      </c>
      <c r="H95" s="479" t="s">
        <v>1324</v>
      </c>
      <c r="I95" s="479" t="s">
        <v>1324</v>
      </c>
      <c r="J95" s="479" t="s">
        <v>1324</v>
      </c>
      <c r="K95" s="479" t="s">
        <v>1324</v>
      </c>
      <c r="L95" s="479" t="s">
        <v>1324</v>
      </c>
      <c r="M95" s="481"/>
      <c r="N95" s="481"/>
      <c r="O95" s="491"/>
      <c r="P95" s="476">
        <f>SUM(C95:O96)</f>
        <v>0</v>
      </c>
    </row>
    <row r="96" spans="1:16">
      <c r="A96" s="468"/>
      <c r="B96" s="496"/>
      <c r="C96" s="480"/>
      <c r="D96" s="480"/>
      <c r="E96" s="480"/>
      <c r="F96" s="480"/>
      <c r="G96" s="480"/>
      <c r="H96" s="480"/>
      <c r="I96" s="480"/>
      <c r="J96" s="480"/>
      <c r="K96" s="480"/>
      <c r="L96" s="480"/>
      <c r="M96" s="482"/>
      <c r="N96" s="482"/>
      <c r="O96" s="492"/>
      <c r="P96" s="445"/>
    </row>
    <row r="97" spans="1:16">
      <c r="A97" s="468"/>
      <c r="B97" s="76" t="s">
        <v>363</v>
      </c>
      <c r="C97" s="97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54"/>
      <c r="P97" s="101"/>
    </row>
    <row r="98" spans="1:16">
      <c r="A98" s="501"/>
      <c r="B98" s="80" t="s">
        <v>377</v>
      </c>
      <c r="C98" s="73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101"/>
    </row>
    <row r="99" spans="1:16">
      <c r="A99" s="467">
        <v>38</v>
      </c>
      <c r="B99" s="489" t="s">
        <v>177</v>
      </c>
      <c r="C99" s="479">
        <v>605</v>
      </c>
      <c r="D99" s="479">
        <v>605</v>
      </c>
      <c r="E99" s="481">
        <v>605</v>
      </c>
      <c r="F99" s="481">
        <v>605</v>
      </c>
      <c r="G99" s="481">
        <v>605</v>
      </c>
      <c r="H99" s="481">
        <v>605</v>
      </c>
      <c r="I99" s="481">
        <v>605</v>
      </c>
      <c r="J99" s="481">
        <v>605</v>
      </c>
      <c r="K99" s="481">
        <v>605</v>
      </c>
      <c r="L99" s="481">
        <v>605</v>
      </c>
      <c r="M99" s="482"/>
      <c r="N99" s="482"/>
      <c r="O99" s="481">
        <v>605</v>
      </c>
      <c r="P99" s="476">
        <f>SUM(C99:O100)</f>
        <v>6655</v>
      </c>
    </row>
    <row r="100" spans="1:16">
      <c r="A100" s="468"/>
      <c r="B100" s="490"/>
      <c r="C100" s="480"/>
      <c r="D100" s="480"/>
      <c r="E100" s="482"/>
      <c r="F100" s="482"/>
      <c r="G100" s="482"/>
      <c r="H100" s="482"/>
      <c r="I100" s="482"/>
      <c r="J100" s="482"/>
      <c r="K100" s="482"/>
      <c r="L100" s="482"/>
      <c r="M100" s="482"/>
      <c r="N100" s="482"/>
      <c r="O100" s="482"/>
      <c r="P100" s="445"/>
    </row>
    <row r="101" spans="1:16">
      <c r="A101" s="468"/>
      <c r="B101" s="80" t="s">
        <v>363</v>
      </c>
      <c r="C101" s="97">
        <v>44965</v>
      </c>
      <c r="D101" s="97" t="s">
        <v>998</v>
      </c>
      <c r="E101" s="65">
        <v>45019</v>
      </c>
      <c r="F101" s="65">
        <v>45049</v>
      </c>
      <c r="G101" s="65">
        <v>45084</v>
      </c>
      <c r="H101" s="65">
        <v>45112</v>
      </c>
      <c r="I101" s="65">
        <v>45140</v>
      </c>
      <c r="J101" s="65">
        <v>45174</v>
      </c>
      <c r="K101" s="65">
        <v>45205</v>
      </c>
      <c r="L101" s="65">
        <v>45236</v>
      </c>
      <c r="M101" s="54"/>
      <c r="N101" s="54"/>
      <c r="O101" s="65">
        <v>45299</v>
      </c>
      <c r="P101" s="101"/>
    </row>
    <row r="102" spans="1:16">
      <c r="A102" s="478"/>
      <c r="B102" s="76" t="s">
        <v>377</v>
      </c>
      <c r="C102" s="73" t="s">
        <v>367</v>
      </c>
      <c r="D102" s="73" t="s">
        <v>367</v>
      </c>
      <c r="E102" s="54" t="s">
        <v>368</v>
      </c>
      <c r="F102" s="54" t="s">
        <v>368</v>
      </c>
      <c r="G102" s="54" t="s">
        <v>368</v>
      </c>
      <c r="H102" s="54" t="s">
        <v>368</v>
      </c>
      <c r="I102" s="54" t="s">
        <v>386</v>
      </c>
      <c r="J102" s="54" t="s">
        <v>368</v>
      </c>
      <c r="K102" s="54" t="s">
        <v>386</v>
      </c>
      <c r="L102" s="54" t="s">
        <v>368</v>
      </c>
      <c r="M102" s="54"/>
      <c r="N102" s="54"/>
      <c r="O102" s="54" t="s">
        <v>386</v>
      </c>
      <c r="P102" s="101"/>
    </row>
    <row r="103" spans="1:16" ht="15" customHeight="1">
      <c r="A103" s="467">
        <v>39</v>
      </c>
      <c r="B103" s="497" t="s">
        <v>178</v>
      </c>
      <c r="C103" s="481">
        <v>672</v>
      </c>
      <c r="D103" s="481">
        <v>672</v>
      </c>
      <c r="E103" s="481">
        <v>672</v>
      </c>
      <c r="F103" s="500">
        <v>672</v>
      </c>
      <c r="G103" s="481">
        <v>672</v>
      </c>
      <c r="H103" s="481">
        <v>672</v>
      </c>
      <c r="I103" s="481">
        <v>672</v>
      </c>
      <c r="J103" s="481">
        <v>672</v>
      </c>
      <c r="K103" s="481">
        <v>672</v>
      </c>
      <c r="L103" s="481">
        <v>672</v>
      </c>
      <c r="M103" s="482"/>
      <c r="N103" s="482"/>
      <c r="O103" s="481">
        <v>672</v>
      </c>
      <c r="P103" s="476">
        <f>SUM(C103:O104)</f>
        <v>7392</v>
      </c>
    </row>
    <row r="104" spans="1:16">
      <c r="A104" s="468"/>
      <c r="B104" s="542"/>
      <c r="C104" s="482"/>
      <c r="D104" s="482"/>
      <c r="E104" s="482"/>
      <c r="F104" s="482"/>
      <c r="G104" s="482"/>
      <c r="H104" s="482"/>
      <c r="I104" s="482"/>
      <c r="J104" s="482"/>
      <c r="K104" s="482"/>
      <c r="L104" s="482"/>
      <c r="M104" s="482"/>
      <c r="N104" s="482"/>
      <c r="O104" s="482"/>
      <c r="P104" s="445"/>
    </row>
    <row r="105" spans="1:16">
      <c r="A105" s="468"/>
      <c r="B105" s="82" t="s">
        <v>363</v>
      </c>
      <c r="C105" s="65">
        <v>44966</v>
      </c>
      <c r="D105" s="65">
        <v>44992</v>
      </c>
      <c r="E105" s="65">
        <v>45027</v>
      </c>
      <c r="F105" s="65">
        <v>45054</v>
      </c>
      <c r="G105" s="65">
        <v>45084</v>
      </c>
      <c r="H105" s="65">
        <v>45111</v>
      </c>
      <c r="I105" s="65">
        <v>45145</v>
      </c>
      <c r="J105" s="65">
        <v>45180</v>
      </c>
      <c r="K105" s="65">
        <v>45208</v>
      </c>
      <c r="L105" s="65">
        <v>45238</v>
      </c>
      <c r="M105" s="54"/>
      <c r="N105" s="54"/>
      <c r="O105" s="65">
        <v>45300</v>
      </c>
      <c r="P105" s="101"/>
    </row>
    <row r="106" spans="1:16">
      <c r="A106" s="478"/>
      <c r="B106" s="84" t="s">
        <v>377</v>
      </c>
      <c r="C106" s="54" t="s">
        <v>367</v>
      </c>
      <c r="D106" s="54" t="s">
        <v>368</v>
      </c>
      <c r="E106" s="54" t="s">
        <v>368</v>
      </c>
      <c r="F106" s="54" t="s">
        <v>368</v>
      </c>
      <c r="G106" s="54" t="s">
        <v>368</v>
      </c>
      <c r="H106" s="54" t="s">
        <v>368</v>
      </c>
      <c r="I106" s="54" t="s">
        <v>368</v>
      </c>
      <c r="J106" s="54" t="s">
        <v>368</v>
      </c>
      <c r="K106" s="54" t="s">
        <v>386</v>
      </c>
      <c r="L106" s="54" t="s">
        <v>368</v>
      </c>
      <c r="M106" s="54"/>
      <c r="N106" s="54"/>
      <c r="O106" s="54" t="s">
        <v>386</v>
      </c>
      <c r="P106" s="101"/>
    </row>
    <row r="107" spans="1:16" ht="25.5" customHeight="1">
      <c r="A107" s="485">
        <v>41</v>
      </c>
      <c r="B107" s="470" t="s">
        <v>27</v>
      </c>
      <c r="C107" s="479">
        <v>350</v>
      </c>
      <c r="D107" s="479">
        <v>350</v>
      </c>
      <c r="E107" s="481">
        <v>350</v>
      </c>
      <c r="F107" s="481">
        <v>350</v>
      </c>
      <c r="G107" s="481">
        <v>350</v>
      </c>
      <c r="H107" s="481">
        <v>350</v>
      </c>
      <c r="I107" s="481">
        <v>350</v>
      </c>
      <c r="J107" s="481">
        <v>350</v>
      </c>
      <c r="K107" s="481">
        <v>350</v>
      </c>
      <c r="L107" s="481">
        <v>350</v>
      </c>
      <c r="M107" s="481">
        <v>350</v>
      </c>
      <c r="N107" s="482"/>
      <c r="O107" s="481">
        <v>350</v>
      </c>
      <c r="P107" s="476">
        <f>SUM(C107:O108)</f>
        <v>4200</v>
      </c>
    </row>
    <row r="108" spans="1:16">
      <c r="A108" s="468"/>
      <c r="B108" s="471"/>
      <c r="C108" s="480"/>
      <c r="D108" s="480"/>
      <c r="E108" s="482"/>
      <c r="F108" s="482"/>
      <c r="G108" s="482"/>
      <c r="H108" s="482"/>
      <c r="I108" s="482"/>
      <c r="J108" s="482"/>
      <c r="K108" s="482"/>
      <c r="L108" s="482"/>
      <c r="M108" s="482"/>
      <c r="N108" s="482"/>
      <c r="O108" s="482"/>
      <c r="P108" s="445"/>
    </row>
    <row r="109" spans="1:16">
      <c r="A109" s="468"/>
      <c r="B109" s="86" t="s">
        <v>363</v>
      </c>
      <c r="C109" s="97">
        <v>44967</v>
      </c>
      <c r="D109" s="97">
        <v>44993</v>
      </c>
      <c r="E109" s="65">
        <v>45021</v>
      </c>
      <c r="F109" s="65">
        <v>45056</v>
      </c>
      <c r="G109" s="65">
        <v>45089</v>
      </c>
      <c r="H109" s="65">
        <v>45114</v>
      </c>
      <c r="I109" s="65">
        <v>45148</v>
      </c>
      <c r="J109" s="65">
        <v>45175</v>
      </c>
      <c r="K109" s="65">
        <v>45209</v>
      </c>
      <c r="L109" s="65">
        <v>45240</v>
      </c>
      <c r="M109" s="65">
        <v>45268</v>
      </c>
      <c r="N109" s="54"/>
      <c r="O109" s="65">
        <v>45299</v>
      </c>
      <c r="P109" s="101"/>
    </row>
    <row r="110" spans="1:16">
      <c r="A110" s="501"/>
      <c r="B110" s="76" t="s">
        <v>377</v>
      </c>
      <c r="C110" s="73" t="s">
        <v>375</v>
      </c>
      <c r="D110" s="73" t="s">
        <v>375</v>
      </c>
      <c r="E110" s="54" t="s">
        <v>381</v>
      </c>
      <c r="F110" s="54" t="s">
        <v>384</v>
      </c>
      <c r="G110" s="54" t="s">
        <v>371</v>
      </c>
      <c r="H110" s="54" t="s">
        <v>373</v>
      </c>
      <c r="I110" s="54" t="s">
        <v>384</v>
      </c>
      <c r="J110" s="54" t="s">
        <v>373</v>
      </c>
      <c r="K110" s="54" t="s">
        <v>373</v>
      </c>
      <c r="L110" s="54" t="s">
        <v>368</v>
      </c>
      <c r="M110" s="54" t="s">
        <v>384</v>
      </c>
      <c r="N110" s="54"/>
      <c r="O110" s="54" t="s">
        <v>384</v>
      </c>
      <c r="P110" s="101"/>
    </row>
    <row r="111" spans="1:16" ht="25.5" customHeight="1">
      <c r="A111" s="467">
        <v>43</v>
      </c>
      <c r="B111" s="470" t="s">
        <v>179</v>
      </c>
      <c r="C111" s="480"/>
      <c r="D111" s="482"/>
      <c r="E111" s="482"/>
      <c r="F111" s="482"/>
      <c r="G111" s="482"/>
      <c r="H111" s="482"/>
      <c r="I111" s="482"/>
      <c r="J111" s="482"/>
      <c r="K111" s="482"/>
      <c r="L111" s="482"/>
      <c r="M111" s="482"/>
      <c r="N111" s="482"/>
      <c r="O111" s="491"/>
      <c r="P111" s="476">
        <f>SUM(C111:O112)</f>
        <v>0</v>
      </c>
    </row>
    <row r="112" spans="1:16">
      <c r="A112" s="468"/>
      <c r="B112" s="471"/>
      <c r="C112" s="480"/>
      <c r="D112" s="482"/>
      <c r="E112" s="482"/>
      <c r="F112" s="482"/>
      <c r="G112" s="482"/>
      <c r="H112" s="482"/>
      <c r="I112" s="482"/>
      <c r="J112" s="482"/>
      <c r="K112" s="482"/>
      <c r="L112" s="482"/>
      <c r="M112" s="482"/>
      <c r="N112" s="482"/>
      <c r="O112" s="492"/>
      <c r="P112" s="445"/>
    </row>
    <row r="113" spans="1:16">
      <c r="A113" s="468"/>
      <c r="B113" s="86" t="s">
        <v>363</v>
      </c>
      <c r="C113" s="73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101"/>
    </row>
    <row r="114" spans="1:16">
      <c r="A114" s="501"/>
      <c r="B114" s="76" t="s">
        <v>377</v>
      </c>
      <c r="C114" s="73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101"/>
    </row>
    <row r="115" spans="1:16" ht="15" customHeight="1">
      <c r="A115" s="467">
        <v>44</v>
      </c>
      <c r="B115" s="470" t="s">
        <v>319</v>
      </c>
      <c r="C115" s="479">
        <v>1300</v>
      </c>
      <c r="D115" s="481">
        <v>1300</v>
      </c>
      <c r="E115" s="481">
        <v>1300</v>
      </c>
      <c r="F115" s="481">
        <v>1300</v>
      </c>
      <c r="G115" s="481">
        <v>1300</v>
      </c>
      <c r="H115" s="481">
        <v>1300</v>
      </c>
      <c r="I115" s="481">
        <v>1300</v>
      </c>
      <c r="J115" s="483">
        <v>1300</v>
      </c>
      <c r="K115" s="483">
        <v>1300</v>
      </c>
      <c r="L115" s="483">
        <v>1300</v>
      </c>
      <c r="M115" s="483">
        <v>1300</v>
      </c>
      <c r="N115" s="482"/>
      <c r="O115" s="491">
        <v>1300</v>
      </c>
      <c r="P115" s="476">
        <f>SUM(C115:O116)</f>
        <v>15600</v>
      </c>
    </row>
    <row r="116" spans="1:16">
      <c r="A116" s="468"/>
      <c r="B116" s="471"/>
      <c r="C116" s="480"/>
      <c r="D116" s="482"/>
      <c r="E116" s="482"/>
      <c r="F116" s="482"/>
      <c r="G116" s="482"/>
      <c r="H116" s="482"/>
      <c r="I116" s="482"/>
      <c r="J116" s="484"/>
      <c r="K116" s="484"/>
      <c r="L116" s="484"/>
      <c r="M116" s="484"/>
      <c r="N116" s="482"/>
      <c r="O116" s="492"/>
      <c r="P116" s="445"/>
    </row>
    <row r="117" spans="1:16">
      <c r="A117" s="468"/>
      <c r="B117" s="76" t="s">
        <v>363</v>
      </c>
      <c r="C117" s="97">
        <v>44988</v>
      </c>
      <c r="D117" s="65">
        <v>45016</v>
      </c>
      <c r="E117" s="65">
        <v>45056</v>
      </c>
      <c r="F117" s="65">
        <v>45083</v>
      </c>
      <c r="G117" s="65">
        <v>45113</v>
      </c>
      <c r="H117" s="65">
        <v>45142</v>
      </c>
      <c r="I117" s="65">
        <v>45195</v>
      </c>
      <c r="J117" s="65">
        <v>45205</v>
      </c>
      <c r="K117" s="65">
        <v>45264</v>
      </c>
      <c r="L117" s="65">
        <v>45279</v>
      </c>
      <c r="M117" s="65">
        <v>45296</v>
      </c>
      <c r="N117" s="54"/>
      <c r="O117" s="65">
        <v>45331</v>
      </c>
      <c r="P117" s="101"/>
    </row>
    <row r="118" spans="1:16">
      <c r="A118" s="501"/>
      <c r="B118" s="77" t="s">
        <v>377</v>
      </c>
      <c r="C118" s="73" t="s">
        <v>371</v>
      </c>
      <c r="D118" s="54" t="s">
        <v>371</v>
      </c>
      <c r="E118" s="54" t="s">
        <v>371</v>
      </c>
      <c r="F118" s="54" t="s">
        <v>384</v>
      </c>
      <c r="G118" s="54" t="s">
        <v>384</v>
      </c>
      <c r="H118" s="54" t="s">
        <v>384</v>
      </c>
      <c r="I118" s="54" t="s">
        <v>371</v>
      </c>
      <c r="J118" s="54" t="s">
        <v>371</v>
      </c>
      <c r="K118" s="54" t="s">
        <v>384</v>
      </c>
      <c r="L118" s="54" t="s">
        <v>384</v>
      </c>
      <c r="M118" s="54" t="s">
        <v>384</v>
      </c>
      <c r="N118" s="54"/>
      <c r="O118" s="54" t="s">
        <v>384</v>
      </c>
      <c r="P118" s="101"/>
    </row>
    <row r="119" spans="1:16" ht="25.5" customHeight="1">
      <c r="A119" s="467">
        <v>45</v>
      </c>
      <c r="B119" s="470" t="s">
        <v>181</v>
      </c>
      <c r="C119" s="479">
        <v>785</v>
      </c>
      <c r="D119" s="481">
        <v>785</v>
      </c>
      <c r="E119" s="481">
        <v>785</v>
      </c>
      <c r="F119" s="481">
        <v>785</v>
      </c>
      <c r="G119" s="481">
        <v>785</v>
      </c>
      <c r="H119" s="481">
        <v>785</v>
      </c>
      <c r="I119" s="481">
        <v>785</v>
      </c>
      <c r="J119" s="481">
        <v>785</v>
      </c>
      <c r="K119" s="482">
        <v>785</v>
      </c>
      <c r="L119" s="482">
        <v>785</v>
      </c>
      <c r="M119" s="482">
        <v>785</v>
      </c>
      <c r="N119" s="482">
        <v>785</v>
      </c>
      <c r="O119" s="491">
        <v>785</v>
      </c>
      <c r="P119" s="476">
        <f>SUM(C119:O120)</f>
        <v>10205</v>
      </c>
    </row>
    <row r="120" spans="1:16">
      <c r="A120" s="468"/>
      <c r="B120" s="471"/>
      <c r="C120" s="480"/>
      <c r="D120" s="482"/>
      <c r="E120" s="482"/>
      <c r="F120" s="482"/>
      <c r="G120" s="482"/>
      <c r="H120" s="482"/>
      <c r="I120" s="482"/>
      <c r="J120" s="482"/>
      <c r="K120" s="482"/>
      <c r="L120" s="482"/>
      <c r="M120" s="482"/>
      <c r="N120" s="482"/>
      <c r="O120" s="492"/>
      <c r="P120" s="445"/>
    </row>
    <row r="121" spans="1:16">
      <c r="A121" s="468"/>
      <c r="B121" s="86" t="s">
        <v>363</v>
      </c>
      <c r="C121" s="97">
        <v>44994</v>
      </c>
      <c r="D121" s="65">
        <v>44998</v>
      </c>
      <c r="E121" s="65">
        <v>45056</v>
      </c>
      <c r="F121" s="65">
        <v>45077</v>
      </c>
      <c r="G121" s="65">
        <v>45141</v>
      </c>
      <c r="H121" s="65">
        <v>45197</v>
      </c>
      <c r="I121" s="65">
        <v>45197</v>
      </c>
      <c r="J121" s="65">
        <v>45197</v>
      </c>
      <c r="K121" s="65">
        <v>45450</v>
      </c>
      <c r="L121" s="65">
        <v>45450</v>
      </c>
      <c r="M121" s="65">
        <v>45450</v>
      </c>
      <c r="N121" s="65">
        <v>45450</v>
      </c>
      <c r="O121" s="65">
        <v>45450</v>
      </c>
      <c r="P121" s="101"/>
    </row>
    <row r="122" spans="1:16">
      <c r="A122" s="501"/>
      <c r="B122" s="76" t="s">
        <v>377</v>
      </c>
      <c r="C122" s="73" t="s">
        <v>367</v>
      </c>
      <c r="D122" s="54" t="s">
        <v>368</v>
      </c>
      <c r="E122" s="54" t="s">
        <v>368</v>
      </c>
      <c r="F122" s="54" t="s">
        <v>374</v>
      </c>
      <c r="G122" s="54" t="s">
        <v>368</v>
      </c>
      <c r="H122" s="54" t="s">
        <v>368</v>
      </c>
      <c r="I122" s="54" t="s">
        <v>368</v>
      </c>
      <c r="J122" s="54" t="s">
        <v>368</v>
      </c>
      <c r="K122" s="54" t="s">
        <v>385</v>
      </c>
      <c r="L122" s="54" t="s">
        <v>385</v>
      </c>
      <c r="M122" s="54" t="s">
        <v>385</v>
      </c>
      <c r="N122" s="54" t="s">
        <v>385</v>
      </c>
      <c r="O122" s="54" t="s">
        <v>385</v>
      </c>
      <c r="P122" s="101"/>
    </row>
    <row r="123" spans="1:16" ht="25.5" customHeight="1">
      <c r="A123" s="467">
        <v>46</v>
      </c>
      <c r="B123" s="470" t="s">
        <v>31</v>
      </c>
      <c r="C123" s="479">
        <v>320</v>
      </c>
      <c r="D123" s="481">
        <v>320</v>
      </c>
      <c r="E123" s="481">
        <v>320</v>
      </c>
      <c r="F123" s="481">
        <v>320</v>
      </c>
      <c r="G123" s="481">
        <v>320</v>
      </c>
      <c r="H123" s="481">
        <v>320</v>
      </c>
      <c r="I123" s="500">
        <v>320</v>
      </c>
      <c r="J123" s="500">
        <v>320</v>
      </c>
      <c r="K123" s="500">
        <v>320</v>
      </c>
      <c r="L123" s="500">
        <v>320</v>
      </c>
      <c r="M123" s="500">
        <v>320</v>
      </c>
      <c r="N123" s="500">
        <v>320</v>
      </c>
      <c r="O123" s="500">
        <v>320</v>
      </c>
      <c r="P123" s="476">
        <f>SUM(C123:O124)</f>
        <v>4160</v>
      </c>
    </row>
    <row r="124" spans="1:16">
      <c r="A124" s="468"/>
      <c r="B124" s="471"/>
      <c r="C124" s="480"/>
      <c r="D124" s="482"/>
      <c r="E124" s="482"/>
      <c r="F124" s="482"/>
      <c r="G124" s="482"/>
      <c r="H124" s="482"/>
      <c r="I124" s="482"/>
      <c r="J124" s="482"/>
      <c r="K124" s="482"/>
      <c r="L124" s="482"/>
      <c r="M124" s="482"/>
      <c r="N124" s="482"/>
      <c r="O124" s="482"/>
      <c r="P124" s="445"/>
    </row>
    <row r="125" spans="1:16">
      <c r="A125" s="468"/>
      <c r="B125" s="86" t="s">
        <v>363</v>
      </c>
      <c r="C125" s="97" t="s">
        <v>1305</v>
      </c>
      <c r="D125" s="97">
        <v>44967</v>
      </c>
      <c r="E125" s="65">
        <v>45006</v>
      </c>
      <c r="F125" s="65">
        <v>45040</v>
      </c>
      <c r="G125" s="65">
        <v>45068</v>
      </c>
      <c r="H125" s="65">
        <v>45093</v>
      </c>
      <c r="I125" s="65">
        <v>45131</v>
      </c>
      <c r="J125" s="65">
        <v>45152</v>
      </c>
      <c r="K125" s="65">
        <v>45210</v>
      </c>
      <c r="L125" s="65">
        <v>45252</v>
      </c>
      <c r="M125" s="65">
        <v>45271</v>
      </c>
      <c r="N125" s="65">
        <v>45271</v>
      </c>
      <c r="O125" s="65">
        <v>45309</v>
      </c>
      <c r="P125" s="101"/>
    </row>
    <row r="126" spans="1:16">
      <c r="A126" s="478"/>
      <c r="B126" s="76" t="s">
        <v>377</v>
      </c>
      <c r="C126" s="73"/>
      <c r="D126" s="73" t="s">
        <v>370</v>
      </c>
      <c r="E126" s="54" t="s">
        <v>381</v>
      </c>
      <c r="F126" s="54" t="s">
        <v>371</v>
      </c>
      <c r="G126" s="54" t="s">
        <v>371</v>
      </c>
      <c r="H126" s="54" t="s">
        <v>384</v>
      </c>
      <c r="I126" s="54" t="s">
        <v>373</v>
      </c>
      <c r="J126" s="54" t="s">
        <v>368</v>
      </c>
      <c r="K126" s="54" t="s">
        <v>371</v>
      </c>
      <c r="L126" s="54" t="s">
        <v>384</v>
      </c>
      <c r="M126" s="54" t="s">
        <v>384</v>
      </c>
      <c r="N126" s="54" t="s">
        <v>384</v>
      </c>
      <c r="O126" s="54" t="s">
        <v>384</v>
      </c>
      <c r="P126" s="101"/>
    </row>
    <row r="127" spans="1:16" ht="15" customHeight="1">
      <c r="A127" s="485">
        <v>47</v>
      </c>
      <c r="B127" s="470" t="s">
        <v>320</v>
      </c>
      <c r="C127" s="479">
        <v>590</v>
      </c>
      <c r="D127" s="481">
        <v>590</v>
      </c>
      <c r="E127" s="481">
        <v>590</v>
      </c>
      <c r="F127" s="483">
        <v>590</v>
      </c>
      <c r="G127" s="481">
        <v>590</v>
      </c>
      <c r="H127" s="481">
        <v>590</v>
      </c>
      <c r="I127" s="481">
        <v>590</v>
      </c>
      <c r="J127" s="481">
        <v>590</v>
      </c>
      <c r="K127" s="481">
        <v>590</v>
      </c>
      <c r="L127" s="481">
        <v>590</v>
      </c>
      <c r="M127" s="482"/>
      <c r="N127" s="482"/>
      <c r="O127" s="481">
        <v>590</v>
      </c>
      <c r="P127" s="476">
        <f>SUM(C127:O128)</f>
        <v>6490</v>
      </c>
    </row>
    <row r="128" spans="1:16">
      <c r="A128" s="468"/>
      <c r="B128" s="471"/>
      <c r="C128" s="480"/>
      <c r="D128" s="482"/>
      <c r="E128" s="482"/>
      <c r="F128" s="484"/>
      <c r="G128" s="482"/>
      <c r="H128" s="482"/>
      <c r="I128" s="482"/>
      <c r="J128" s="482"/>
      <c r="K128" s="482"/>
      <c r="L128" s="482"/>
      <c r="M128" s="482"/>
      <c r="N128" s="482"/>
      <c r="O128" s="482"/>
      <c r="P128" s="445"/>
    </row>
    <row r="129" spans="1:16">
      <c r="A129" s="468"/>
      <c r="B129" s="86" t="s">
        <v>363</v>
      </c>
      <c r="C129" s="97">
        <v>44967</v>
      </c>
      <c r="D129" s="65">
        <v>45005</v>
      </c>
      <c r="E129" s="65">
        <v>45030</v>
      </c>
      <c r="F129" s="65">
        <v>45058</v>
      </c>
      <c r="G129" s="65">
        <v>45104</v>
      </c>
      <c r="H129" s="65">
        <v>45135</v>
      </c>
      <c r="I129" s="65">
        <v>45156</v>
      </c>
      <c r="J129" s="65">
        <v>45183</v>
      </c>
      <c r="K129" s="65">
        <v>45219</v>
      </c>
      <c r="L129" s="65">
        <v>45254</v>
      </c>
      <c r="M129" s="54"/>
      <c r="N129" s="54"/>
      <c r="O129" s="65">
        <v>45317</v>
      </c>
      <c r="P129" s="101"/>
    </row>
    <row r="130" spans="1:16">
      <c r="A130" s="501"/>
      <c r="B130" s="76" t="s">
        <v>377</v>
      </c>
      <c r="C130" s="73" t="s">
        <v>372</v>
      </c>
      <c r="D130" s="54" t="s">
        <v>381</v>
      </c>
      <c r="E130" s="54" t="s">
        <v>371</v>
      </c>
      <c r="F130" s="54" t="s">
        <v>384</v>
      </c>
      <c r="G130" s="54" t="s">
        <v>384</v>
      </c>
      <c r="H130" s="54" t="s">
        <v>368</v>
      </c>
      <c r="I130" s="54" t="s">
        <v>374</v>
      </c>
      <c r="J130" s="54" t="s">
        <v>385</v>
      </c>
      <c r="K130" s="54" t="s">
        <v>373</v>
      </c>
      <c r="L130" s="54" t="s">
        <v>384</v>
      </c>
      <c r="M130" s="54"/>
      <c r="N130" s="54"/>
      <c r="O130" s="54" t="s">
        <v>1135</v>
      </c>
      <c r="P130" s="101"/>
    </row>
    <row r="131" spans="1:16" ht="15" customHeight="1">
      <c r="A131" s="467">
        <v>49</v>
      </c>
      <c r="B131" s="470" t="s">
        <v>183</v>
      </c>
      <c r="C131" s="479">
        <v>1125</v>
      </c>
      <c r="D131" s="481">
        <v>1125</v>
      </c>
      <c r="E131" s="481">
        <v>1135</v>
      </c>
      <c r="F131" s="481">
        <v>1135</v>
      </c>
      <c r="G131" s="481">
        <v>1135</v>
      </c>
      <c r="H131" s="481">
        <v>1125</v>
      </c>
      <c r="I131" s="481">
        <v>1125</v>
      </c>
      <c r="J131" s="481">
        <v>1125</v>
      </c>
      <c r="K131" s="481">
        <v>1125</v>
      </c>
      <c r="L131" s="482"/>
      <c r="M131" s="482"/>
      <c r="N131" s="482"/>
      <c r="O131" s="491"/>
      <c r="P131" s="476">
        <f>SUM(C131:O132)</f>
        <v>10155</v>
      </c>
    </row>
    <row r="132" spans="1:16">
      <c r="A132" s="468"/>
      <c r="B132" s="471"/>
      <c r="C132" s="480"/>
      <c r="D132" s="482"/>
      <c r="E132" s="482"/>
      <c r="F132" s="482"/>
      <c r="G132" s="482"/>
      <c r="H132" s="482"/>
      <c r="I132" s="482"/>
      <c r="J132" s="482"/>
      <c r="K132" s="482"/>
      <c r="L132" s="482"/>
      <c r="M132" s="482"/>
      <c r="N132" s="482"/>
      <c r="O132" s="492"/>
      <c r="P132" s="445"/>
    </row>
    <row r="133" spans="1:16">
      <c r="A133" s="468"/>
      <c r="B133" s="76" t="s">
        <v>363</v>
      </c>
      <c r="C133" s="97">
        <v>45091</v>
      </c>
      <c r="D133" s="65">
        <v>45091</v>
      </c>
      <c r="E133" s="65">
        <v>45161</v>
      </c>
      <c r="F133" s="65">
        <v>45161</v>
      </c>
      <c r="G133" s="65">
        <v>45161</v>
      </c>
      <c r="H133" s="65">
        <v>45310</v>
      </c>
      <c r="I133" s="65">
        <v>45311</v>
      </c>
      <c r="J133" s="65">
        <v>45312</v>
      </c>
      <c r="K133" s="65">
        <v>45313</v>
      </c>
      <c r="L133" s="54"/>
      <c r="M133" s="54"/>
      <c r="N133" s="54"/>
      <c r="O133" s="54"/>
      <c r="P133" s="101"/>
    </row>
    <row r="134" spans="1:16">
      <c r="A134" s="478"/>
      <c r="B134" s="77" t="s">
        <v>377</v>
      </c>
      <c r="C134" s="73" t="s">
        <v>367</v>
      </c>
      <c r="D134" s="54" t="s">
        <v>368</v>
      </c>
      <c r="E134" s="54" t="s">
        <v>371</v>
      </c>
      <c r="F134" s="54" t="s">
        <v>371</v>
      </c>
      <c r="G134" s="54" t="s">
        <v>371</v>
      </c>
      <c r="H134" s="54" t="s">
        <v>384</v>
      </c>
      <c r="I134" s="54" t="s">
        <v>384</v>
      </c>
      <c r="J134" s="54" t="s">
        <v>384</v>
      </c>
      <c r="K134" s="54" t="s">
        <v>384</v>
      </c>
      <c r="L134" s="54"/>
      <c r="M134" s="54"/>
      <c r="N134" s="54"/>
      <c r="O134" s="54"/>
      <c r="P134" s="101"/>
    </row>
    <row r="135" spans="1:16">
      <c r="A135" s="467">
        <v>50</v>
      </c>
      <c r="B135" s="470" t="s">
        <v>184</v>
      </c>
      <c r="C135" s="479">
        <v>758</v>
      </c>
      <c r="D135" s="481">
        <v>785</v>
      </c>
      <c r="E135" s="482" t="s">
        <v>998</v>
      </c>
      <c r="F135" s="482" t="s">
        <v>998</v>
      </c>
      <c r="G135" s="482" t="s">
        <v>998</v>
      </c>
      <c r="H135" s="482" t="s">
        <v>998</v>
      </c>
      <c r="I135" s="482" t="s">
        <v>998</v>
      </c>
      <c r="J135" s="482" t="s">
        <v>998</v>
      </c>
      <c r="K135" s="482" t="s">
        <v>998</v>
      </c>
      <c r="L135" s="482" t="s">
        <v>998</v>
      </c>
      <c r="M135" s="482" t="s">
        <v>998</v>
      </c>
      <c r="N135" s="482" t="s">
        <v>998</v>
      </c>
      <c r="O135" s="491" t="s">
        <v>998</v>
      </c>
      <c r="P135" s="476">
        <f>SUM(C135:O136)</f>
        <v>1543</v>
      </c>
    </row>
    <row r="136" spans="1:16">
      <c r="A136" s="468"/>
      <c r="B136" s="471"/>
      <c r="C136" s="480"/>
      <c r="D136" s="482"/>
      <c r="E136" s="482"/>
      <c r="F136" s="482"/>
      <c r="G136" s="482"/>
      <c r="H136" s="482"/>
      <c r="I136" s="482"/>
      <c r="J136" s="482"/>
      <c r="K136" s="482"/>
      <c r="L136" s="482"/>
      <c r="M136" s="482"/>
      <c r="N136" s="482"/>
      <c r="O136" s="492"/>
      <c r="P136" s="445"/>
    </row>
    <row r="137" spans="1:16">
      <c r="A137" s="468"/>
      <c r="B137" s="76" t="s">
        <v>363</v>
      </c>
      <c r="C137" s="97">
        <v>44984</v>
      </c>
      <c r="D137" s="65">
        <v>45033</v>
      </c>
      <c r="E137" s="54" t="s">
        <v>998</v>
      </c>
      <c r="F137" s="54" t="s">
        <v>998</v>
      </c>
      <c r="G137" s="54" t="s">
        <v>998</v>
      </c>
      <c r="H137" s="54" t="s">
        <v>998</v>
      </c>
      <c r="I137" s="54" t="s">
        <v>998</v>
      </c>
      <c r="J137" s="54" t="s">
        <v>998</v>
      </c>
      <c r="K137" s="54" t="s">
        <v>998</v>
      </c>
      <c r="L137" s="54" t="s">
        <v>998</v>
      </c>
      <c r="M137" s="54" t="s">
        <v>998</v>
      </c>
      <c r="N137" s="54" t="s">
        <v>998</v>
      </c>
      <c r="O137" s="54" t="s">
        <v>998</v>
      </c>
      <c r="P137" s="101"/>
    </row>
    <row r="138" spans="1:16">
      <c r="A138" s="478"/>
      <c r="B138" s="77" t="s">
        <v>377</v>
      </c>
      <c r="C138" s="73" t="s">
        <v>365</v>
      </c>
      <c r="D138" s="54" t="s">
        <v>371</v>
      </c>
      <c r="E138" s="54" t="s">
        <v>998</v>
      </c>
      <c r="F138" s="54" t="s">
        <v>998</v>
      </c>
      <c r="G138" s="54" t="s">
        <v>998</v>
      </c>
      <c r="H138" s="54" t="s">
        <v>998</v>
      </c>
      <c r="I138" s="54" t="s">
        <v>998</v>
      </c>
      <c r="J138" s="54" t="s">
        <v>998</v>
      </c>
      <c r="K138" s="54" t="s">
        <v>998</v>
      </c>
      <c r="L138" s="54" t="s">
        <v>998</v>
      </c>
      <c r="M138" s="54" t="s">
        <v>998</v>
      </c>
      <c r="N138" s="54" t="s">
        <v>998</v>
      </c>
      <c r="O138" s="54" t="s">
        <v>998</v>
      </c>
      <c r="P138" s="101"/>
    </row>
    <row r="139" spans="1:16" ht="15" customHeight="1">
      <c r="A139" s="467">
        <v>51</v>
      </c>
      <c r="B139" s="470" t="s">
        <v>33</v>
      </c>
      <c r="C139" s="479">
        <v>710</v>
      </c>
      <c r="D139" s="481">
        <v>710</v>
      </c>
      <c r="E139" s="481">
        <v>710</v>
      </c>
      <c r="F139" s="481">
        <v>710</v>
      </c>
      <c r="G139" s="481">
        <v>710</v>
      </c>
      <c r="H139" s="481">
        <v>710</v>
      </c>
      <c r="I139" s="481">
        <v>710</v>
      </c>
      <c r="J139" s="481">
        <v>710</v>
      </c>
      <c r="K139" s="481">
        <v>710</v>
      </c>
      <c r="L139" s="481">
        <v>710</v>
      </c>
      <c r="M139" s="481">
        <v>710</v>
      </c>
      <c r="N139" s="482"/>
      <c r="O139" s="481">
        <v>710</v>
      </c>
      <c r="P139" s="476">
        <f>SUM(C139:O140)</f>
        <v>8520</v>
      </c>
    </row>
    <row r="140" spans="1:16">
      <c r="A140" s="468"/>
      <c r="B140" s="471"/>
      <c r="C140" s="480"/>
      <c r="D140" s="482"/>
      <c r="E140" s="482"/>
      <c r="F140" s="482"/>
      <c r="G140" s="482"/>
      <c r="H140" s="482"/>
      <c r="I140" s="482"/>
      <c r="J140" s="482"/>
      <c r="K140" s="482"/>
      <c r="L140" s="482"/>
      <c r="M140" s="482"/>
      <c r="N140" s="482"/>
      <c r="O140" s="482"/>
      <c r="P140" s="445"/>
    </row>
    <row r="141" spans="1:16">
      <c r="A141" s="468"/>
      <c r="B141" s="86" t="s">
        <v>363</v>
      </c>
      <c r="C141" s="97">
        <v>44987</v>
      </c>
      <c r="D141" s="65">
        <v>45016</v>
      </c>
      <c r="E141" s="65">
        <v>45044</v>
      </c>
      <c r="F141" s="65">
        <v>45076</v>
      </c>
      <c r="G141" s="65">
        <v>45104</v>
      </c>
      <c r="H141" s="65">
        <v>45141</v>
      </c>
      <c r="I141" s="65">
        <v>45169</v>
      </c>
      <c r="J141" s="65">
        <v>45197</v>
      </c>
      <c r="K141" s="65">
        <v>45230</v>
      </c>
      <c r="L141" s="65">
        <v>45264</v>
      </c>
      <c r="M141" s="65">
        <v>45320</v>
      </c>
      <c r="N141" s="54"/>
      <c r="O141" s="65">
        <v>45348</v>
      </c>
      <c r="P141" s="101"/>
    </row>
    <row r="142" spans="1:16">
      <c r="A142" s="478"/>
      <c r="B142" s="76" t="s">
        <v>377</v>
      </c>
      <c r="C142" s="73" t="s">
        <v>367</v>
      </c>
      <c r="D142" s="54" t="s">
        <v>368</v>
      </c>
      <c r="E142" s="54" t="s">
        <v>368</v>
      </c>
      <c r="F142" s="54" t="s">
        <v>368</v>
      </c>
      <c r="G142" s="54" t="s">
        <v>368</v>
      </c>
      <c r="H142" s="54" t="s">
        <v>368</v>
      </c>
      <c r="I142" s="54" t="s">
        <v>368</v>
      </c>
      <c r="J142" s="54" t="s">
        <v>368</v>
      </c>
      <c r="K142" s="54" t="s">
        <v>386</v>
      </c>
      <c r="L142" s="54" t="s">
        <v>368</v>
      </c>
      <c r="M142" s="54" t="s">
        <v>386</v>
      </c>
      <c r="N142" s="54"/>
      <c r="O142" s="54" t="s">
        <v>386</v>
      </c>
      <c r="P142" s="101"/>
    </row>
    <row r="143" spans="1:16">
      <c r="A143" s="467">
        <v>52</v>
      </c>
      <c r="B143" s="470" t="s">
        <v>321</v>
      </c>
      <c r="C143" s="479">
        <v>525</v>
      </c>
      <c r="D143" s="481">
        <v>525</v>
      </c>
      <c r="E143" s="481">
        <v>525</v>
      </c>
      <c r="F143" s="481">
        <v>525</v>
      </c>
      <c r="G143" s="481">
        <v>525</v>
      </c>
      <c r="H143" s="482"/>
      <c r="I143" s="482"/>
      <c r="J143" s="482"/>
      <c r="K143" s="482"/>
      <c r="L143" s="482"/>
      <c r="M143" s="482"/>
      <c r="N143" s="482"/>
      <c r="O143" s="491"/>
      <c r="P143" s="476">
        <f>SUM(C143:O144)</f>
        <v>2625</v>
      </c>
    </row>
    <row r="144" spans="1:16">
      <c r="A144" s="468"/>
      <c r="B144" s="471"/>
      <c r="C144" s="480"/>
      <c r="D144" s="482"/>
      <c r="E144" s="482"/>
      <c r="F144" s="482"/>
      <c r="G144" s="482"/>
      <c r="H144" s="482"/>
      <c r="I144" s="482"/>
      <c r="J144" s="482"/>
      <c r="K144" s="482"/>
      <c r="L144" s="482"/>
      <c r="M144" s="482"/>
      <c r="N144" s="482"/>
      <c r="O144" s="492"/>
      <c r="P144" s="445"/>
    </row>
    <row r="145" spans="1:16">
      <c r="A145" s="468"/>
      <c r="B145" s="86" t="s">
        <v>363</v>
      </c>
      <c r="C145" s="97">
        <v>44981</v>
      </c>
      <c r="D145" s="65">
        <v>45098</v>
      </c>
      <c r="E145" s="65">
        <v>45098</v>
      </c>
      <c r="F145" s="65">
        <v>45098</v>
      </c>
      <c r="G145" s="54" t="s">
        <v>1344</v>
      </c>
      <c r="H145" s="54"/>
      <c r="I145" s="54"/>
      <c r="J145" s="54"/>
      <c r="K145" s="54"/>
      <c r="L145" s="54"/>
      <c r="M145" s="54"/>
      <c r="N145" s="54"/>
      <c r="O145" s="54"/>
      <c r="P145" s="101"/>
    </row>
    <row r="146" spans="1:16">
      <c r="A146" s="501"/>
      <c r="B146" s="76" t="s">
        <v>377</v>
      </c>
      <c r="C146" s="73" t="s">
        <v>367</v>
      </c>
      <c r="D146" s="54" t="s">
        <v>384</v>
      </c>
      <c r="E146" s="54" t="s">
        <v>373</v>
      </c>
      <c r="F146" s="54" t="s">
        <v>384</v>
      </c>
      <c r="G146" s="54" t="s">
        <v>384</v>
      </c>
      <c r="H146" s="54"/>
      <c r="I146" s="54"/>
      <c r="J146" s="54"/>
      <c r="K146" s="54"/>
      <c r="L146" s="54"/>
      <c r="M146" s="54"/>
      <c r="N146" s="54"/>
      <c r="O146" s="54"/>
      <c r="P146" s="101"/>
    </row>
    <row r="147" spans="1:16" ht="15" customHeight="1">
      <c r="A147" s="467">
        <v>53</v>
      </c>
      <c r="B147" s="533" t="s">
        <v>187</v>
      </c>
      <c r="C147" s="481">
        <v>890</v>
      </c>
      <c r="D147" s="482"/>
      <c r="E147" s="482"/>
      <c r="F147" s="482"/>
      <c r="G147" s="482"/>
      <c r="H147" s="482"/>
      <c r="I147" s="482"/>
      <c r="J147" s="482"/>
      <c r="K147" s="482"/>
      <c r="L147" s="482"/>
      <c r="M147" s="482"/>
      <c r="N147" s="482"/>
      <c r="O147" s="491"/>
      <c r="P147" s="476">
        <f>SUM(C147:O148)</f>
        <v>890</v>
      </c>
    </row>
    <row r="148" spans="1:16">
      <c r="A148" s="468"/>
      <c r="B148" s="533"/>
      <c r="C148" s="482"/>
      <c r="D148" s="482"/>
      <c r="E148" s="482"/>
      <c r="F148" s="482"/>
      <c r="G148" s="482"/>
      <c r="H148" s="482"/>
      <c r="I148" s="482"/>
      <c r="J148" s="482"/>
      <c r="K148" s="482"/>
      <c r="L148" s="482"/>
      <c r="M148" s="482"/>
      <c r="N148" s="482"/>
      <c r="O148" s="492"/>
      <c r="P148" s="445"/>
    </row>
    <row r="149" spans="1:16">
      <c r="A149" s="468"/>
      <c r="B149" s="82" t="s">
        <v>363</v>
      </c>
      <c r="C149" s="65">
        <v>44974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101"/>
    </row>
    <row r="150" spans="1:16">
      <c r="A150" s="501"/>
      <c r="B150" s="82" t="s">
        <v>377</v>
      </c>
      <c r="C150" s="54" t="s">
        <v>371</v>
      </c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101"/>
    </row>
    <row r="151" spans="1:16" ht="15" customHeight="1">
      <c r="A151" s="467">
        <v>57</v>
      </c>
      <c r="B151" s="497" t="s">
        <v>39</v>
      </c>
      <c r="C151" s="481"/>
      <c r="D151" s="483">
        <v>415</v>
      </c>
      <c r="E151" s="483">
        <v>415</v>
      </c>
      <c r="F151" s="483">
        <v>415</v>
      </c>
      <c r="G151" s="483">
        <v>415</v>
      </c>
      <c r="H151" s="483">
        <v>415</v>
      </c>
      <c r="I151" s="483">
        <v>415</v>
      </c>
      <c r="J151" s="483">
        <v>415</v>
      </c>
      <c r="K151" s="483">
        <v>415</v>
      </c>
      <c r="L151" s="483">
        <v>415</v>
      </c>
      <c r="M151" s="483">
        <v>415</v>
      </c>
      <c r="N151" s="483">
        <v>415</v>
      </c>
      <c r="O151" s="483">
        <v>415</v>
      </c>
      <c r="P151" s="476">
        <f>SUM(C151:O152)</f>
        <v>4980</v>
      </c>
    </row>
    <row r="152" spans="1:16">
      <c r="A152" s="468"/>
      <c r="B152" s="542"/>
      <c r="C152" s="482"/>
      <c r="D152" s="484"/>
      <c r="E152" s="484"/>
      <c r="F152" s="484"/>
      <c r="G152" s="484"/>
      <c r="H152" s="484"/>
      <c r="I152" s="484"/>
      <c r="J152" s="484"/>
      <c r="K152" s="484"/>
      <c r="L152" s="484"/>
      <c r="M152" s="484"/>
      <c r="N152" s="484"/>
      <c r="O152" s="484"/>
      <c r="P152" s="445"/>
    </row>
    <row r="153" spans="1:16">
      <c r="A153" s="468"/>
      <c r="B153" s="87" t="s">
        <v>363</v>
      </c>
      <c r="C153" s="65"/>
      <c r="D153" s="65">
        <v>44972</v>
      </c>
      <c r="E153" s="65">
        <v>45005</v>
      </c>
      <c r="F153" s="65">
        <v>45035</v>
      </c>
      <c r="G153" s="65">
        <v>45064</v>
      </c>
      <c r="H153" s="65">
        <v>45096</v>
      </c>
      <c r="I153" s="65">
        <v>45125</v>
      </c>
      <c r="J153" s="65">
        <v>45188</v>
      </c>
      <c r="K153" s="65">
        <v>45217</v>
      </c>
      <c r="L153" s="65">
        <v>45250</v>
      </c>
      <c r="M153" s="65">
        <v>45645</v>
      </c>
      <c r="N153" s="65">
        <v>45645</v>
      </c>
      <c r="O153" s="65">
        <v>45310</v>
      </c>
      <c r="P153" s="101"/>
    </row>
    <row r="154" spans="1:16">
      <c r="A154" s="501"/>
      <c r="B154" s="84" t="s">
        <v>377</v>
      </c>
      <c r="C154" s="54"/>
      <c r="D154" s="54" t="s">
        <v>368</v>
      </c>
      <c r="E154" s="54" t="s">
        <v>381</v>
      </c>
      <c r="F154" s="54" t="s">
        <v>368</v>
      </c>
      <c r="G154" s="54" t="s">
        <v>368</v>
      </c>
      <c r="H154" s="54" t="s">
        <v>368</v>
      </c>
      <c r="I154" s="54" t="s">
        <v>374</v>
      </c>
      <c r="J154" s="54" t="s">
        <v>385</v>
      </c>
      <c r="K154" s="54" t="s">
        <v>385</v>
      </c>
      <c r="L154" s="54" t="s">
        <v>368</v>
      </c>
      <c r="M154" s="54" t="s">
        <v>373</v>
      </c>
      <c r="N154" s="54" t="s">
        <v>1135</v>
      </c>
      <c r="O154" s="54" t="s">
        <v>386</v>
      </c>
      <c r="P154" s="101"/>
    </row>
    <row r="155" spans="1:16" ht="15" customHeight="1">
      <c r="A155" s="467">
        <v>60</v>
      </c>
      <c r="B155" s="497" t="s">
        <v>322</v>
      </c>
      <c r="C155" s="481">
        <v>350</v>
      </c>
      <c r="D155" s="481">
        <v>350</v>
      </c>
      <c r="E155" s="481">
        <v>350</v>
      </c>
      <c r="F155" s="481">
        <v>350</v>
      </c>
      <c r="G155" s="481">
        <v>350</v>
      </c>
      <c r="H155" s="481">
        <v>350</v>
      </c>
      <c r="I155" s="481">
        <v>350</v>
      </c>
      <c r="J155" s="481">
        <v>350</v>
      </c>
      <c r="K155" s="481">
        <v>350</v>
      </c>
      <c r="L155" s="481">
        <v>350</v>
      </c>
      <c r="M155" s="481">
        <v>350</v>
      </c>
      <c r="N155" s="481">
        <v>350</v>
      </c>
      <c r="O155" s="481">
        <v>350</v>
      </c>
      <c r="P155" s="476">
        <f>SUM(C155:O156)</f>
        <v>4550</v>
      </c>
    </row>
    <row r="156" spans="1:16">
      <c r="A156" s="468"/>
      <c r="B156" s="558"/>
      <c r="C156" s="482"/>
      <c r="D156" s="482"/>
      <c r="E156" s="482"/>
      <c r="F156" s="482"/>
      <c r="G156" s="482"/>
      <c r="H156" s="482"/>
      <c r="I156" s="482"/>
      <c r="J156" s="482"/>
      <c r="K156" s="482"/>
      <c r="L156" s="482"/>
      <c r="M156" s="482"/>
      <c r="N156" s="482"/>
      <c r="O156" s="482"/>
      <c r="P156" s="445"/>
    </row>
    <row r="157" spans="1:16">
      <c r="A157" s="468"/>
      <c r="B157" s="84" t="s">
        <v>363</v>
      </c>
      <c r="C157" s="65">
        <v>44967</v>
      </c>
      <c r="D157" s="65">
        <v>45005</v>
      </c>
      <c r="E157" s="65">
        <v>45030</v>
      </c>
      <c r="F157" s="65">
        <v>45058</v>
      </c>
      <c r="G157" s="65">
        <v>45104</v>
      </c>
      <c r="H157" s="65">
        <v>45135</v>
      </c>
      <c r="I157" s="65">
        <v>45156</v>
      </c>
      <c r="J157" s="65">
        <v>45183</v>
      </c>
      <c r="K157" s="65">
        <v>45219</v>
      </c>
      <c r="L157" s="65">
        <v>45254</v>
      </c>
      <c r="M157" s="65">
        <v>45648</v>
      </c>
      <c r="N157" s="65">
        <v>45648</v>
      </c>
      <c r="O157" s="65">
        <v>45317</v>
      </c>
      <c r="P157" s="101"/>
    </row>
    <row r="158" spans="1:16">
      <c r="A158" s="501"/>
      <c r="B158" s="84" t="s">
        <v>377</v>
      </c>
      <c r="C158" s="54" t="s">
        <v>372</v>
      </c>
      <c r="D158" s="54" t="s">
        <v>381</v>
      </c>
      <c r="E158" s="54" t="s">
        <v>368</v>
      </c>
      <c r="F158" s="54" t="s">
        <v>368</v>
      </c>
      <c r="G158" s="54" t="s">
        <v>368</v>
      </c>
      <c r="H158" s="54" t="s">
        <v>368</v>
      </c>
      <c r="I158" s="54" t="s">
        <v>374</v>
      </c>
      <c r="J158" s="54" t="s">
        <v>385</v>
      </c>
      <c r="K158" s="54" t="s">
        <v>373</v>
      </c>
      <c r="L158" s="54" t="s">
        <v>373</v>
      </c>
      <c r="M158" s="54" t="s">
        <v>373</v>
      </c>
      <c r="N158" s="54" t="s">
        <v>1135</v>
      </c>
      <c r="O158" s="54" t="s">
        <v>1135</v>
      </c>
      <c r="P158" s="101"/>
    </row>
    <row r="159" spans="1:16" ht="15" customHeight="1">
      <c r="A159" s="467">
        <v>61</v>
      </c>
      <c r="B159" s="497" t="s">
        <v>323</v>
      </c>
      <c r="C159" s="482" t="s">
        <v>1305</v>
      </c>
      <c r="D159" s="482"/>
      <c r="E159" s="482"/>
      <c r="F159" s="482"/>
      <c r="G159" s="482"/>
      <c r="H159" s="482"/>
      <c r="I159" s="482"/>
      <c r="J159" s="482"/>
      <c r="K159" s="482"/>
      <c r="L159" s="482"/>
      <c r="M159" s="482"/>
      <c r="N159" s="482"/>
      <c r="O159" s="491"/>
      <c r="P159" s="476">
        <f>SUM(C159:O160)</f>
        <v>0</v>
      </c>
    </row>
    <row r="160" spans="1:16">
      <c r="A160" s="468"/>
      <c r="B160" s="558"/>
      <c r="C160" s="482"/>
      <c r="D160" s="482"/>
      <c r="E160" s="482"/>
      <c r="F160" s="482"/>
      <c r="G160" s="482"/>
      <c r="H160" s="482"/>
      <c r="I160" s="482"/>
      <c r="J160" s="482"/>
      <c r="K160" s="482"/>
      <c r="L160" s="482"/>
      <c r="M160" s="482"/>
      <c r="N160" s="482"/>
      <c r="O160" s="492"/>
      <c r="P160" s="445"/>
    </row>
    <row r="161" spans="1:16">
      <c r="A161" s="468"/>
      <c r="B161" s="84" t="s">
        <v>363</v>
      </c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101"/>
    </row>
    <row r="162" spans="1:16">
      <c r="A162" s="478"/>
      <c r="B162" s="82" t="s">
        <v>377</v>
      </c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101"/>
    </row>
    <row r="163" spans="1:16" ht="15" customHeight="1">
      <c r="A163" s="467">
        <v>63</v>
      </c>
      <c r="B163" s="497" t="s">
        <v>389</v>
      </c>
      <c r="C163" s="481" t="s">
        <v>998</v>
      </c>
      <c r="D163" s="481" t="s">
        <v>998</v>
      </c>
      <c r="E163" s="481" t="s">
        <v>998</v>
      </c>
      <c r="F163" s="481">
        <v>420</v>
      </c>
      <c r="G163" s="481">
        <v>420</v>
      </c>
      <c r="H163" s="481">
        <v>420</v>
      </c>
      <c r="I163" s="481">
        <v>420</v>
      </c>
      <c r="J163" s="481"/>
      <c r="K163" s="482"/>
      <c r="L163" s="482"/>
      <c r="M163" s="482"/>
      <c r="N163" s="482"/>
      <c r="O163" s="491"/>
      <c r="P163" s="476">
        <f>SUM(C163:O164)</f>
        <v>1680</v>
      </c>
    </row>
    <row r="164" spans="1:16">
      <c r="A164" s="468"/>
      <c r="B164" s="558"/>
      <c r="C164" s="482"/>
      <c r="D164" s="482"/>
      <c r="E164" s="482"/>
      <c r="F164" s="482"/>
      <c r="G164" s="482"/>
      <c r="H164" s="482"/>
      <c r="I164" s="482"/>
      <c r="J164" s="482"/>
      <c r="K164" s="482"/>
      <c r="L164" s="482"/>
      <c r="M164" s="482"/>
      <c r="N164" s="482"/>
      <c r="O164" s="492"/>
      <c r="P164" s="445"/>
    </row>
    <row r="165" spans="1:16">
      <c r="A165" s="468"/>
      <c r="B165" s="84" t="s">
        <v>363</v>
      </c>
      <c r="C165" s="65" t="s">
        <v>998</v>
      </c>
      <c r="D165" s="65" t="s">
        <v>998</v>
      </c>
      <c r="E165" s="65" t="s">
        <v>998</v>
      </c>
      <c r="F165" s="65">
        <v>44967</v>
      </c>
      <c r="G165" s="65">
        <v>45056</v>
      </c>
      <c r="H165" s="65">
        <v>45114</v>
      </c>
      <c r="I165" s="65">
        <v>45168</v>
      </c>
      <c r="J165" s="54"/>
      <c r="K165" s="54"/>
      <c r="L165" s="54"/>
      <c r="M165" s="54"/>
      <c r="N165" s="54"/>
      <c r="O165" s="54"/>
      <c r="P165" s="101"/>
    </row>
    <row r="166" spans="1:16">
      <c r="A166" s="478"/>
      <c r="B166" s="82" t="s">
        <v>377</v>
      </c>
      <c r="C166" s="54" t="s">
        <v>998</v>
      </c>
      <c r="D166" s="54" t="s">
        <v>998</v>
      </c>
      <c r="E166" s="54" t="s">
        <v>998</v>
      </c>
      <c r="F166" s="54" t="s">
        <v>371</v>
      </c>
      <c r="G166" s="54" t="s">
        <v>384</v>
      </c>
      <c r="H166" s="54" t="s">
        <v>384</v>
      </c>
      <c r="I166" s="54" t="s">
        <v>384</v>
      </c>
      <c r="J166" s="54"/>
      <c r="K166" s="54"/>
      <c r="L166" s="54"/>
      <c r="M166" s="54"/>
      <c r="N166" s="54"/>
      <c r="O166" s="54"/>
      <c r="P166" s="101"/>
    </row>
    <row r="167" spans="1:16" ht="25.5" customHeight="1">
      <c r="A167" s="485">
        <v>64</v>
      </c>
      <c r="B167" s="497" t="s">
        <v>192</v>
      </c>
      <c r="C167" s="481">
        <v>1100</v>
      </c>
      <c r="D167" s="481">
        <v>1100</v>
      </c>
      <c r="E167" s="481">
        <v>1100</v>
      </c>
      <c r="F167" s="481">
        <v>1100</v>
      </c>
      <c r="G167" s="481">
        <v>1100</v>
      </c>
      <c r="H167" s="481">
        <v>1200</v>
      </c>
      <c r="I167" s="481">
        <v>1100</v>
      </c>
      <c r="J167" s="481">
        <v>1200</v>
      </c>
      <c r="K167" s="481">
        <v>1200</v>
      </c>
      <c r="L167" s="482"/>
      <c r="M167" s="482"/>
      <c r="N167" s="482"/>
      <c r="O167" s="491"/>
      <c r="P167" s="476">
        <f>SUM(C167:O168)</f>
        <v>10200</v>
      </c>
    </row>
    <row r="168" spans="1:16">
      <c r="A168" s="468"/>
      <c r="B168" s="542"/>
      <c r="C168" s="482"/>
      <c r="D168" s="482"/>
      <c r="E168" s="482"/>
      <c r="F168" s="482"/>
      <c r="G168" s="482"/>
      <c r="H168" s="482"/>
      <c r="I168" s="482"/>
      <c r="J168" s="482"/>
      <c r="K168" s="482"/>
      <c r="L168" s="482"/>
      <c r="M168" s="482"/>
      <c r="N168" s="482"/>
      <c r="O168" s="492"/>
      <c r="P168" s="445"/>
    </row>
    <row r="169" spans="1:16">
      <c r="A169" s="468"/>
      <c r="B169" s="82" t="s">
        <v>363</v>
      </c>
      <c r="C169" s="65">
        <v>44985</v>
      </c>
      <c r="D169" s="65">
        <v>44985</v>
      </c>
      <c r="E169" s="65">
        <v>45043</v>
      </c>
      <c r="F169" s="65">
        <v>45070</v>
      </c>
      <c r="G169" s="65">
        <v>45113</v>
      </c>
      <c r="H169" s="65">
        <v>45138</v>
      </c>
      <c r="I169" s="65">
        <v>45155</v>
      </c>
      <c r="J169" s="65">
        <v>45182</v>
      </c>
      <c r="K169" s="65">
        <v>45223</v>
      </c>
      <c r="L169" s="54"/>
      <c r="M169" s="54"/>
      <c r="N169" s="54"/>
      <c r="O169" s="54"/>
      <c r="P169" s="101"/>
    </row>
    <row r="170" spans="1:16">
      <c r="A170" s="501"/>
      <c r="B170" s="87" t="s">
        <v>377</v>
      </c>
      <c r="C170" s="54" t="s">
        <v>365</v>
      </c>
      <c r="D170" s="54" t="s">
        <v>374</v>
      </c>
      <c r="E170" s="54" t="s">
        <v>374</v>
      </c>
      <c r="F170" s="54" t="s">
        <v>385</v>
      </c>
      <c r="G170" s="54" t="s">
        <v>374</v>
      </c>
      <c r="H170" s="54" t="s">
        <v>374</v>
      </c>
      <c r="I170" s="54" t="s">
        <v>373</v>
      </c>
      <c r="J170" s="54" t="s">
        <v>1135</v>
      </c>
      <c r="K170" s="54" t="s">
        <v>385</v>
      </c>
      <c r="L170" s="54"/>
      <c r="M170" s="54"/>
      <c r="N170" s="54"/>
      <c r="O170" s="54"/>
      <c r="P170" s="101"/>
    </row>
    <row r="171" spans="1:16" ht="25.5" customHeight="1">
      <c r="A171" s="467">
        <v>65</v>
      </c>
      <c r="B171" s="497" t="s">
        <v>324</v>
      </c>
      <c r="C171" s="481">
        <v>3450</v>
      </c>
      <c r="D171" s="481">
        <v>3450</v>
      </c>
      <c r="E171" s="481">
        <v>3450</v>
      </c>
      <c r="F171" s="481">
        <v>3450</v>
      </c>
      <c r="G171" s="481">
        <v>3450</v>
      </c>
      <c r="H171" s="481">
        <v>3450</v>
      </c>
      <c r="I171" s="482"/>
      <c r="J171" s="481">
        <v>3450</v>
      </c>
      <c r="K171" s="482"/>
      <c r="L171" s="482"/>
      <c r="M171" s="481">
        <v>3450</v>
      </c>
      <c r="N171" s="481">
        <v>3450</v>
      </c>
      <c r="O171" s="481">
        <v>3450</v>
      </c>
      <c r="P171" s="476">
        <f>SUM(C171:O172)</f>
        <v>34500</v>
      </c>
    </row>
    <row r="172" spans="1:16">
      <c r="A172" s="468"/>
      <c r="B172" s="542"/>
      <c r="C172" s="482"/>
      <c r="D172" s="482"/>
      <c r="E172" s="482"/>
      <c r="F172" s="482"/>
      <c r="G172" s="482"/>
      <c r="H172" s="482"/>
      <c r="I172" s="482"/>
      <c r="J172" s="482"/>
      <c r="K172" s="482"/>
      <c r="L172" s="482"/>
      <c r="M172" s="482"/>
      <c r="N172" s="482"/>
      <c r="O172" s="482"/>
      <c r="P172" s="445"/>
    </row>
    <row r="173" spans="1:16">
      <c r="A173" s="468"/>
      <c r="B173" s="82" t="s">
        <v>363</v>
      </c>
      <c r="C173" s="65">
        <v>45000</v>
      </c>
      <c r="D173" s="65">
        <v>45000</v>
      </c>
      <c r="E173" s="65">
        <v>45050</v>
      </c>
      <c r="F173" s="65">
        <v>45084</v>
      </c>
      <c r="G173" s="65">
        <v>45107</v>
      </c>
      <c r="H173" s="65">
        <v>45160</v>
      </c>
      <c r="I173" s="54"/>
      <c r="J173" s="65">
        <v>45189</v>
      </c>
      <c r="K173" s="54"/>
      <c r="L173" s="54"/>
      <c r="M173" s="65">
        <v>45644</v>
      </c>
      <c r="N173" s="65">
        <v>45644</v>
      </c>
      <c r="O173" s="65">
        <v>45317</v>
      </c>
      <c r="P173" s="101"/>
    </row>
    <row r="174" spans="1:16">
      <c r="A174" s="478"/>
      <c r="B174" s="87" t="s">
        <v>377</v>
      </c>
      <c r="C174" s="54" t="s">
        <v>372</v>
      </c>
      <c r="D174" s="54" t="s">
        <v>373</v>
      </c>
      <c r="E174" s="54" t="s">
        <v>374</v>
      </c>
      <c r="F174" s="54" t="s">
        <v>371</v>
      </c>
      <c r="G174" s="54" t="s">
        <v>385</v>
      </c>
      <c r="H174" s="54" t="s">
        <v>368</v>
      </c>
      <c r="I174" s="54"/>
      <c r="J174" s="54" t="s">
        <v>368</v>
      </c>
      <c r="K174" s="54"/>
      <c r="L174" s="54"/>
      <c r="M174" s="54" t="s">
        <v>386</v>
      </c>
      <c r="N174" s="54" t="s">
        <v>386</v>
      </c>
      <c r="O174" s="54" t="s">
        <v>386</v>
      </c>
      <c r="P174" s="101"/>
    </row>
    <row r="175" spans="1:16" ht="15" customHeight="1">
      <c r="A175" s="485">
        <v>66</v>
      </c>
      <c r="B175" s="497" t="s">
        <v>194</v>
      </c>
      <c r="C175" s="481">
        <v>1200</v>
      </c>
      <c r="D175" s="481">
        <v>1200</v>
      </c>
      <c r="E175" s="481">
        <v>1200</v>
      </c>
      <c r="F175" s="482"/>
      <c r="G175" s="482"/>
      <c r="H175" s="482"/>
      <c r="I175" s="482"/>
      <c r="J175" s="482"/>
      <c r="K175" s="482"/>
      <c r="L175" s="482"/>
      <c r="M175" s="482"/>
      <c r="N175" s="482"/>
      <c r="O175" s="491"/>
      <c r="P175" s="476">
        <f>SUM(C175:O176)</f>
        <v>3600</v>
      </c>
    </row>
    <row r="176" spans="1:16">
      <c r="A176" s="468"/>
      <c r="B176" s="558"/>
      <c r="C176" s="482"/>
      <c r="D176" s="482"/>
      <c r="E176" s="482"/>
      <c r="F176" s="482"/>
      <c r="G176" s="482"/>
      <c r="H176" s="482"/>
      <c r="I176" s="482"/>
      <c r="J176" s="482"/>
      <c r="K176" s="482"/>
      <c r="L176" s="482"/>
      <c r="M176" s="482"/>
      <c r="N176" s="482"/>
      <c r="O176" s="492"/>
      <c r="P176" s="445"/>
    </row>
    <row r="177" spans="1:16">
      <c r="A177" s="468"/>
      <c r="B177" s="84" t="s">
        <v>363</v>
      </c>
      <c r="C177" s="65">
        <v>44993</v>
      </c>
      <c r="D177" s="65">
        <v>44993</v>
      </c>
      <c r="E177" s="64">
        <v>45323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101"/>
    </row>
    <row r="178" spans="1:16">
      <c r="A178" s="501"/>
      <c r="B178" s="76" t="s">
        <v>377</v>
      </c>
      <c r="C178" s="73" t="s">
        <v>372</v>
      </c>
      <c r="D178" s="54" t="s">
        <v>373</v>
      </c>
      <c r="E178" s="54" t="s">
        <v>1135</v>
      </c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101"/>
    </row>
    <row r="179" spans="1:16" ht="15" customHeight="1">
      <c r="A179" s="485">
        <v>68</v>
      </c>
      <c r="B179" s="497" t="s">
        <v>1325</v>
      </c>
      <c r="C179" s="479" t="s">
        <v>1324</v>
      </c>
      <c r="D179" s="479" t="s">
        <v>1324</v>
      </c>
      <c r="E179" s="479" t="s">
        <v>1324</v>
      </c>
      <c r="F179" s="479" t="s">
        <v>1324</v>
      </c>
      <c r="G179" s="479" t="s">
        <v>1324</v>
      </c>
      <c r="H179" s="479" t="s">
        <v>1324</v>
      </c>
      <c r="I179" s="479" t="s">
        <v>1324</v>
      </c>
      <c r="J179" s="479" t="s">
        <v>1324</v>
      </c>
      <c r="K179" s="479" t="s">
        <v>1324</v>
      </c>
      <c r="L179" s="479" t="s">
        <v>1324</v>
      </c>
      <c r="M179" s="482"/>
      <c r="N179" s="482"/>
      <c r="O179" s="491"/>
      <c r="P179" s="476">
        <f>SUM(C179:O180)</f>
        <v>0</v>
      </c>
    </row>
    <row r="180" spans="1:16">
      <c r="A180" s="468"/>
      <c r="B180" s="558"/>
      <c r="C180" s="480"/>
      <c r="D180" s="480"/>
      <c r="E180" s="480"/>
      <c r="F180" s="480"/>
      <c r="G180" s="480"/>
      <c r="H180" s="480"/>
      <c r="I180" s="480"/>
      <c r="J180" s="480"/>
      <c r="K180" s="480"/>
      <c r="L180" s="480"/>
      <c r="M180" s="482"/>
      <c r="N180" s="482"/>
      <c r="O180" s="492"/>
      <c r="P180" s="445"/>
    </row>
    <row r="181" spans="1:16">
      <c r="A181" s="468"/>
      <c r="B181" s="84" t="s">
        <v>363</v>
      </c>
      <c r="C181" s="65"/>
      <c r="D181" s="65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101"/>
    </row>
    <row r="182" spans="1:16">
      <c r="A182" s="501"/>
      <c r="B182" s="76" t="s">
        <v>377</v>
      </c>
      <c r="C182" s="73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101"/>
    </row>
    <row r="183" spans="1:16" ht="15" customHeight="1">
      <c r="A183" s="467">
        <v>69</v>
      </c>
      <c r="B183" s="470" t="s">
        <v>325</v>
      </c>
      <c r="C183" s="479">
        <v>1320</v>
      </c>
      <c r="D183" s="482"/>
      <c r="E183" s="481"/>
      <c r="F183" s="481">
        <v>1320</v>
      </c>
      <c r="G183" s="481">
        <v>1320</v>
      </c>
      <c r="H183" s="481">
        <v>1320</v>
      </c>
      <c r="I183" s="483">
        <v>1320</v>
      </c>
      <c r="J183" s="481">
        <v>1320</v>
      </c>
      <c r="K183" s="481"/>
      <c r="L183" s="481">
        <v>1320</v>
      </c>
      <c r="M183" s="482"/>
      <c r="N183" s="482"/>
      <c r="O183" s="491"/>
      <c r="P183" s="476">
        <f>SUM(C183:O184)</f>
        <v>9240</v>
      </c>
    </row>
    <row r="184" spans="1:16">
      <c r="A184" s="468"/>
      <c r="B184" s="471"/>
      <c r="C184" s="480"/>
      <c r="D184" s="482"/>
      <c r="E184" s="482"/>
      <c r="F184" s="482"/>
      <c r="G184" s="482"/>
      <c r="H184" s="482"/>
      <c r="I184" s="484"/>
      <c r="J184" s="482"/>
      <c r="K184" s="482"/>
      <c r="L184" s="482"/>
      <c r="M184" s="482"/>
      <c r="N184" s="482"/>
      <c r="O184" s="492"/>
      <c r="P184" s="445"/>
    </row>
    <row r="185" spans="1:16">
      <c r="A185" s="468"/>
      <c r="B185" s="86" t="s">
        <v>363</v>
      </c>
      <c r="C185" s="97">
        <v>44998</v>
      </c>
      <c r="D185" s="54"/>
      <c r="E185" s="65"/>
      <c r="F185" s="65">
        <v>45049</v>
      </c>
      <c r="G185" s="65">
        <v>45082</v>
      </c>
      <c r="H185" s="65">
        <v>45139</v>
      </c>
      <c r="I185" s="65">
        <v>45180</v>
      </c>
      <c r="J185" s="65">
        <v>45209</v>
      </c>
      <c r="K185" s="54"/>
      <c r="L185" s="65">
        <v>45301</v>
      </c>
      <c r="M185" s="54"/>
      <c r="N185" s="54"/>
      <c r="O185" s="54"/>
      <c r="P185" s="101"/>
    </row>
    <row r="186" spans="1:16">
      <c r="A186" s="478"/>
      <c r="B186" s="86" t="s">
        <v>377</v>
      </c>
      <c r="C186" s="73" t="s">
        <v>367</v>
      </c>
      <c r="D186" s="54"/>
      <c r="E186" s="54"/>
      <c r="F186" s="54" t="s">
        <v>368</v>
      </c>
      <c r="G186" s="54" t="s">
        <v>368</v>
      </c>
      <c r="H186" s="54" t="s">
        <v>368</v>
      </c>
      <c r="I186" s="54" t="s">
        <v>368</v>
      </c>
      <c r="J186" s="54" t="s">
        <v>368</v>
      </c>
      <c r="K186" s="54"/>
      <c r="L186" s="54" t="s">
        <v>368</v>
      </c>
      <c r="M186" s="54"/>
      <c r="N186" s="54"/>
      <c r="O186" s="54"/>
      <c r="P186" s="101"/>
    </row>
    <row r="187" spans="1:16" ht="15" customHeight="1">
      <c r="A187" s="485">
        <v>72</v>
      </c>
      <c r="B187" s="470" t="s">
        <v>326</v>
      </c>
      <c r="C187" s="479">
        <v>510</v>
      </c>
      <c r="D187" s="481">
        <v>510</v>
      </c>
      <c r="E187" s="481">
        <v>510</v>
      </c>
      <c r="F187" s="481">
        <v>510</v>
      </c>
      <c r="G187" s="481">
        <v>510</v>
      </c>
      <c r="H187" s="481">
        <v>510</v>
      </c>
      <c r="I187" s="481">
        <v>510</v>
      </c>
      <c r="J187" s="482" t="s">
        <v>1146</v>
      </c>
      <c r="K187" s="482" t="s">
        <v>1146</v>
      </c>
      <c r="L187" s="482" t="s">
        <v>1146</v>
      </c>
      <c r="M187" s="482" t="s">
        <v>1146</v>
      </c>
      <c r="N187" s="481">
        <v>340</v>
      </c>
      <c r="O187" s="482" t="s">
        <v>1146</v>
      </c>
      <c r="P187" s="476">
        <f>SUM(C187:O188)</f>
        <v>3910</v>
      </c>
    </row>
    <row r="188" spans="1:16">
      <c r="A188" s="468"/>
      <c r="B188" s="471"/>
      <c r="C188" s="480"/>
      <c r="D188" s="482"/>
      <c r="E188" s="482"/>
      <c r="F188" s="482"/>
      <c r="G188" s="482"/>
      <c r="H188" s="482"/>
      <c r="I188" s="482"/>
      <c r="J188" s="482"/>
      <c r="K188" s="482"/>
      <c r="L188" s="482"/>
      <c r="M188" s="482"/>
      <c r="N188" s="482"/>
      <c r="O188" s="482"/>
      <c r="P188" s="445"/>
    </row>
    <row r="189" spans="1:16">
      <c r="A189" s="468"/>
      <c r="B189" s="86" t="s">
        <v>363</v>
      </c>
      <c r="C189" s="97">
        <v>44979</v>
      </c>
      <c r="D189" s="65">
        <v>45019</v>
      </c>
      <c r="E189" s="65">
        <v>45043</v>
      </c>
      <c r="F189" s="65">
        <v>45065</v>
      </c>
      <c r="G189" s="65">
        <v>45090</v>
      </c>
      <c r="H189" s="65">
        <v>45125</v>
      </c>
      <c r="I189" s="65">
        <v>45161</v>
      </c>
      <c r="J189" s="54" t="s">
        <v>998</v>
      </c>
      <c r="K189" s="54" t="s">
        <v>998</v>
      </c>
      <c r="L189" s="54" t="s">
        <v>998</v>
      </c>
      <c r="M189" s="54" t="s">
        <v>998</v>
      </c>
      <c r="N189" s="65">
        <v>45161</v>
      </c>
      <c r="O189" s="54" t="s">
        <v>998</v>
      </c>
      <c r="P189" s="101"/>
    </row>
    <row r="190" spans="1:16">
      <c r="A190" s="501"/>
      <c r="B190" s="76" t="s">
        <v>377</v>
      </c>
      <c r="C190" s="73" t="s">
        <v>367</v>
      </c>
      <c r="D190" s="54" t="s">
        <v>368</v>
      </c>
      <c r="E190" s="54" t="s">
        <v>368</v>
      </c>
      <c r="F190" s="54" t="s">
        <v>371</v>
      </c>
      <c r="G190" s="54" t="s">
        <v>368</v>
      </c>
      <c r="H190" s="54" t="s">
        <v>368</v>
      </c>
      <c r="I190" s="54" t="s">
        <v>367</v>
      </c>
      <c r="J190" s="54" t="s">
        <v>998</v>
      </c>
      <c r="K190" s="54" t="s">
        <v>998</v>
      </c>
      <c r="L190" s="54" t="s">
        <v>998</v>
      </c>
      <c r="M190" s="54" t="s">
        <v>998</v>
      </c>
      <c r="N190" s="54" t="s">
        <v>386</v>
      </c>
      <c r="O190" s="54" t="s">
        <v>998</v>
      </c>
      <c r="P190" s="101"/>
    </row>
    <row r="191" spans="1:16" ht="25.5" customHeight="1">
      <c r="A191" s="467">
        <v>74</v>
      </c>
      <c r="B191" s="470" t="s">
        <v>197</v>
      </c>
      <c r="C191" s="479">
        <v>860</v>
      </c>
      <c r="D191" s="481">
        <v>860</v>
      </c>
      <c r="E191" s="481">
        <v>860</v>
      </c>
      <c r="F191" s="481">
        <v>860</v>
      </c>
      <c r="G191" s="481">
        <v>860</v>
      </c>
      <c r="H191" s="481">
        <v>860</v>
      </c>
      <c r="I191" s="481">
        <v>860</v>
      </c>
      <c r="J191" s="481">
        <v>860</v>
      </c>
      <c r="K191" s="481">
        <v>860</v>
      </c>
      <c r="L191" s="481">
        <v>860</v>
      </c>
      <c r="M191" s="481">
        <v>860</v>
      </c>
      <c r="N191" s="481">
        <v>860</v>
      </c>
      <c r="O191" s="481">
        <v>860</v>
      </c>
      <c r="P191" s="476">
        <f>SUM(C191:O192)</f>
        <v>11180</v>
      </c>
    </row>
    <row r="192" spans="1:16">
      <c r="A192" s="468"/>
      <c r="B192" s="471"/>
      <c r="C192" s="480"/>
      <c r="D192" s="482"/>
      <c r="E192" s="482"/>
      <c r="F192" s="482"/>
      <c r="G192" s="482"/>
      <c r="H192" s="482"/>
      <c r="I192" s="482"/>
      <c r="J192" s="482"/>
      <c r="K192" s="482"/>
      <c r="L192" s="482"/>
      <c r="M192" s="482"/>
      <c r="N192" s="482"/>
      <c r="O192" s="482"/>
      <c r="P192" s="445"/>
    </row>
    <row r="193" spans="1:16">
      <c r="A193" s="468"/>
      <c r="B193" s="87" t="s">
        <v>363</v>
      </c>
      <c r="C193" s="65">
        <v>44970</v>
      </c>
      <c r="D193" s="65">
        <v>45001</v>
      </c>
      <c r="E193" s="65">
        <v>45029</v>
      </c>
      <c r="F193" s="65">
        <v>45062</v>
      </c>
      <c r="G193" s="65">
        <v>45091</v>
      </c>
      <c r="H193" s="65">
        <v>45119</v>
      </c>
      <c r="I193" s="65">
        <v>45153</v>
      </c>
      <c r="J193" s="65">
        <v>45182</v>
      </c>
      <c r="K193" s="65">
        <v>45216</v>
      </c>
      <c r="L193" s="65">
        <v>45239</v>
      </c>
      <c r="M193" s="65">
        <v>45272</v>
      </c>
      <c r="N193" s="65">
        <v>45272</v>
      </c>
      <c r="O193" s="65">
        <v>45307</v>
      </c>
      <c r="P193" s="101"/>
    </row>
    <row r="194" spans="1:16">
      <c r="A194" s="478"/>
      <c r="B194" s="76" t="s">
        <v>377</v>
      </c>
      <c r="C194" s="73" t="s">
        <v>368</v>
      </c>
      <c r="D194" s="54" t="s">
        <v>373</v>
      </c>
      <c r="E194" s="54" t="s">
        <v>368</v>
      </c>
      <c r="F194" s="54" t="s">
        <v>368</v>
      </c>
      <c r="G194" s="54" t="s">
        <v>368</v>
      </c>
      <c r="H194" s="54" t="s">
        <v>368</v>
      </c>
      <c r="I194" s="54" t="s">
        <v>367</v>
      </c>
      <c r="J194" s="54" t="s">
        <v>368</v>
      </c>
      <c r="K194" s="54" t="s">
        <v>386</v>
      </c>
      <c r="L194" s="54" t="s">
        <v>386</v>
      </c>
      <c r="M194" s="54" t="s">
        <v>386</v>
      </c>
      <c r="N194" s="54" t="s">
        <v>386</v>
      </c>
      <c r="O194" s="54" t="s">
        <v>386</v>
      </c>
      <c r="P194" s="101"/>
    </row>
    <row r="195" spans="1:16" ht="15" customHeight="1">
      <c r="A195" s="485">
        <v>75</v>
      </c>
      <c r="B195" s="470" t="s">
        <v>198</v>
      </c>
      <c r="C195" s="479">
        <v>240</v>
      </c>
      <c r="D195" s="481">
        <v>240</v>
      </c>
      <c r="E195" s="481">
        <v>240</v>
      </c>
      <c r="F195" s="481">
        <v>240</v>
      </c>
      <c r="G195" s="481">
        <v>240</v>
      </c>
      <c r="H195" s="481">
        <v>240</v>
      </c>
      <c r="I195" s="481">
        <v>240</v>
      </c>
      <c r="J195" s="481">
        <v>240</v>
      </c>
      <c r="K195" s="481">
        <v>240</v>
      </c>
      <c r="L195" s="481">
        <v>240</v>
      </c>
      <c r="M195" s="482"/>
      <c r="N195" s="482"/>
      <c r="O195" s="481">
        <v>240</v>
      </c>
      <c r="P195" s="476">
        <f>SUM(C195:O196)</f>
        <v>2640</v>
      </c>
    </row>
    <row r="196" spans="1:16">
      <c r="A196" s="468"/>
      <c r="B196" s="471"/>
      <c r="C196" s="480"/>
      <c r="D196" s="482"/>
      <c r="E196" s="482"/>
      <c r="F196" s="482"/>
      <c r="G196" s="482"/>
      <c r="H196" s="482"/>
      <c r="I196" s="482"/>
      <c r="J196" s="482"/>
      <c r="K196" s="482"/>
      <c r="L196" s="482"/>
      <c r="M196" s="482"/>
      <c r="N196" s="482"/>
      <c r="O196" s="482"/>
      <c r="P196" s="445"/>
    </row>
    <row r="197" spans="1:16">
      <c r="A197" s="468"/>
      <c r="B197" s="87" t="s">
        <v>363</v>
      </c>
      <c r="C197" s="65">
        <v>44971</v>
      </c>
      <c r="D197" s="65">
        <v>44992</v>
      </c>
      <c r="E197" s="65">
        <v>45020</v>
      </c>
      <c r="F197" s="65">
        <v>45050</v>
      </c>
      <c r="G197" s="65">
        <v>45089</v>
      </c>
      <c r="H197" s="65">
        <v>45119</v>
      </c>
      <c r="I197" s="65">
        <v>45141</v>
      </c>
      <c r="J197" s="65">
        <v>45174</v>
      </c>
      <c r="K197" s="65">
        <v>45204</v>
      </c>
      <c r="L197" s="65">
        <v>45237</v>
      </c>
      <c r="M197" s="54"/>
      <c r="N197" s="54"/>
      <c r="O197" s="65">
        <v>45302</v>
      </c>
      <c r="P197" s="101"/>
    </row>
    <row r="198" spans="1:16">
      <c r="A198" s="501"/>
      <c r="B198" s="76" t="s">
        <v>377</v>
      </c>
      <c r="C198" s="73" t="s">
        <v>368</v>
      </c>
      <c r="D198" s="65" t="s">
        <v>368</v>
      </c>
      <c r="E198" s="54" t="s">
        <v>368</v>
      </c>
      <c r="F198" s="54" t="s">
        <v>368</v>
      </c>
      <c r="G198" s="54" t="s">
        <v>368</v>
      </c>
      <c r="H198" s="54" t="s">
        <v>368</v>
      </c>
      <c r="I198" s="54" t="s">
        <v>367</v>
      </c>
      <c r="J198" s="54" t="s">
        <v>368</v>
      </c>
      <c r="K198" s="54" t="s">
        <v>386</v>
      </c>
      <c r="L198" s="54" t="s">
        <v>386</v>
      </c>
      <c r="M198" s="54"/>
      <c r="N198" s="54"/>
      <c r="O198" s="54" t="s">
        <v>386</v>
      </c>
      <c r="P198" s="101"/>
    </row>
    <row r="199" spans="1:16" ht="15" customHeight="1">
      <c r="A199" s="467">
        <v>77</v>
      </c>
      <c r="B199" s="470" t="s">
        <v>327</v>
      </c>
      <c r="C199" s="479">
        <v>650</v>
      </c>
      <c r="D199" s="479">
        <v>650</v>
      </c>
      <c r="E199" s="479">
        <v>650</v>
      </c>
      <c r="F199" s="479">
        <v>650</v>
      </c>
      <c r="G199" s="482"/>
      <c r="H199" s="482"/>
      <c r="I199" s="482"/>
      <c r="J199" s="482"/>
      <c r="K199" s="482"/>
      <c r="L199" s="482"/>
      <c r="M199" s="482"/>
      <c r="N199" s="482"/>
      <c r="O199" s="491"/>
      <c r="P199" s="476">
        <f>SUM(C199:O200)</f>
        <v>2600</v>
      </c>
    </row>
    <row r="200" spans="1:16">
      <c r="A200" s="468"/>
      <c r="B200" s="471"/>
      <c r="C200" s="480"/>
      <c r="D200" s="480"/>
      <c r="E200" s="480"/>
      <c r="F200" s="480"/>
      <c r="G200" s="482"/>
      <c r="H200" s="482"/>
      <c r="I200" s="482"/>
      <c r="J200" s="482"/>
      <c r="K200" s="482"/>
      <c r="L200" s="482"/>
      <c r="M200" s="482"/>
      <c r="N200" s="482"/>
      <c r="O200" s="492"/>
      <c r="P200" s="445"/>
    </row>
    <row r="201" spans="1:16">
      <c r="A201" s="468"/>
      <c r="B201" s="86" t="s">
        <v>363</v>
      </c>
      <c r="C201" s="97">
        <v>45460</v>
      </c>
      <c r="D201" s="97">
        <v>45460</v>
      </c>
      <c r="E201" s="97">
        <v>45460</v>
      </c>
      <c r="F201" s="97">
        <v>45460</v>
      </c>
      <c r="G201" s="54"/>
      <c r="H201" s="54"/>
      <c r="I201" s="54"/>
      <c r="J201" s="54"/>
      <c r="K201" s="54"/>
      <c r="L201" s="54"/>
      <c r="M201" s="54"/>
      <c r="N201" s="54"/>
      <c r="O201" s="54"/>
      <c r="P201" s="101"/>
    </row>
    <row r="202" spans="1:16">
      <c r="A202" s="478"/>
      <c r="B202" s="76" t="s">
        <v>377</v>
      </c>
      <c r="C202" s="73" t="s">
        <v>384</v>
      </c>
      <c r="D202" s="54" t="s">
        <v>384</v>
      </c>
      <c r="E202" s="54" t="s">
        <v>384</v>
      </c>
      <c r="F202" s="54" t="s">
        <v>384</v>
      </c>
      <c r="G202" s="54"/>
      <c r="H202" s="54"/>
      <c r="I202" s="54"/>
      <c r="J202" s="54"/>
      <c r="K202" s="54"/>
      <c r="L202" s="54"/>
      <c r="M202" s="54"/>
      <c r="N202" s="54"/>
      <c r="O202" s="54"/>
      <c r="P202" s="101"/>
    </row>
    <row r="203" spans="1:16" ht="15" customHeight="1">
      <c r="A203" s="467">
        <v>79</v>
      </c>
      <c r="B203" s="470" t="s">
        <v>364</v>
      </c>
      <c r="C203" s="480" t="s">
        <v>1305</v>
      </c>
      <c r="D203" s="482"/>
      <c r="E203" s="482"/>
      <c r="F203" s="482"/>
      <c r="G203" s="482"/>
      <c r="H203" s="482"/>
      <c r="I203" s="482"/>
      <c r="J203" s="482"/>
      <c r="K203" s="482"/>
      <c r="L203" s="482"/>
      <c r="M203" s="482"/>
      <c r="N203" s="482"/>
      <c r="O203" s="491"/>
      <c r="P203" s="476">
        <f>SUM(C203:O204)</f>
        <v>0</v>
      </c>
    </row>
    <row r="204" spans="1:16">
      <c r="A204" s="468"/>
      <c r="B204" s="471"/>
      <c r="C204" s="480"/>
      <c r="D204" s="482"/>
      <c r="E204" s="482"/>
      <c r="F204" s="482"/>
      <c r="G204" s="482"/>
      <c r="H204" s="482"/>
      <c r="I204" s="482"/>
      <c r="J204" s="482"/>
      <c r="K204" s="482"/>
      <c r="L204" s="482"/>
      <c r="M204" s="482"/>
      <c r="N204" s="482"/>
      <c r="O204" s="492"/>
      <c r="P204" s="445"/>
    </row>
    <row r="205" spans="1:16">
      <c r="A205" s="468"/>
      <c r="B205" s="86" t="s">
        <v>363</v>
      </c>
      <c r="C205" s="73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101"/>
    </row>
    <row r="206" spans="1:16">
      <c r="A206" s="478"/>
      <c r="B206" s="76" t="s">
        <v>377</v>
      </c>
      <c r="C206" s="73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101"/>
    </row>
    <row r="207" spans="1:16" ht="15" customHeight="1">
      <c r="A207" s="485">
        <v>80</v>
      </c>
      <c r="B207" s="470" t="s">
        <v>328</v>
      </c>
      <c r="C207" s="480" t="s">
        <v>1305</v>
      </c>
      <c r="D207" s="482"/>
      <c r="E207" s="482"/>
      <c r="F207" s="482"/>
      <c r="G207" s="482"/>
      <c r="H207" s="482"/>
      <c r="I207" s="482"/>
      <c r="J207" s="482"/>
      <c r="K207" s="482"/>
      <c r="L207" s="482"/>
      <c r="M207" s="482"/>
      <c r="N207" s="482"/>
      <c r="O207" s="491"/>
      <c r="P207" s="476">
        <f>SUM(C207:O208)</f>
        <v>0</v>
      </c>
    </row>
    <row r="208" spans="1:16">
      <c r="A208" s="468"/>
      <c r="B208" s="471"/>
      <c r="C208" s="480"/>
      <c r="D208" s="482"/>
      <c r="E208" s="482"/>
      <c r="F208" s="482"/>
      <c r="G208" s="482"/>
      <c r="H208" s="482"/>
      <c r="I208" s="482"/>
      <c r="J208" s="482"/>
      <c r="K208" s="482"/>
      <c r="L208" s="482"/>
      <c r="M208" s="482"/>
      <c r="N208" s="482"/>
      <c r="O208" s="492"/>
      <c r="P208" s="445"/>
    </row>
    <row r="209" spans="1:16">
      <c r="A209" s="468"/>
      <c r="B209" s="86" t="s">
        <v>363</v>
      </c>
      <c r="C209" s="73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101"/>
    </row>
    <row r="210" spans="1:16">
      <c r="A210" s="501"/>
      <c r="B210" s="76" t="s">
        <v>377</v>
      </c>
      <c r="C210" s="73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101"/>
    </row>
    <row r="211" spans="1:16" ht="15" customHeight="1">
      <c r="A211" s="467">
        <v>82</v>
      </c>
      <c r="B211" s="470" t="s">
        <v>202</v>
      </c>
      <c r="C211" s="479">
        <v>550</v>
      </c>
      <c r="D211" s="481">
        <v>550</v>
      </c>
      <c r="E211" s="481">
        <v>550</v>
      </c>
      <c r="F211" s="481">
        <v>550</v>
      </c>
      <c r="G211" s="481">
        <v>550</v>
      </c>
      <c r="H211" s="481">
        <v>550</v>
      </c>
      <c r="I211" s="481">
        <v>550</v>
      </c>
      <c r="J211" s="481">
        <v>550</v>
      </c>
      <c r="K211" s="481">
        <v>550</v>
      </c>
      <c r="L211" s="481">
        <v>550</v>
      </c>
      <c r="M211" s="481">
        <v>550</v>
      </c>
      <c r="N211" s="481">
        <v>550</v>
      </c>
      <c r="O211" s="481">
        <v>550</v>
      </c>
      <c r="P211" s="476">
        <f>SUM(C211:O212)</f>
        <v>7150</v>
      </c>
    </row>
    <row r="212" spans="1:16">
      <c r="A212" s="468"/>
      <c r="B212" s="471"/>
      <c r="C212" s="480"/>
      <c r="D212" s="482"/>
      <c r="E212" s="482"/>
      <c r="F212" s="482"/>
      <c r="G212" s="482"/>
      <c r="H212" s="482"/>
      <c r="I212" s="482"/>
      <c r="J212" s="482"/>
      <c r="K212" s="482"/>
      <c r="L212" s="482"/>
      <c r="M212" s="482"/>
      <c r="N212" s="482"/>
      <c r="O212" s="482"/>
      <c r="P212" s="445"/>
    </row>
    <row r="213" spans="1:16">
      <c r="A213" s="468"/>
      <c r="B213" s="86" t="s">
        <v>363</v>
      </c>
      <c r="C213" s="97">
        <v>44965</v>
      </c>
      <c r="D213" s="65">
        <v>44992</v>
      </c>
      <c r="E213" s="65">
        <v>45026</v>
      </c>
      <c r="F213" s="65">
        <v>45056</v>
      </c>
      <c r="G213" s="65">
        <v>45083</v>
      </c>
      <c r="H213" s="65">
        <v>45114</v>
      </c>
      <c r="I213" s="65">
        <v>45146</v>
      </c>
      <c r="J213" s="65">
        <v>45182</v>
      </c>
      <c r="K213" s="65">
        <v>45208</v>
      </c>
      <c r="L213" s="65">
        <v>45237</v>
      </c>
      <c r="M213" s="65">
        <v>45271</v>
      </c>
      <c r="N213" s="65">
        <v>45271</v>
      </c>
      <c r="O213" s="65">
        <v>45300</v>
      </c>
      <c r="P213" s="101"/>
    </row>
    <row r="214" spans="1:16">
      <c r="A214" s="501"/>
      <c r="B214" s="76" t="s">
        <v>377</v>
      </c>
      <c r="C214" s="73" t="s">
        <v>368</v>
      </c>
      <c r="D214" s="54" t="s">
        <v>368</v>
      </c>
      <c r="E214" s="54" t="s">
        <v>368</v>
      </c>
      <c r="F214" s="54" t="s">
        <v>368</v>
      </c>
      <c r="G214" s="54" t="s">
        <v>368</v>
      </c>
      <c r="H214" s="54" t="s">
        <v>368</v>
      </c>
      <c r="I214" s="54" t="s">
        <v>367</v>
      </c>
      <c r="J214" s="54" t="s">
        <v>368</v>
      </c>
      <c r="K214" s="54" t="s">
        <v>386</v>
      </c>
      <c r="L214" s="54" t="s">
        <v>386</v>
      </c>
      <c r="M214" s="54" t="s">
        <v>386</v>
      </c>
      <c r="N214" s="54" t="s">
        <v>386</v>
      </c>
      <c r="O214" s="54" t="s">
        <v>386</v>
      </c>
      <c r="P214" s="101"/>
    </row>
    <row r="215" spans="1:16" ht="15" customHeight="1">
      <c r="A215" s="467">
        <v>85</v>
      </c>
      <c r="B215" s="559" t="s">
        <v>329</v>
      </c>
      <c r="C215" s="482">
        <v>4350</v>
      </c>
      <c r="D215" s="482">
        <v>4350</v>
      </c>
      <c r="E215" s="482">
        <v>5350</v>
      </c>
      <c r="F215" s="473">
        <v>4350</v>
      </c>
      <c r="G215" s="482">
        <v>4350</v>
      </c>
      <c r="H215" s="482">
        <v>4350</v>
      </c>
      <c r="I215" s="482">
        <v>4350</v>
      </c>
      <c r="J215" s="482">
        <v>4350</v>
      </c>
      <c r="K215" s="482"/>
      <c r="L215" s="482"/>
      <c r="M215" s="482"/>
      <c r="N215" s="482"/>
      <c r="O215" s="491"/>
      <c r="P215" s="476">
        <f>SUM(C215:O216)</f>
        <v>35800</v>
      </c>
    </row>
    <row r="216" spans="1:16">
      <c r="A216" s="468"/>
      <c r="B216" s="560"/>
      <c r="C216" s="482"/>
      <c r="D216" s="482"/>
      <c r="E216" s="482"/>
      <c r="F216" s="473"/>
      <c r="G216" s="482"/>
      <c r="H216" s="482"/>
      <c r="I216" s="482"/>
      <c r="J216" s="482"/>
      <c r="K216" s="482"/>
      <c r="L216" s="482"/>
      <c r="M216" s="482"/>
      <c r="N216" s="482"/>
      <c r="O216" s="492"/>
      <c r="P216" s="445"/>
    </row>
    <row r="217" spans="1:16">
      <c r="A217" s="468"/>
      <c r="B217" s="93" t="s">
        <v>363</v>
      </c>
      <c r="C217" s="65">
        <v>45643</v>
      </c>
      <c r="D217" s="65">
        <v>45643</v>
      </c>
      <c r="E217" s="64">
        <v>45680</v>
      </c>
      <c r="F217" s="65">
        <v>45699</v>
      </c>
      <c r="G217" s="65">
        <v>45793</v>
      </c>
      <c r="H217" s="65">
        <v>45862</v>
      </c>
      <c r="I217" s="65">
        <v>45926</v>
      </c>
      <c r="J217" s="64">
        <v>45975</v>
      </c>
      <c r="K217" s="54"/>
      <c r="L217" s="54"/>
      <c r="M217" s="54"/>
      <c r="N217" s="54"/>
      <c r="O217" s="54"/>
      <c r="P217" s="101"/>
    </row>
    <row r="218" spans="1:16">
      <c r="A218" s="501"/>
      <c r="B218" s="94" t="s">
        <v>377</v>
      </c>
      <c r="C218" s="54" t="s">
        <v>385</v>
      </c>
      <c r="D218" s="54" t="s">
        <v>385</v>
      </c>
      <c r="E218" s="54" t="s">
        <v>385</v>
      </c>
      <c r="F218" s="54" t="s">
        <v>385</v>
      </c>
      <c r="G218" s="54" t="s">
        <v>374</v>
      </c>
      <c r="H218" s="54" t="s">
        <v>374</v>
      </c>
      <c r="I218" s="54" t="s">
        <v>386</v>
      </c>
      <c r="J218" s="54" t="s">
        <v>385</v>
      </c>
      <c r="K218" s="54"/>
      <c r="L218" s="54"/>
      <c r="M218" s="54"/>
      <c r="N218" s="54"/>
      <c r="O218" s="54"/>
      <c r="P218" s="101"/>
    </row>
    <row r="219" spans="1:16" ht="15" customHeight="1">
      <c r="A219" s="467">
        <v>87</v>
      </c>
      <c r="B219" s="559" t="s">
        <v>204</v>
      </c>
      <c r="C219" s="481">
        <v>550</v>
      </c>
      <c r="D219" s="481">
        <v>550</v>
      </c>
      <c r="E219" s="481">
        <v>550</v>
      </c>
      <c r="F219" s="481">
        <v>550</v>
      </c>
      <c r="G219" s="481">
        <v>550</v>
      </c>
      <c r="H219" s="481">
        <v>550</v>
      </c>
      <c r="I219" s="481">
        <v>550</v>
      </c>
      <c r="J219" s="481">
        <v>550</v>
      </c>
      <c r="K219" s="481">
        <v>550</v>
      </c>
      <c r="L219" s="481">
        <v>550</v>
      </c>
      <c r="M219" s="481">
        <v>550</v>
      </c>
      <c r="N219" s="481">
        <v>550</v>
      </c>
      <c r="O219" s="481">
        <v>550</v>
      </c>
      <c r="P219" s="476">
        <f>SUM(C219:O220)</f>
        <v>7150</v>
      </c>
    </row>
    <row r="220" spans="1:16">
      <c r="A220" s="468"/>
      <c r="B220" s="561"/>
      <c r="C220" s="482"/>
      <c r="D220" s="482"/>
      <c r="E220" s="482"/>
      <c r="F220" s="482"/>
      <c r="G220" s="482"/>
      <c r="H220" s="482"/>
      <c r="I220" s="482"/>
      <c r="J220" s="482"/>
      <c r="K220" s="482"/>
      <c r="L220" s="482"/>
      <c r="M220" s="482"/>
      <c r="N220" s="482"/>
      <c r="O220" s="482"/>
      <c r="P220" s="445"/>
    </row>
    <row r="221" spans="1:16">
      <c r="A221" s="468"/>
      <c r="B221" s="93" t="s">
        <v>363</v>
      </c>
      <c r="C221" s="65">
        <v>44971</v>
      </c>
      <c r="D221" s="65">
        <v>44999</v>
      </c>
      <c r="E221" s="65">
        <v>45030</v>
      </c>
      <c r="F221" s="65">
        <v>45061</v>
      </c>
      <c r="G221" s="65">
        <v>45092</v>
      </c>
      <c r="H221" s="65">
        <v>45118</v>
      </c>
      <c r="I221" s="65">
        <v>45152</v>
      </c>
      <c r="J221" s="65">
        <v>45184</v>
      </c>
      <c r="K221" s="65">
        <v>45212</v>
      </c>
      <c r="L221" s="65">
        <v>45243</v>
      </c>
      <c r="M221" s="65">
        <v>45639</v>
      </c>
      <c r="N221" s="65">
        <v>45639</v>
      </c>
      <c r="O221" s="65">
        <v>45306</v>
      </c>
      <c r="P221" s="101"/>
    </row>
    <row r="222" spans="1:16">
      <c r="A222" s="501"/>
      <c r="B222" s="93" t="s">
        <v>377</v>
      </c>
      <c r="C222" s="54" t="s">
        <v>368</v>
      </c>
      <c r="D222" s="54" t="s">
        <v>368</v>
      </c>
      <c r="E222" s="54" t="s">
        <v>368</v>
      </c>
      <c r="F222" s="54" t="s">
        <v>384</v>
      </c>
      <c r="G222" s="54" t="s">
        <v>368</v>
      </c>
      <c r="H222" s="54" t="s">
        <v>373</v>
      </c>
      <c r="I222" s="54" t="s">
        <v>373</v>
      </c>
      <c r="J222" s="54" t="s">
        <v>368</v>
      </c>
      <c r="K222" s="54" t="s">
        <v>386</v>
      </c>
      <c r="L222" s="54" t="s">
        <v>373</v>
      </c>
      <c r="M222" s="54" t="s">
        <v>373</v>
      </c>
      <c r="N222" s="54" t="s">
        <v>1135</v>
      </c>
      <c r="O222" s="54" t="s">
        <v>386</v>
      </c>
      <c r="P222" s="101"/>
    </row>
    <row r="223" spans="1:16">
      <c r="A223" s="467">
        <v>92</v>
      </c>
      <c r="B223" s="559" t="s">
        <v>55</v>
      </c>
      <c r="C223" s="482"/>
      <c r="D223" s="482"/>
      <c r="E223" s="481">
        <v>470</v>
      </c>
      <c r="F223" s="482"/>
      <c r="G223" s="482"/>
      <c r="H223" s="482"/>
      <c r="I223" s="482"/>
      <c r="J223" s="482"/>
      <c r="K223" s="482"/>
      <c r="L223" s="482"/>
      <c r="M223" s="482"/>
      <c r="N223" s="482"/>
      <c r="O223" s="491"/>
      <c r="P223" s="476">
        <f>SUM(C223:O224)</f>
        <v>470</v>
      </c>
    </row>
    <row r="224" spans="1:16">
      <c r="A224" s="468"/>
      <c r="B224" s="561"/>
      <c r="C224" s="482"/>
      <c r="D224" s="482"/>
      <c r="E224" s="482"/>
      <c r="F224" s="482"/>
      <c r="G224" s="482"/>
      <c r="H224" s="482"/>
      <c r="I224" s="482"/>
      <c r="J224" s="482"/>
      <c r="K224" s="482"/>
      <c r="L224" s="482"/>
      <c r="M224" s="482"/>
      <c r="N224" s="482"/>
      <c r="O224" s="492"/>
      <c r="P224" s="445"/>
    </row>
    <row r="225" spans="1:16">
      <c r="A225" s="468"/>
      <c r="B225" s="93" t="s">
        <v>363</v>
      </c>
      <c r="C225" s="54"/>
      <c r="D225" s="54"/>
      <c r="E225" s="65">
        <v>44996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101"/>
    </row>
    <row r="226" spans="1:16">
      <c r="A226" s="501"/>
      <c r="B226" s="94" t="s">
        <v>377</v>
      </c>
      <c r="C226" s="54"/>
      <c r="D226" s="54"/>
      <c r="E226" s="54" t="s">
        <v>368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101"/>
    </row>
    <row r="227" spans="1:16">
      <c r="A227" s="467">
        <v>93</v>
      </c>
      <c r="B227" s="562" t="s">
        <v>56</v>
      </c>
      <c r="C227" s="500">
        <v>1500</v>
      </c>
      <c r="D227" s="500">
        <v>1500</v>
      </c>
      <c r="E227" s="500">
        <v>1500</v>
      </c>
      <c r="F227" s="500">
        <v>1500</v>
      </c>
      <c r="G227" s="500">
        <v>1500</v>
      </c>
      <c r="H227" s="491" t="s">
        <v>1324</v>
      </c>
      <c r="I227" s="491" t="s">
        <v>1324</v>
      </c>
      <c r="J227" s="491" t="s">
        <v>1324</v>
      </c>
      <c r="K227" s="491" t="s">
        <v>1324</v>
      </c>
      <c r="L227" s="491" t="s">
        <v>1324</v>
      </c>
      <c r="M227" s="491"/>
      <c r="N227" s="491"/>
      <c r="O227" s="491"/>
      <c r="P227" s="493">
        <f>SUM(C227:O228)</f>
        <v>7500</v>
      </c>
    </row>
    <row r="228" spans="1:16">
      <c r="A228" s="468"/>
      <c r="B228" s="562"/>
      <c r="C228" s="482"/>
      <c r="D228" s="482"/>
      <c r="E228" s="482"/>
      <c r="F228" s="482"/>
      <c r="G228" s="482"/>
      <c r="H228" s="492"/>
      <c r="I228" s="492"/>
      <c r="J228" s="492"/>
      <c r="K228" s="492"/>
      <c r="L228" s="492"/>
      <c r="M228" s="492"/>
      <c r="N228" s="492"/>
      <c r="O228" s="492"/>
      <c r="P228" s="494"/>
    </row>
    <row r="229" spans="1:16">
      <c r="A229" s="468"/>
      <c r="B229" s="93" t="s">
        <v>363</v>
      </c>
      <c r="C229" s="65">
        <v>44973</v>
      </c>
      <c r="D229" s="65">
        <v>44972</v>
      </c>
      <c r="E229" s="65">
        <v>45000</v>
      </c>
      <c r="F229" s="65">
        <v>45034</v>
      </c>
      <c r="G229" s="65">
        <v>45063</v>
      </c>
      <c r="H229" s="54"/>
      <c r="I229" s="54"/>
      <c r="J229" s="54"/>
      <c r="K229" s="54"/>
      <c r="L229" s="54"/>
      <c r="M229" s="54"/>
      <c r="N229" s="54"/>
      <c r="O229" s="54"/>
      <c r="P229" s="101"/>
    </row>
    <row r="230" spans="1:16">
      <c r="A230" s="501"/>
      <c r="B230" s="93" t="s">
        <v>377</v>
      </c>
      <c r="C230" s="54" t="s">
        <v>367</v>
      </c>
      <c r="D230" s="54" t="s">
        <v>368</v>
      </c>
      <c r="E230" s="54" t="s">
        <v>368</v>
      </c>
      <c r="F230" s="54" t="s">
        <v>368</v>
      </c>
      <c r="G230" s="54" t="s">
        <v>368</v>
      </c>
      <c r="H230" s="54"/>
      <c r="I230" s="54"/>
      <c r="J230" s="54"/>
      <c r="K230" s="54"/>
      <c r="L230" s="54"/>
      <c r="M230" s="54"/>
      <c r="N230" s="54"/>
      <c r="O230" s="54"/>
      <c r="P230" s="101"/>
    </row>
    <row r="231" spans="1:16" ht="25.5" customHeight="1">
      <c r="A231" s="467">
        <v>94</v>
      </c>
      <c r="B231" s="559" t="s">
        <v>207</v>
      </c>
      <c r="C231" s="481">
        <v>1615</v>
      </c>
      <c r="D231" s="481">
        <v>1615</v>
      </c>
      <c r="E231" s="481">
        <v>1615</v>
      </c>
      <c r="F231" s="481">
        <v>1615</v>
      </c>
      <c r="G231" s="481">
        <v>1615</v>
      </c>
      <c r="H231" s="482"/>
      <c r="I231" s="482"/>
      <c r="J231" s="482"/>
      <c r="K231" s="482"/>
      <c r="L231" s="482"/>
      <c r="M231" s="482"/>
      <c r="N231" s="482"/>
      <c r="O231" s="491"/>
      <c r="P231" s="476">
        <f>SUM(C231:O232)</f>
        <v>8075</v>
      </c>
    </row>
    <row r="232" spans="1:16">
      <c r="A232" s="468"/>
      <c r="B232" s="561"/>
      <c r="C232" s="482"/>
      <c r="D232" s="482"/>
      <c r="E232" s="482"/>
      <c r="F232" s="482"/>
      <c r="G232" s="482"/>
      <c r="H232" s="482"/>
      <c r="I232" s="482"/>
      <c r="J232" s="482"/>
      <c r="K232" s="482"/>
      <c r="L232" s="482"/>
      <c r="M232" s="482"/>
      <c r="N232" s="482"/>
      <c r="O232" s="492"/>
      <c r="P232" s="445"/>
    </row>
    <row r="233" spans="1:16">
      <c r="A233" s="468"/>
      <c r="B233" s="93" t="s">
        <v>363</v>
      </c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101"/>
    </row>
    <row r="234" spans="1:16">
      <c r="A234" s="478"/>
      <c r="B234" s="94" t="s">
        <v>377</v>
      </c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101"/>
    </row>
    <row r="235" spans="1:16" ht="15" customHeight="1">
      <c r="A235" s="467">
        <v>101</v>
      </c>
      <c r="B235" s="559" t="s">
        <v>58</v>
      </c>
      <c r="C235" s="482" t="s">
        <v>1305</v>
      </c>
      <c r="D235" s="482"/>
      <c r="E235" s="482"/>
      <c r="F235" s="482"/>
      <c r="G235" s="482"/>
      <c r="H235" s="482"/>
      <c r="I235" s="482"/>
      <c r="J235" s="482"/>
      <c r="K235" s="482"/>
      <c r="L235" s="482"/>
      <c r="M235" s="482"/>
      <c r="N235" s="482"/>
      <c r="O235" s="491"/>
      <c r="P235" s="476">
        <f>SUM(C235:O236)</f>
        <v>0</v>
      </c>
    </row>
    <row r="236" spans="1:16">
      <c r="A236" s="468"/>
      <c r="B236" s="561"/>
      <c r="C236" s="482"/>
      <c r="D236" s="482"/>
      <c r="E236" s="482"/>
      <c r="F236" s="482"/>
      <c r="G236" s="482"/>
      <c r="H236" s="482"/>
      <c r="I236" s="482"/>
      <c r="J236" s="482"/>
      <c r="K236" s="482"/>
      <c r="L236" s="482"/>
      <c r="M236" s="482"/>
      <c r="N236" s="482"/>
      <c r="O236" s="492"/>
      <c r="P236" s="445"/>
    </row>
    <row r="237" spans="1:16">
      <c r="A237" s="468"/>
      <c r="B237" s="93" t="s">
        <v>363</v>
      </c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101"/>
    </row>
    <row r="238" spans="1:16">
      <c r="A238" s="501"/>
      <c r="B238" s="94" t="s">
        <v>377</v>
      </c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101"/>
    </row>
    <row r="239" spans="1:16" ht="15" customHeight="1">
      <c r="A239" s="467">
        <v>103</v>
      </c>
      <c r="B239" s="559" t="s">
        <v>330</v>
      </c>
      <c r="C239" s="482" t="s">
        <v>1305</v>
      </c>
      <c r="D239" s="482"/>
      <c r="E239" s="482"/>
      <c r="F239" s="482"/>
      <c r="G239" s="482"/>
      <c r="H239" s="482"/>
      <c r="I239" s="482"/>
      <c r="J239" s="482"/>
      <c r="K239" s="482"/>
      <c r="L239" s="482"/>
      <c r="M239" s="482"/>
      <c r="N239" s="482"/>
      <c r="O239" s="491"/>
      <c r="P239" s="476">
        <f>SUM(C239:O240)</f>
        <v>0</v>
      </c>
    </row>
    <row r="240" spans="1:16">
      <c r="A240" s="468"/>
      <c r="B240" s="560"/>
      <c r="C240" s="482"/>
      <c r="D240" s="482"/>
      <c r="E240" s="482"/>
      <c r="F240" s="482"/>
      <c r="G240" s="482"/>
      <c r="H240" s="482"/>
      <c r="I240" s="482"/>
      <c r="J240" s="482"/>
      <c r="K240" s="482"/>
      <c r="L240" s="482"/>
      <c r="M240" s="482"/>
      <c r="N240" s="482"/>
      <c r="O240" s="492"/>
      <c r="P240" s="445"/>
    </row>
    <row r="241" spans="1:16">
      <c r="A241" s="468"/>
      <c r="B241" s="82" t="s">
        <v>363</v>
      </c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101"/>
    </row>
    <row r="242" spans="1:16">
      <c r="A242" s="478"/>
      <c r="B242" s="87" t="s">
        <v>377</v>
      </c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101"/>
    </row>
    <row r="243" spans="1:16" ht="25.5" customHeight="1">
      <c r="A243" s="485">
        <v>104</v>
      </c>
      <c r="B243" s="497" t="s">
        <v>60</v>
      </c>
      <c r="C243" s="481">
        <v>810</v>
      </c>
      <c r="D243" s="481">
        <v>810</v>
      </c>
      <c r="E243" s="481">
        <v>810</v>
      </c>
      <c r="F243" s="500">
        <v>810</v>
      </c>
      <c r="G243" s="500">
        <v>810</v>
      </c>
      <c r="H243" s="481">
        <v>810</v>
      </c>
      <c r="I243" s="481">
        <v>810</v>
      </c>
      <c r="J243" s="481">
        <v>810</v>
      </c>
      <c r="K243" s="481">
        <v>810</v>
      </c>
      <c r="L243" s="481">
        <v>810</v>
      </c>
      <c r="M243" s="481">
        <v>810</v>
      </c>
      <c r="N243" s="481">
        <v>810</v>
      </c>
      <c r="O243" s="481">
        <v>810</v>
      </c>
      <c r="P243" s="476">
        <f>SUM(C243:O244)</f>
        <v>10530</v>
      </c>
    </row>
    <row r="244" spans="1:16">
      <c r="A244" s="468"/>
      <c r="B244" s="558"/>
      <c r="C244" s="482"/>
      <c r="D244" s="482"/>
      <c r="E244" s="482"/>
      <c r="F244" s="482"/>
      <c r="G244" s="482"/>
      <c r="H244" s="482"/>
      <c r="I244" s="482"/>
      <c r="J244" s="482"/>
      <c r="K244" s="482"/>
      <c r="L244" s="482"/>
      <c r="M244" s="482"/>
      <c r="N244" s="482"/>
      <c r="O244" s="482"/>
      <c r="P244" s="445"/>
    </row>
    <row r="245" spans="1:16">
      <c r="A245" s="468"/>
      <c r="B245" s="84" t="s">
        <v>363</v>
      </c>
      <c r="C245" s="65">
        <v>44965</v>
      </c>
      <c r="D245" s="65">
        <v>44992</v>
      </c>
      <c r="E245" s="65">
        <v>45022</v>
      </c>
      <c r="F245" s="65">
        <v>45054</v>
      </c>
      <c r="G245" s="65">
        <v>45083</v>
      </c>
      <c r="H245" s="54" t="s">
        <v>1020</v>
      </c>
      <c r="I245" s="65">
        <v>45145</v>
      </c>
      <c r="J245" s="65">
        <v>45180</v>
      </c>
      <c r="K245" s="65">
        <v>45205</v>
      </c>
      <c r="L245" s="65">
        <v>45238</v>
      </c>
      <c r="M245" s="65">
        <v>45265</v>
      </c>
      <c r="N245" s="65">
        <v>45265</v>
      </c>
      <c r="O245" s="65">
        <v>45299</v>
      </c>
      <c r="P245" s="101"/>
    </row>
    <row r="246" spans="1:16">
      <c r="A246" s="501"/>
      <c r="B246" s="84" t="s">
        <v>377</v>
      </c>
      <c r="C246" s="54" t="s">
        <v>368</v>
      </c>
      <c r="D246" s="54" t="s">
        <v>368</v>
      </c>
      <c r="E246" s="54" t="s">
        <v>368</v>
      </c>
      <c r="F246" s="54" t="s">
        <v>368</v>
      </c>
      <c r="G246" s="54" t="s">
        <v>368</v>
      </c>
      <c r="H246" s="54" t="s">
        <v>368</v>
      </c>
      <c r="I246" s="54" t="s">
        <v>367</v>
      </c>
      <c r="J246" s="54" t="s">
        <v>368</v>
      </c>
      <c r="K246" s="54" t="s">
        <v>386</v>
      </c>
      <c r="L246" s="54" t="s">
        <v>386</v>
      </c>
      <c r="M246" s="54" t="s">
        <v>384</v>
      </c>
      <c r="N246" s="54" t="s">
        <v>384</v>
      </c>
      <c r="O246" s="54" t="s">
        <v>384</v>
      </c>
      <c r="P246" s="101"/>
    </row>
    <row r="247" spans="1:16">
      <c r="A247" s="467">
        <v>111</v>
      </c>
      <c r="B247" s="470" t="s">
        <v>214</v>
      </c>
      <c r="C247" s="479">
        <v>330</v>
      </c>
      <c r="D247" s="482">
        <v>330</v>
      </c>
      <c r="E247" s="482">
        <v>330</v>
      </c>
      <c r="F247" s="482">
        <v>330</v>
      </c>
      <c r="G247" s="482">
        <v>330</v>
      </c>
      <c r="H247" s="482">
        <v>330</v>
      </c>
      <c r="I247" s="482">
        <v>330</v>
      </c>
      <c r="J247" s="482">
        <v>330</v>
      </c>
      <c r="K247" s="482">
        <v>330</v>
      </c>
      <c r="L247" s="482">
        <v>330</v>
      </c>
      <c r="M247" s="482">
        <v>330</v>
      </c>
      <c r="N247" s="482" t="s">
        <v>998</v>
      </c>
      <c r="O247" s="482">
        <v>330</v>
      </c>
      <c r="P247" s="476">
        <f>SUM(C247:O248)</f>
        <v>3960</v>
      </c>
    </row>
    <row r="248" spans="1:16">
      <c r="A248" s="468"/>
      <c r="B248" s="471"/>
      <c r="C248" s="480"/>
      <c r="D248" s="482"/>
      <c r="E248" s="482"/>
      <c r="F248" s="482"/>
      <c r="G248" s="482"/>
      <c r="H248" s="482"/>
      <c r="I248" s="482"/>
      <c r="J248" s="482"/>
      <c r="K248" s="482"/>
      <c r="L248" s="482"/>
      <c r="M248" s="482"/>
      <c r="N248" s="482"/>
      <c r="O248" s="482"/>
      <c r="P248" s="445"/>
    </row>
    <row r="249" spans="1:16">
      <c r="A249" s="468"/>
      <c r="B249" s="86" t="s">
        <v>363</v>
      </c>
      <c r="C249" s="97" t="s">
        <v>998</v>
      </c>
      <c r="D249" s="65">
        <v>45148</v>
      </c>
      <c r="E249" s="65">
        <v>45148</v>
      </c>
      <c r="F249" s="65">
        <v>45148</v>
      </c>
      <c r="G249" s="65">
        <v>45148</v>
      </c>
      <c r="H249" s="65">
        <v>45148</v>
      </c>
      <c r="I249" s="65">
        <v>45148</v>
      </c>
      <c r="J249" s="65">
        <v>45639</v>
      </c>
      <c r="K249" s="65">
        <v>45639</v>
      </c>
      <c r="L249" s="65">
        <v>45639</v>
      </c>
      <c r="M249" s="65">
        <v>45639</v>
      </c>
      <c r="N249" s="54" t="s">
        <v>998</v>
      </c>
      <c r="O249" s="65">
        <v>45639</v>
      </c>
      <c r="P249" s="101"/>
    </row>
    <row r="250" spans="1:16">
      <c r="A250" s="501"/>
      <c r="B250" s="86" t="s">
        <v>377</v>
      </c>
      <c r="C250" s="73" t="s">
        <v>998</v>
      </c>
      <c r="D250" s="54" t="s">
        <v>368</v>
      </c>
      <c r="E250" s="54" t="s">
        <v>368</v>
      </c>
      <c r="F250" s="54" t="s">
        <v>368</v>
      </c>
      <c r="G250" s="54" t="s">
        <v>368</v>
      </c>
      <c r="H250" s="54" t="s">
        <v>368</v>
      </c>
      <c r="I250" s="54" t="s">
        <v>368</v>
      </c>
      <c r="J250" s="54" t="s">
        <v>368</v>
      </c>
      <c r="K250" s="54" t="s">
        <v>386</v>
      </c>
      <c r="L250" s="54" t="s">
        <v>386</v>
      </c>
      <c r="M250" s="54" t="s">
        <v>368</v>
      </c>
      <c r="N250" s="54" t="s">
        <v>998</v>
      </c>
      <c r="O250" s="54" t="s">
        <v>386</v>
      </c>
      <c r="P250" s="101"/>
    </row>
    <row r="251" spans="1:16" ht="15" customHeight="1">
      <c r="A251" s="467">
        <v>112</v>
      </c>
      <c r="B251" s="470" t="s">
        <v>1203</v>
      </c>
      <c r="C251" s="480" t="s">
        <v>1305</v>
      </c>
      <c r="D251" s="482"/>
      <c r="E251" s="482"/>
      <c r="F251" s="481"/>
      <c r="G251" s="482"/>
      <c r="H251" s="482"/>
      <c r="I251" s="482"/>
      <c r="J251" s="482"/>
      <c r="K251" s="482"/>
      <c r="L251" s="482"/>
      <c r="M251" s="482"/>
      <c r="N251" s="482"/>
      <c r="O251" s="491"/>
      <c r="P251" s="476">
        <f>SUM(C251:O252)</f>
        <v>0</v>
      </c>
    </row>
    <row r="252" spans="1:16">
      <c r="A252" s="468"/>
      <c r="B252" s="471"/>
      <c r="C252" s="480"/>
      <c r="D252" s="482"/>
      <c r="E252" s="482"/>
      <c r="F252" s="482"/>
      <c r="G252" s="482"/>
      <c r="H252" s="482"/>
      <c r="I252" s="482"/>
      <c r="J252" s="482"/>
      <c r="K252" s="482"/>
      <c r="L252" s="482"/>
      <c r="M252" s="482"/>
      <c r="N252" s="482"/>
      <c r="O252" s="492"/>
      <c r="P252" s="445"/>
    </row>
    <row r="253" spans="1:16">
      <c r="A253" s="468"/>
      <c r="B253" s="76" t="s">
        <v>363</v>
      </c>
      <c r="C253" s="73"/>
      <c r="D253" s="54"/>
      <c r="E253" s="54"/>
      <c r="F253" s="65"/>
      <c r="G253" s="54"/>
      <c r="H253" s="54"/>
      <c r="I253" s="54"/>
      <c r="J253" s="54"/>
      <c r="K253" s="54"/>
      <c r="L253" s="54"/>
      <c r="M253" s="54"/>
      <c r="N253" s="54"/>
      <c r="O253" s="54"/>
      <c r="P253" s="101"/>
    </row>
    <row r="254" spans="1:16">
      <c r="A254" s="501"/>
      <c r="B254" s="77" t="s">
        <v>377</v>
      </c>
      <c r="C254" s="73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101"/>
    </row>
    <row r="255" spans="1:16" ht="15" customHeight="1">
      <c r="A255" s="467">
        <v>113</v>
      </c>
      <c r="B255" s="470" t="s">
        <v>331</v>
      </c>
      <c r="C255" s="480">
        <v>2950</v>
      </c>
      <c r="D255" s="482">
        <v>2950</v>
      </c>
      <c r="E255" s="482">
        <v>2950</v>
      </c>
      <c r="F255" s="481">
        <v>2950</v>
      </c>
      <c r="G255" s="482">
        <v>2950</v>
      </c>
      <c r="H255" s="482">
        <v>2950</v>
      </c>
      <c r="I255" s="482">
        <v>2950</v>
      </c>
      <c r="J255" s="482">
        <v>2950</v>
      </c>
      <c r="K255" s="482"/>
      <c r="L255" s="482"/>
      <c r="M255" s="482"/>
      <c r="N255" s="482"/>
      <c r="O255" s="491"/>
      <c r="P255" s="476">
        <f>SUM(C255:O256)</f>
        <v>23600</v>
      </c>
    </row>
    <row r="256" spans="1:16">
      <c r="A256" s="468"/>
      <c r="B256" s="471"/>
      <c r="C256" s="480"/>
      <c r="D256" s="482"/>
      <c r="E256" s="482"/>
      <c r="F256" s="482"/>
      <c r="G256" s="482"/>
      <c r="H256" s="482"/>
      <c r="I256" s="482"/>
      <c r="J256" s="482"/>
      <c r="K256" s="482"/>
      <c r="L256" s="482"/>
      <c r="M256" s="482"/>
      <c r="N256" s="482"/>
      <c r="O256" s="492"/>
      <c r="P256" s="445"/>
    </row>
    <row r="257" spans="1:16">
      <c r="A257" s="468"/>
      <c r="B257" s="76" t="s">
        <v>363</v>
      </c>
      <c r="C257" s="97">
        <v>45643</v>
      </c>
      <c r="D257" s="65">
        <v>45643</v>
      </c>
      <c r="E257" s="64">
        <v>45680</v>
      </c>
      <c r="F257" s="65">
        <v>45699</v>
      </c>
      <c r="G257" s="65">
        <v>45793</v>
      </c>
      <c r="H257" s="65">
        <v>45862</v>
      </c>
      <c r="I257" s="65">
        <v>45926</v>
      </c>
      <c r="J257" s="64">
        <v>45975</v>
      </c>
      <c r="K257" s="54"/>
      <c r="L257" s="54"/>
      <c r="M257" s="54"/>
      <c r="N257" s="54"/>
      <c r="O257" s="54"/>
      <c r="P257" s="101"/>
    </row>
    <row r="258" spans="1:16">
      <c r="A258" s="501"/>
      <c r="B258" s="77" t="s">
        <v>377</v>
      </c>
      <c r="C258" s="73" t="s">
        <v>385</v>
      </c>
      <c r="D258" s="54" t="s">
        <v>385</v>
      </c>
      <c r="E258" s="54" t="s">
        <v>385</v>
      </c>
      <c r="F258" s="54" t="s">
        <v>385</v>
      </c>
      <c r="G258" s="54" t="s">
        <v>385</v>
      </c>
      <c r="H258" s="54" t="s">
        <v>374</v>
      </c>
      <c r="I258" s="54" t="s">
        <v>386</v>
      </c>
      <c r="J258" s="54" t="s">
        <v>385</v>
      </c>
      <c r="K258" s="54"/>
      <c r="L258" s="54"/>
      <c r="M258" s="54"/>
      <c r="N258" s="54"/>
      <c r="O258" s="54"/>
      <c r="P258" s="101"/>
    </row>
    <row r="259" spans="1:16" ht="15" customHeight="1">
      <c r="A259" s="467">
        <v>115</v>
      </c>
      <c r="B259" s="470" t="s">
        <v>316</v>
      </c>
      <c r="C259" s="480" t="s">
        <v>1305</v>
      </c>
      <c r="D259" s="482"/>
      <c r="E259" s="482"/>
      <c r="F259" s="482"/>
      <c r="G259" s="482"/>
      <c r="H259" s="482"/>
      <c r="I259" s="482"/>
      <c r="J259" s="482"/>
      <c r="K259" s="482"/>
      <c r="L259" s="482"/>
      <c r="M259" s="482"/>
      <c r="N259" s="482"/>
      <c r="O259" s="491"/>
      <c r="P259" s="476">
        <f>SUM(C259:O260)</f>
        <v>0</v>
      </c>
    </row>
    <row r="260" spans="1:16">
      <c r="A260" s="468"/>
      <c r="B260" s="471"/>
      <c r="C260" s="480"/>
      <c r="D260" s="482"/>
      <c r="E260" s="482"/>
      <c r="F260" s="482"/>
      <c r="G260" s="482"/>
      <c r="H260" s="482"/>
      <c r="I260" s="482"/>
      <c r="J260" s="482"/>
      <c r="K260" s="482"/>
      <c r="L260" s="482"/>
      <c r="M260" s="482"/>
      <c r="N260" s="482"/>
      <c r="O260" s="492"/>
      <c r="P260" s="445"/>
    </row>
    <row r="261" spans="1:16">
      <c r="A261" s="468"/>
      <c r="B261" s="76" t="s">
        <v>363</v>
      </c>
      <c r="C261" s="73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101"/>
    </row>
    <row r="262" spans="1:16">
      <c r="A262" s="478"/>
      <c r="B262" s="77" t="s">
        <v>377</v>
      </c>
      <c r="C262" s="73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101"/>
    </row>
    <row r="263" spans="1:16" ht="15" customHeight="1">
      <c r="A263" s="485">
        <v>116</v>
      </c>
      <c r="B263" s="470" t="s">
        <v>332</v>
      </c>
      <c r="C263" s="479">
        <v>625</v>
      </c>
      <c r="D263" s="481">
        <v>625</v>
      </c>
      <c r="E263" s="481">
        <v>625</v>
      </c>
      <c r="F263" s="481">
        <v>625</v>
      </c>
      <c r="G263" s="481">
        <v>625</v>
      </c>
      <c r="H263" s="481">
        <v>625</v>
      </c>
      <c r="I263" s="481">
        <v>625</v>
      </c>
      <c r="J263" s="481">
        <v>625</v>
      </c>
      <c r="K263" s="481">
        <v>625</v>
      </c>
      <c r="L263" s="481">
        <v>625</v>
      </c>
      <c r="M263" s="481">
        <v>625</v>
      </c>
      <c r="N263" s="481">
        <v>625</v>
      </c>
      <c r="O263" s="481">
        <v>625</v>
      </c>
      <c r="P263" s="476">
        <f>SUM(C263:O264)</f>
        <v>8125</v>
      </c>
    </row>
    <row r="264" spans="1:16">
      <c r="A264" s="468"/>
      <c r="B264" s="471"/>
      <c r="C264" s="480"/>
      <c r="D264" s="482"/>
      <c r="E264" s="482"/>
      <c r="F264" s="482"/>
      <c r="G264" s="482"/>
      <c r="H264" s="482"/>
      <c r="I264" s="482"/>
      <c r="J264" s="482"/>
      <c r="K264" s="482"/>
      <c r="L264" s="482"/>
      <c r="M264" s="482"/>
      <c r="N264" s="482"/>
      <c r="O264" s="482"/>
      <c r="P264" s="445"/>
    </row>
    <row r="265" spans="1:16">
      <c r="A265" s="468"/>
      <c r="B265" s="76" t="s">
        <v>363</v>
      </c>
      <c r="C265" s="97">
        <v>44970</v>
      </c>
      <c r="D265" s="65">
        <v>44992</v>
      </c>
      <c r="E265" s="65">
        <v>45027</v>
      </c>
      <c r="F265" s="65">
        <v>45057</v>
      </c>
      <c r="G265" s="65">
        <v>45098</v>
      </c>
      <c r="H265" s="65">
        <v>45114</v>
      </c>
      <c r="I265" s="65">
        <v>45146</v>
      </c>
      <c r="J265" s="65">
        <v>45181</v>
      </c>
      <c r="K265" s="65">
        <v>45208</v>
      </c>
      <c r="L265" s="65">
        <v>45237</v>
      </c>
      <c r="M265" s="65">
        <v>45306</v>
      </c>
      <c r="N265" s="65">
        <v>45306</v>
      </c>
      <c r="O265" s="65">
        <v>45300</v>
      </c>
      <c r="P265" s="101"/>
    </row>
    <row r="266" spans="1:16">
      <c r="A266" s="501"/>
      <c r="B266" s="87" t="s">
        <v>377</v>
      </c>
      <c r="C266" s="54" t="s">
        <v>368</v>
      </c>
      <c r="D266" s="54" t="s">
        <v>368</v>
      </c>
      <c r="E266" s="54" t="s">
        <v>368</v>
      </c>
      <c r="F266" s="54" t="s">
        <v>386</v>
      </c>
      <c r="G266" s="54" t="s">
        <v>368</v>
      </c>
      <c r="H266" s="54" t="s">
        <v>368</v>
      </c>
      <c r="I266" s="54" t="s">
        <v>367</v>
      </c>
      <c r="J266" s="54" t="s">
        <v>368</v>
      </c>
      <c r="K266" s="54" t="s">
        <v>386</v>
      </c>
      <c r="L266" s="54" t="s">
        <v>386</v>
      </c>
      <c r="M266" s="54" t="s">
        <v>386</v>
      </c>
      <c r="N266" s="54" t="s">
        <v>386</v>
      </c>
      <c r="O266" s="54" t="s">
        <v>386</v>
      </c>
      <c r="P266" s="101"/>
    </row>
    <row r="267" spans="1:16">
      <c r="A267" s="467">
        <v>117</v>
      </c>
      <c r="B267" s="470" t="s">
        <v>69</v>
      </c>
      <c r="C267" s="479">
        <v>760</v>
      </c>
      <c r="D267" s="481">
        <v>760</v>
      </c>
      <c r="E267" s="481">
        <v>760</v>
      </c>
      <c r="F267" s="481">
        <v>760</v>
      </c>
      <c r="G267" s="481">
        <v>760</v>
      </c>
      <c r="H267" s="481">
        <v>760</v>
      </c>
      <c r="I267" s="482"/>
      <c r="J267" s="481">
        <v>760</v>
      </c>
      <c r="K267" s="481">
        <v>760</v>
      </c>
      <c r="L267" s="482"/>
      <c r="M267" s="481">
        <v>760</v>
      </c>
      <c r="N267" s="482"/>
      <c r="O267" s="481">
        <v>760</v>
      </c>
      <c r="P267" s="493">
        <f>SUM(C267:O268)</f>
        <v>7600</v>
      </c>
    </row>
    <row r="268" spans="1:16">
      <c r="A268" s="468"/>
      <c r="B268" s="471"/>
      <c r="C268" s="480"/>
      <c r="D268" s="482"/>
      <c r="E268" s="482"/>
      <c r="F268" s="482"/>
      <c r="G268" s="482"/>
      <c r="H268" s="482"/>
      <c r="I268" s="482"/>
      <c r="J268" s="482"/>
      <c r="K268" s="482"/>
      <c r="L268" s="482"/>
      <c r="M268" s="482"/>
      <c r="N268" s="482"/>
      <c r="O268" s="482"/>
      <c r="P268" s="494"/>
    </row>
    <row r="269" spans="1:16">
      <c r="A269" s="468"/>
      <c r="B269" s="86" t="s">
        <v>363</v>
      </c>
      <c r="C269" s="97">
        <v>45000</v>
      </c>
      <c r="D269" s="65">
        <v>45065</v>
      </c>
      <c r="E269" s="65">
        <v>45065</v>
      </c>
      <c r="F269" s="65">
        <v>45110</v>
      </c>
      <c r="G269" s="65">
        <v>45128</v>
      </c>
      <c r="H269" s="65">
        <v>45128</v>
      </c>
      <c r="I269" s="54"/>
      <c r="J269" s="65">
        <v>45189</v>
      </c>
      <c r="K269" s="65">
        <v>45218</v>
      </c>
      <c r="L269" s="54"/>
      <c r="M269" s="65">
        <v>45280</v>
      </c>
      <c r="N269" s="54"/>
      <c r="O269" s="65">
        <v>45310</v>
      </c>
      <c r="P269" s="101"/>
    </row>
    <row r="270" spans="1:16">
      <c r="A270" s="501"/>
      <c r="B270" s="76" t="s">
        <v>377</v>
      </c>
      <c r="C270" s="73" t="s">
        <v>371</v>
      </c>
      <c r="D270" s="54" t="s">
        <v>371</v>
      </c>
      <c r="E270" s="54" t="s">
        <v>371</v>
      </c>
      <c r="F270" s="54" t="s">
        <v>384</v>
      </c>
      <c r="G270" s="54" t="s">
        <v>384</v>
      </c>
      <c r="H270" s="54" t="s">
        <v>373</v>
      </c>
      <c r="I270" s="54"/>
      <c r="J270" s="54" t="s">
        <v>373</v>
      </c>
      <c r="K270" s="54" t="s">
        <v>384</v>
      </c>
      <c r="L270" s="54"/>
      <c r="M270" s="54" t="s">
        <v>384</v>
      </c>
      <c r="N270" s="54"/>
      <c r="O270" s="54" t="s">
        <v>384</v>
      </c>
      <c r="P270" s="101"/>
    </row>
    <row r="271" spans="1:16" ht="15" customHeight="1">
      <c r="A271" s="467">
        <v>121</v>
      </c>
      <c r="B271" s="470" t="s">
        <v>219</v>
      </c>
      <c r="C271" s="479">
        <v>300</v>
      </c>
      <c r="D271" s="481">
        <v>300</v>
      </c>
      <c r="E271" s="481">
        <v>300</v>
      </c>
      <c r="F271" s="481">
        <v>300</v>
      </c>
      <c r="G271" s="481">
        <v>300</v>
      </c>
      <c r="H271" s="481">
        <v>300</v>
      </c>
      <c r="I271" s="481">
        <v>300</v>
      </c>
      <c r="J271" s="481">
        <v>300</v>
      </c>
      <c r="K271" s="481">
        <v>300</v>
      </c>
      <c r="L271" s="481">
        <v>300</v>
      </c>
      <c r="M271" s="481">
        <v>300</v>
      </c>
      <c r="N271" s="481">
        <v>300</v>
      </c>
      <c r="O271" s="481">
        <v>300</v>
      </c>
      <c r="P271" s="476">
        <f>SUM(C271:O272)</f>
        <v>3900</v>
      </c>
    </row>
    <row r="272" spans="1:16">
      <c r="A272" s="468"/>
      <c r="B272" s="471"/>
      <c r="C272" s="480"/>
      <c r="D272" s="482"/>
      <c r="E272" s="482"/>
      <c r="F272" s="482"/>
      <c r="G272" s="482"/>
      <c r="H272" s="482"/>
      <c r="I272" s="482"/>
      <c r="J272" s="482"/>
      <c r="K272" s="482"/>
      <c r="L272" s="482"/>
      <c r="M272" s="482"/>
      <c r="N272" s="482"/>
      <c r="O272" s="482"/>
      <c r="P272" s="445"/>
    </row>
    <row r="273" spans="1:16">
      <c r="A273" s="468"/>
      <c r="B273" s="82" t="s">
        <v>363</v>
      </c>
      <c r="C273" s="65">
        <v>44970</v>
      </c>
      <c r="D273" s="65">
        <v>44992</v>
      </c>
      <c r="E273" s="65">
        <v>45026</v>
      </c>
      <c r="F273" s="65">
        <v>45054</v>
      </c>
      <c r="G273" s="65">
        <v>45084</v>
      </c>
      <c r="H273" s="65">
        <v>45117</v>
      </c>
      <c r="I273" s="65">
        <v>45145</v>
      </c>
      <c r="J273" s="65">
        <v>45177</v>
      </c>
      <c r="K273" s="65">
        <v>45210</v>
      </c>
      <c r="L273" s="65">
        <v>45240</v>
      </c>
      <c r="M273" s="65">
        <v>45271</v>
      </c>
      <c r="N273" s="65">
        <v>45271</v>
      </c>
      <c r="O273" s="65">
        <v>45299</v>
      </c>
      <c r="P273" s="101"/>
    </row>
    <row r="274" spans="1:16">
      <c r="A274" s="501"/>
      <c r="B274" s="87" t="s">
        <v>377</v>
      </c>
      <c r="C274" s="54" t="s">
        <v>371</v>
      </c>
      <c r="D274" s="54" t="s">
        <v>371</v>
      </c>
      <c r="E274" s="54" t="s">
        <v>371</v>
      </c>
      <c r="F274" s="54" t="s">
        <v>371</v>
      </c>
      <c r="G274" s="54" t="s">
        <v>384</v>
      </c>
      <c r="H274" s="54" t="s">
        <v>373</v>
      </c>
      <c r="I274" s="54" t="s">
        <v>1181</v>
      </c>
      <c r="J274" s="54" t="s">
        <v>373</v>
      </c>
      <c r="K274" s="54" t="s">
        <v>371</v>
      </c>
      <c r="L274" s="54" t="s">
        <v>1058</v>
      </c>
      <c r="M274" s="54" t="s">
        <v>384</v>
      </c>
      <c r="N274" s="54" t="s">
        <v>384</v>
      </c>
      <c r="O274" s="54" t="s">
        <v>384</v>
      </c>
      <c r="P274" s="101"/>
    </row>
    <row r="275" spans="1:16" ht="25.5" customHeight="1">
      <c r="A275" s="467">
        <v>122</v>
      </c>
      <c r="B275" s="470" t="s">
        <v>220</v>
      </c>
      <c r="C275" s="479">
        <v>930</v>
      </c>
      <c r="D275" s="481">
        <v>930</v>
      </c>
      <c r="E275" s="481">
        <v>930</v>
      </c>
      <c r="F275" s="482"/>
      <c r="G275" s="481">
        <v>930</v>
      </c>
      <c r="H275" s="481">
        <v>930</v>
      </c>
      <c r="I275" s="481">
        <v>930</v>
      </c>
      <c r="J275" s="481">
        <v>930</v>
      </c>
      <c r="K275" s="491"/>
      <c r="L275" s="481">
        <v>930</v>
      </c>
      <c r="M275" s="481">
        <v>930</v>
      </c>
      <c r="N275" s="481">
        <v>930</v>
      </c>
      <c r="O275" s="481">
        <v>930</v>
      </c>
      <c r="P275" s="476">
        <f>SUM(C275:O276)</f>
        <v>10230</v>
      </c>
    </row>
    <row r="276" spans="1:16">
      <c r="A276" s="468"/>
      <c r="B276" s="471"/>
      <c r="C276" s="480"/>
      <c r="D276" s="482"/>
      <c r="E276" s="482"/>
      <c r="F276" s="482"/>
      <c r="G276" s="482"/>
      <c r="H276" s="482"/>
      <c r="I276" s="482"/>
      <c r="J276" s="482"/>
      <c r="K276" s="492"/>
      <c r="L276" s="482"/>
      <c r="M276" s="482"/>
      <c r="N276" s="482"/>
      <c r="O276" s="482"/>
      <c r="P276" s="445"/>
    </row>
    <row r="277" spans="1:16">
      <c r="A277" s="468"/>
      <c r="B277" s="76" t="s">
        <v>363</v>
      </c>
      <c r="C277" s="97">
        <v>44999</v>
      </c>
      <c r="D277" s="65">
        <v>45016</v>
      </c>
      <c r="E277" s="65">
        <v>45062</v>
      </c>
      <c r="F277" s="54"/>
      <c r="G277" s="65">
        <v>45096</v>
      </c>
      <c r="H277" s="65">
        <v>45114</v>
      </c>
      <c r="I277" s="65">
        <v>45159</v>
      </c>
      <c r="J277" s="65">
        <v>45188</v>
      </c>
      <c r="K277" s="54"/>
      <c r="L277" s="65">
        <v>45233</v>
      </c>
      <c r="M277" s="65">
        <v>45273</v>
      </c>
      <c r="N277" s="54" t="s">
        <v>998</v>
      </c>
      <c r="O277" s="65">
        <v>45313</v>
      </c>
      <c r="P277" s="101"/>
    </row>
    <row r="278" spans="1:16" ht="15.75" customHeight="1">
      <c r="A278" s="478"/>
      <c r="B278" s="77" t="s">
        <v>377</v>
      </c>
      <c r="C278" s="73" t="s">
        <v>372</v>
      </c>
      <c r="D278" s="54" t="s">
        <v>368</v>
      </c>
      <c r="E278" s="54" t="s">
        <v>384</v>
      </c>
      <c r="F278" s="54"/>
      <c r="G278" s="54" t="s">
        <v>371</v>
      </c>
      <c r="H278" s="54" t="s">
        <v>373</v>
      </c>
      <c r="I278" s="54" t="s">
        <v>374</v>
      </c>
      <c r="J278" s="54" t="s">
        <v>368</v>
      </c>
      <c r="K278" s="54"/>
      <c r="L278" s="54" t="s">
        <v>1265</v>
      </c>
      <c r="M278" s="54" t="s">
        <v>1278</v>
      </c>
      <c r="N278" s="54" t="s">
        <v>386</v>
      </c>
      <c r="O278" s="54" t="s">
        <v>386</v>
      </c>
      <c r="P278" s="101"/>
    </row>
    <row r="279" spans="1:16" ht="25.5" customHeight="1">
      <c r="A279" s="467">
        <v>123</v>
      </c>
      <c r="B279" s="470" t="s">
        <v>1134</v>
      </c>
      <c r="C279" s="479" t="s">
        <v>998</v>
      </c>
      <c r="D279" s="479" t="s">
        <v>998</v>
      </c>
      <c r="E279" s="479" t="s">
        <v>998</v>
      </c>
      <c r="F279" s="479" t="s">
        <v>998</v>
      </c>
      <c r="G279" s="479" t="s">
        <v>998</v>
      </c>
      <c r="H279" s="479" t="s">
        <v>998</v>
      </c>
      <c r="I279" s="481">
        <v>430</v>
      </c>
      <c r="J279" s="481">
        <v>430</v>
      </c>
      <c r="K279" s="481">
        <v>430</v>
      </c>
      <c r="L279" s="481">
        <v>430</v>
      </c>
      <c r="M279" s="481">
        <v>430</v>
      </c>
      <c r="N279" s="500">
        <v>215</v>
      </c>
      <c r="O279" s="481">
        <v>430</v>
      </c>
      <c r="P279" s="476">
        <f>SUM(C279:O280)</f>
        <v>2795</v>
      </c>
    </row>
    <row r="280" spans="1:16">
      <c r="A280" s="468"/>
      <c r="B280" s="471"/>
      <c r="C280" s="480"/>
      <c r="D280" s="480"/>
      <c r="E280" s="480"/>
      <c r="F280" s="480"/>
      <c r="G280" s="480"/>
      <c r="H280" s="480"/>
      <c r="I280" s="482"/>
      <c r="J280" s="482"/>
      <c r="K280" s="482"/>
      <c r="L280" s="482"/>
      <c r="M280" s="482"/>
      <c r="N280" s="482"/>
      <c r="O280" s="482"/>
      <c r="P280" s="445"/>
    </row>
    <row r="281" spans="1:16">
      <c r="A281" s="468"/>
      <c r="B281" s="76" t="s">
        <v>363</v>
      </c>
      <c r="C281" s="97" t="s">
        <v>998</v>
      </c>
      <c r="D281" s="97" t="s">
        <v>998</v>
      </c>
      <c r="E281" s="97" t="s">
        <v>998</v>
      </c>
      <c r="F281" s="97" t="s">
        <v>998</v>
      </c>
      <c r="G281" s="97" t="s">
        <v>998</v>
      </c>
      <c r="H281" s="97" t="s">
        <v>998</v>
      </c>
      <c r="I281" s="65">
        <v>45156</v>
      </c>
      <c r="J281" s="65">
        <v>45202</v>
      </c>
      <c r="K281" s="65">
        <v>45208</v>
      </c>
      <c r="L281" s="65">
        <v>45233</v>
      </c>
      <c r="M281" s="65">
        <v>45272</v>
      </c>
      <c r="N281" s="65">
        <v>45272</v>
      </c>
      <c r="O281" s="65">
        <v>45299</v>
      </c>
      <c r="P281" s="101"/>
    </row>
    <row r="282" spans="1:16" ht="15.75" customHeight="1">
      <c r="A282" s="478"/>
      <c r="B282" s="77" t="s">
        <v>377</v>
      </c>
      <c r="C282" s="73" t="s">
        <v>998</v>
      </c>
      <c r="D282" s="73" t="s">
        <v>998</v>
      </c>
      <c r="E282" s="73" t="s">
        <v>998</v>
      </c>
      <c r="F282" s="73" t="s">
        <v>998</v>
      </c>
      <c r="G282" s="73" t="s">
        <v>998</v>
      </c>
      <c r="H282" s="73" t="s">
        <v>998</v>
      </c>
      <c r="I282" s="54" t="s">
        <v>384</v>
      </c>
      <c r="J282" s="54" t="s">
        <v>373</v>
      </c>
      <c r="K282" s="54" t="s">
        <v>386</v>
      </c>
      <c r="L282" s="54" t="s">
        <v>386</v>
      </c>
      <c r="M282" s="54" t="s">
        <v>384</v>
      </c>
      <c r="N282" s="54" t="s">
        <v>384</v>
      </c>
      <c r="O282" s="54" t="s">
        <v>384</v>
      </c>
      <c r="P282" s="101"/>
    </row>
    <row r="283" spans="1:16" ht="15" customHeight="1">
      <c r="A283" s="467">
        <v>128</v>
      </c>
      <c r="B283" s="497" t="s">
        <v>75</v>
      </c>
      <c r="C283" s="481">
        <v>775</v>
      </c>
      <c r="D283" s="481">
        <v>775</v>
      </c>
      <c r="E283" s="481">
        <v>775</v>
      </c>
      <c r="F283" s="481">
        <v>775</v>
      </c>
      <c r="G283" s="481">
        <v>775</v>
      </c>
      <c r="H283" s="481">
        <v>775</v>
      </c>
      <c r="I283" s="481">
        <v>775</v>
      </c>
      <c r="J283" s="481">
        <v>775</v>
      </c>
      <c r="K283" s="481">
        <v>775</v>
      </c>
      <c r="L283" s="481">
        <v>775</v>
      </c>
      <c r="M283" s="481">
        <v>775</v>
      </c>
      <c r="N283" s="481">
        <v>775</v>
      </c>
      <c r="O283" s="481">
        <v>775</v>
      </c>
      <c r="P283" s="476">
        <f>SUM(C283:O284)</f>
        <v>10075</v>
      </c>
    </row>
    <row r="284" spans="1:16">
      <c r="A284" s="468"/>
      <c r="B284" s="542"/>
      <c r="C284" s="482"/>
      <c r="D284" s="482"/>
      <c r="E284" s="482"/>
      <c r="F284" s="482"/>
      <c r="G284" s="482"/>
      <c r="H284" s="482"/>
      <c r="I284" s="482"/>
      <c r="J284" s="482"/>
      <c r="K284" s="482"/>
      <c r="L284" s="482"/>
      <c r="M284" s="482"/>
      <c r="N284" s="482"/>
      <c r="O284" s="482"/>
      <c r="P284" s="445"/>
    </row>
    <row r="285" spans="1:16">
      <c r="A285" s="468"/>
      <c r="B285" s="82" t="s">
        <v>363</v>
      </c>
      <c r="C285" s="65">
        <v>44964</v>
      </c>
      <c r="D285" s="65">
        <v>44988</v>
      </c>
      <c r="E285" s="65">
        <v>45019</v>
      </c>
      <c r="F285" s="65">
        <v>45054</v>
      </c>
      <c r="G285" s="65">
        <v>45084</v>
      </c>
      <c r="H285" s="65">
        <v>45112</v>
      </c>
      <c r="I285" s="65">
        <v>45145</v>
      </c>
      <c r="J285" s="65">
        <v>45175</v>
      </c>
      <c r="K285" s="65">
        <v>45203</v>
      </c>
      <c r="L285" s="65">
        <v>45233</v>
      </c>
      <c r="M285" s="65">
        <v>45265</v>
      </c>
      <c r="N285" s="65">
        <v>45265</v>
      </c>
      <c r="O285" s="65">
        <v>45296</v>
      </c>
      <c r="P285" s="101"/>
    </row>
    <row r="286" spans="1:16">
      <c r="A286" s="501"/>
      <c r="B286" s="87" t="s">
        <v>377</v>
      </c>
      <c r="C286" s="54" t="s">
        <v>367</v>
      </c>
      <c r="D286" s="54" t="s">
        <v>368</v>
      </c>
      <c r="E286" s="54" t="s">
        <v>368</v>
      </c>
      <c r="F286" s="54" t="s">
        <v>368</v>
      </c>
      <c r="G286" s="54" t="s">
        <v>368</v>
      </c>
      <c r="H286" s="54" t="s">
        <v>368</v>
      </c>
      <c r="I286" s="54" t="s">
        <v>368</v>
      </c>
      <c r="J286" s="54" t="s">
        <v>368</v>
      </c>
      <c r="K286" s="54" t="s">
        <v>386</v>
      </c>
      <c r="L286" s="54" t="s">
        <v>368</v>
      </c>
      <c r="M286" s="54" t="s">
        <v>384</v>
      </c>
      <c r="N286" s="54" t="s">
        <v>384</v>
      </c>
      <c r="O286" s="54" t="s">
        <v>386</v>
      </c>
      <c r="P286" s="101"/>
    </row>
    <row r="287" spans="1:16" ht="15" customHeight="1">
      <c r="A287" s="467">
        <v>129</v>
      </c>
      <c r="B287" s="470" t="s">
        <v>76</v>
      </c>
      <c r="C287" s="479">
        <v>3600</v>
      </c>
      <c r="D287" s="481">
        <v>3600</v>
      </c>
      <c r="E287" s="481">
        <v>3600</v>
      </c>
      <c r="F287" s="481">
        <v>3600</v>
      </c>
      <c r="G287" s="481">
        <v>3600</v>
      </c>
      <c r="H287" s="481">
        <v>3600</v>
      </c>
      <c r="I287" s="481">
        <v>3600</v>
      </c>
      <c r="J287" s="481">
        <v>3600</v>
      </c>
      <c r="K287" s="481">
        <v>3600</v>
      </c>
      <c r="L287" s="481">
        <v>3600</v>
      </c>
      <c r="M287" s="481">
        <v>3600</v>
      </c>
      <c r="N287" s="481">
        <v>3600</v>
      </c>
      <c r="O287" s="481">
        <v>3600</v>
      </c>
      <c r="P287" s="476">
        <f>SUM(C287:O288)</f>
        <v>46800</v>
      </c>
    </row>
    <row r="288" spans="1:16">
      <c r="A288" s="468"/>
      <c r="B288" s="471"/>
      <c r="C288" s="480"/>
      <c r="D288" s="482"/>
      <c r="E288" s="482"/>
      <c r="F288" s="482"/>
      <c r="G288" s="482"/>
      <c r="H288" s="482"/>
      <c r="I288" s="482"/>
      <c r="J288" s="482"/>
      <c r="K288" s="482"/>
      <c r="L288" s="482"/>
      <c r="M288" s="482"/>
      <c r="N288" s="482"/>
      <c r="O288" s="482"/>
      <c r="P288" s="445"/>
    </row>
    <row r="289" spans="1:16">
      <c r="A289" s="468"/>
      <c r="B289" s="76" t="s">
        <v>363</v>
      </c>
      <c r="C289" s="97">
        <v>44965</v>
      </c>
      <c r="D289" s="65">
        <v>44995</v>
      </c>
      <c r="E289" s="65">
        <v>45058</v>
      </c>
      <c r="F289" s="65">
        <v>45051</v>
      </c>
      <c r="G289" s="65">
        <v>45092</v>
      </c>
      <c r="H289" s="65">
        <v>45113</v>
      </c>
      <c r="I289" s="65">
        <v>45149</v>
      </c>
      <c r="J289" s="65">
        <v>45174</v>
      </c>
      <c r="K289" s="66">
        <v>45170</v>
      </c>
      <c r="L289" s="65">
        <v>45201</v>
      </c>
      <c r="M289" s="65">
        <v>45236</v>
      </c>
      <c r="N289" s="65">
        <v>45264</v>
      </c>
      <c r="O289" s="65">
        <v>45268</v>
      </c>
      <c r="P289" s="101"/>
    </row>
    <row r="290" spans="1:16">
      <c r="A290" s="478"/>
      <c r="B290" s="76" t="s">
        <v>377</v>
      </c>
      <c r="C290" s="73" t="s">
        <v>372</v>
      </c>
      <c r="D290" s="54" t="s">
        <v>368</v>
      </c>
      <c r="E290" s="54" t="s">
        <v>368</v>
      </c>
      <c r="F290" s="54" t="s">
        <v>368</v>
      </c>
      <c r="G290" s="54" t="s">
        <v>368</v>
      </c>
      <c r="H290" s="54" t="s">
        <v>373</v>
      </c>
      <c r="I290" s="54" t="s">
        <v>367</v>
      </c>
      <c r="J290" s="54" t="s">
        <v>373</v>
      </c>
      <c r="K290" s="54" t="s">
        <v>1135</v>
      </c>
      <c r="L290" s="54" t="s">
        <v>384</v>
      </c>
      <c r="M290" s="54" t="s">
        <v>1277</v>
      </c>
      <c r="N290" s="54" t="s">
        <v>1277</v>
      </c>
      <c r="O290" s="54" t="s">
        <v>1277</v>
      </c>
      <c r="P290" s="101"/>
    </row>
    <row r="291" spans="1:16">
      <c r="A291" s="467">
        <v>130</v>
      </c>
      <c r="B291" s="470" t="s">
        <v>333</v>
      </c>
      <c r="C291" s="597">
        <v>220</v>
      </c>
      <c r="D291" s="582">
        <v>220</v>
      </c>
      <c r="E291" s="481">
        <v>215</v>
      </c>
      <c r="F291" s="481">
        <v>215</v>
      </c>
      <c r="G291" s="481">
        <v>215</v>
      </c>
      <c r="H291" s="481">
        <v>215</v>
      </c>
      <c r="I291" s="481">
        <v>215</v>
      </c>
      <c r="J291" s="481">
        <v>215</v>
      </c>
      <c r="K291" s="481">
        <v>215</v>
      </c>
      <c r="L291" s="481">
        <v>215</v>
      </c>
      <c r="M291" s="482"/>
      <c r="N291" s="482"/>
      <c r="O291" s="481">
        <v>215</v>
      </c>
      <c r="P291" s="476">
        <f>SUM(C291:O292)</f>
        <v>2375</v>
      </c>
    </row>
    <row r="292" spans="1:16">
      <c r="A292" s="468"/>
      <c r="B292" s="471"/>
      <c r="C292" s="597"/>
      <c r="D292" s="503"/>
      <c r="E292" s="482"/>
      <c r="F292" s="482"/>
      <c r="G292" s="482"/>
      <c r="H292" s="482"/>
      <c r="I292" s="482"/>
      <c r="J292" s="482"/>
      <c r="K292" s="482"/>
      <c r="L292" s="482"/>
      <c r="M292" s="482"/>
      <c r="N292" s="482"/>
      <c r="O292" s="482"/>
      <c r="P292" s="445"/>
    </row>
    <row r="293" spans="1:16">
      <c r="A293" s="468"/>
      <c r="B293" s="82" t="s">
        <v>363</v>
      </c>
      <c r="C293" s="65">
        <v>44960</v>
      </c>
      <c r="D293" s="65">
        <v>44988</v>
      </c>
      <c r="E293" s="65">
        <v>45021</v>
      </c>
      <c r="F293" s="65">
        <v>45055</v>
      </c>
      <c r="G293" s="65">
        <v>45084</v>
      </c>
      <c r="H293" s="65">
        <v>45111</v>
      </c>
      <c r="I293" s="65">
        <v>45142</v>
      </c>
      <c r="J293" s="65">
        <v>45174</v>
      </c>
      <c r="K293" s="65">
        <v>45203</v>
      </c>
      <c r="L293" s="65">
        <v>45236</v>
      </c>
      <c r="M293" s="54"/>
      <c r="N293" s="54"/>
      <c r="O293" s="65">
        <v>45302</v>
      </c>
      <c r="P293" s="101"/>
    </row>
    <row r="294" spans="1:16">
      <c r="A294" s="501"/>
      <c r="B294" s="87" t="s">
        <v>377</v>
      </c>
      <c r="C294" s="54" t="s">
        <v>367</v>
      </c>
      <c r="D294" s="54" t="s">
        <v>368</v>
      </c>
      <c r="E294" s="54" t="s">
        <v>368</v>
      </c>
      <c r="F294" s="54" t="s">
        <v>368</v>
      </c>
      <c r="G294" s="54" t="s">
        <v>368</v>
      </c>
      <c r="H294" s="54" t="s">
        <v>386</v>
      </c>
      <c r="I294" s="54" t="s">
        <v>368</v>
      </c>
      <c r="J294" s="54" t="s">
        <v>368</v>
      </c>
      <c r="K294" s="54" t="s">
        <v>386</v>
      </c>
      <c r="L294" s="54" t="s">
        <v>368</v>
      </c>
      <c r="M294" s="54"/>
      <c r="N294" s="54"/>
      <c r="O294" s="54" t="s">
        <v>386</v>
      </c>
      <c r="P294" s="101"/>
    </row>
    <row r="295" spans="1:16" ht="15" customHeight="1">
      <c r="A295" s="467">
        <v>132</v>
      </c>
      <c r="B295" s="470" t="s">
        <v>78</v>
      </c>
      <c r="C295" s="479">
        <v>1060</v>
      </c>
      <c r="D295" s="481">
        <v>1060</v>
      </c>
      <c r="E295" s="481">
        <v>1060</v>
      </c>
      <c r="F295" s="481">
        <v>1060</v>
      </c>
      <c r="G295" s="481">
        <v>1060</v>
      </c>
      <c r="H295" s="481">
        <v>1060</v>
      </c>
      <c r="I295" s="481">
        <v>1060</v>
      </c>
      <c r="J295" s="481">
        <v>1060</v>
      </c>
      <c r="K295" s="481">
        <v>1060</v>
      </c>
      <c r="L295" s="481">
        <v>1060</v>
      </c>
      <c r="M295" s="481">
        <v>1060</v>
      </c>
      <c r="N295" s="481">
        <v>530</v>
      </c>
      <c r="O295" s="481">
        <v>1060</v>
      </c>
      <c r="P295" s="493">
        <f>SUM(C295:O296)</f>
        <v>13250</v>
      </c>
    </row>
    <row r="296" spans="1:16">
      <c r="A296" s="468"/>
      <c r="B296" s="471"/>
      <c r="C296" s="480"/>
      <c r="D296" s="482"/>
      <c r="E296" s="482"/>
      <c r="F296" s="482"/>
      <c r="G296" s="482"/>
      <c r="H296" s="482"/>
      <c r="I296" s="482"/>
      <c r="J296" s="482"/>
      <c r="K296" s="482"/>
      <c r="L296" s="482"/>
      <c r="M296" s="482"/>
      <c r="N296" s="482"/>
      <c r="O296" s="482"/>
      <c r="P296" s="494"/>
    </row>
    <row r="297" spans="1:16">
      <c r="A297" s="468"/>
      <c r="B297" s="76" t="s">
        <v>363</v>
      </c>
      <c r="C297" s="97">
        <v>44971</v>
      </c>
      <c r="D297" s="65">
        <v>44992</v>
      </c>
      <c r="E297" s="65">
        <v>45020</v>
      </c>
      <c r="F297" s="65">
        <v>45050</v>
      </c>
      <c r="G297" s="65">
        <v>45096</v>
      </c>
      <c r="H297" s="65">
        <v>45118</v>
      </c>
      <c r="I297" s="65">
        <v>45141</v>
      </c>
      <c r="J297" s="65">
        <v>45174</v>
      </c>
      <c r="K297" s="65">
        <v>45204</v>
      </c>
      <c r="L297" s="65">
        <v>45237</v>
      </c>
      <c r="M297" s="65">
        <v>45267</v>
      </c>
      <c r="N297" s="65">
        <v>45267</v>
      </c>
      <c r="O297" s="65">
        <v>45302</v>
      </c>
      <c r="P297" s="101"/>
    </row>
    <row r="298" spans="1:16">
      <c r="A298" s="478"/>
      <c r="B298" s="77" t="s">
        <v>377</v>
      </c>
      <c r="C298" s="73" t="s">
        <v>368</v>
      </c>
      <c r="D298" s="54" t="s">
        <v>368</v>
      </c>
      <c r="E298" s="54" t="s">
        <v>368</v>
      </c>
      <c r="F298" s="54" t="s">
        <v>386</v>
      </c>
      <c r="G298" s="54" t="s">
        <v>368</v>
      </c>
      <c r="H298" s="54" t="s">
        <v>368</v>
      </c>
      <c r="I298" s="54" t="s">
        <v>367</v>
      </c>
      <c r="J298" s="54" t="s">
        <v>368</v>
      </c>
      <c r="K298" s="54" t="s">
        <v>386</v>
      </c>
      <c r="L298" s="54" t="s">
        <v>386</v>
      </c>
      <c r="M298" s="54" t="s">
        <v>386</v>
      </c>
      <c r="N298" s="54" t="s">
        <v>386</v>
      </c>
      <c r="O298" s="54" t="s">
        <v>386</v>
      </c>
      <c r="P298" s="101"/>
    </row>
    <row r="299" spans="1:16" ht="25.5" customHeight="1">
      <c r="A299" s="485">
        <v>137</v>
      </c>
      <c r="B299" s="470" t="s">
        <v>334</v>
      </c>
      <c r="C299" s="479">
        <v>550</v>
      </c>
      <c r="D299" s="479">
        <v>550</v>
      </c>
      <c r="E299" s="479">
        <v>550</v>
      </c>
      <c r="F299" s="479">
        <v>550</v>
      </c>
      <c r="G299" s="479">
        <v>550</v>
      </c>
      <c r="H299" s="479">
        <v>550</v>
      </c>
      <c r="I299" s="479">
        <v>550</v>
      </c>
      <c r="J299" s="479">
        <v>550</v>
      </c>
      <c r="K299" s="482">
        <v>520</v>
      </c>
      <c r="L299" s="482">
        <v>565</v>
      </c>
      <c r="M299" s="482">
        <v>580</v>
      </c>
      <c r="N299" s="482"/>
      <c r="O299" s="491"/>
      <c r="P299" s="476">
        <f>SUM(C299:O300)</f>
        <v>6065</v>
      </c>
    </row>
    <row r="300" spans="1:16">
      <c r="A300" s="468"/>
      <c r="B300" s="471"/>
      <c r="C300" s="480"/>
      <c r="D300" s="480"/>
      <c r="E300" s="480"/>
      <c r="F300" s="480"/>
      <c r="G300" s="480"/>
      <c r="H300" s="480"/>
      <c r="I300" s="480"/>
      <c r="J300" s="480"/>
      <c r="K300" s="482"/>
      <c r="L300" s="482"/>
      <c r="M300" s="482"/>
      <c r="N300" s="482"/>
      <c r="O300" s="492"/>
      <c r="P300" s="445"/>
    </row>
    <row r="301" spans="1:16">
      <c r="A301" s="468"/>
      <c r="B301" s="82" t="s">
        <v>363</v>
      </c>
      <c r="C301" s="65">
        <v>45205</v>
      </c>
      <c r="D301" s="65">
        <v>45571</v>
      </c>
      <c r="E301" s="65">
        <v>45602</v>
      </c>
      <c r="F301" s="64">
        <v>45602</v>
      </c>
      <c r="G301" s="54" t="s">
        <v>998</v>
      </c>
      <c r="H301" s="54" t="s">
        <v>998</v>
      </c>
      <c r="I301" s="54" t="s">
        <v>998</v>
      </c>
      <c r="J301" s="54" t="s">
        <v>998</v>
      </c>
      <c r="K301" s="65">
        <v>45446</v>
      </c>
      <c r="L301" s="65">
        <v>45495</v>
      </c>
      <c r="M301" s="64">
        <v>45568</v>
      </c>
      <c r="N301" s="54"/>
      <c r="O301" s="54"/>
      <c r="P301" s="101"/>
    </row>
    <row r="302" spans="1:16">
      <c r="A302" s="501"/>
      <c r="B302" s="76" t="s">
        <v>377</v>
      </c>
      <c r="C302" s="73" t="s">
        <v>368</v>
      </c>
      <c r="D302" s="54" t="s">
        <v>368</v>
      </c>
      <c r="E302" s="54" t="s">
        <v>368</v>
      </c>
      <c r="F302" s="54" t="s">
        <v>386</v>
      </c>
      <c r="G302" s="54" t="s">
        <v>998</v>
      </c>
      <c r="H302" s="54" t="s">
        <v>998</v>
      </c>
      <c r="I302" s="54" t="s">
        <v>998</v>
      </c>
      <c r="J302" s="54" t="s">
        <v>998</v>
      </c>
      <c r="K302" s="54" t="s">
        <v>386</v>
      </c>
      <c r="L302" s="54" t="s">
        <v>386</v>
      </c>
      <c r="M302" s="54" t="s">
        <v>386</v>
      </c>
      <c r="N302" s="54"/>
      <c r="O302" s="54"/>
      <c r="P302" s="101"/>
    </row>
    <row r="303" spans="1:16" ht="15" customHeight="1">
      <c r="A303" s="467">
        <v>138</v>
      </c>
      <c r="B303" s="470" t="s">
        <v>335</v>
      </c>
      <c r="C303" s="479">
        <v>300</v>
      </c>
      <c r="D303" s="481">
        <v>300</v>
      </c>
      <c r="E303" s="481">
        <v>300</v>
      </c>
      <c r="F303" s="481">
        <v>300</v>
      </c>
      <c r="G303" s="500">
        <v>300</v>
      </c>
      <c r="H303" s="481">
        <v>300</v>
      </c>
      <c r="I303" s="481">
        <v>300</v>
      </c>
      <c r="J303" s="481">
        <v>300</v>
      </c>
      <c r="K303" s="482"/>
      <c r="L303" s="482"/>
      <c r="M303" s="482"/>
      <c r="N303" s="482"/>
      <c r="O303" s="491"/>
      <c r="P303" s="476">
        <f>SUM(C303:O304)</f>
        <v>2400</v>
      </c>
    </row>
    <row r="304" spans="1:16">
      <c r="A304" s="468"/>
      <c r="B304" s="496"/>
      <c r="C304" s="480"/>
      <c r="D304" s="482"/>
      <c r="E304" s="482"/>
      <c r="F304" s="482"/>
      <c r="G304" s="482"/>
      <c r="H304" s="482"/>
      <c r="I304" s="482"/>
      <c r="J304" s="482"/>
      <c r="K304" s="482"/>
      <c r="L304" s="482"/>
      <c r="M304" s="482"/>
      <c r="N304" s="482"/>
      <c r="O304" s="492"/>
      <c r="P304" s="445"/>
    </row>
    <row r="305" spans="1:16">
      <c r="A305" s="468"/>
      <c r="B305" s="86" t="s">
        <v>363</v>
      </c>
      <c r="C305" s="97">
        <v>44967</v>
      </c>
      <c r="D305" s="65">
        <v>44993</v>
      </c>
      <c r="E305" s="65">
        <v>45026</v>
      </c>
      <c r="F305" s="65">
        <v>45063</v>
      </c>
      <c r="G305" s="65">
        <v>45089</v>
      </c>
      <c r="H305" s="65">
        <v>45117</v>
      </c>
      <c r="I305" s="65">
        <v>45162</v>
      </c>
      <c r="J305" s="65">
        <v>45195</v>
      </c>
      <c r="K305" s="54"/>
      <c r="L305" s="54"/>
      <c r="M305" s="54"/>
      <c r="N305" s="54"/>
      <c r="O305" s="54"/>
      <c r="P305" s="101"/>
    </row>
    <row r="306" spans="1:16">
      <c r="A306" s="478"/>
      <c r="B306" s="76" t="s">
        <v>377</v>
      </c>
      <c r="C306" s="73" t="s">
        <v>367</v>
      </c>
      <c r="D306" s="54" t="s">
        <v>368</v>
      </c>
      <c r="E306" s="54" t="s">
        <v>368</v>
      </c>
      <c r="F306" s="54" t="s">
        <v>386</v>
      </c>
      <c r="G306" s="54" t="s">
        <v>368</v>
      </c>
      <c r="H306" s="54" t="s">
        <v>368</v>
      </c>
      <c r="I306" s="54" t="s">
        <v>368</v>
      </c>
      <c r="J306" s="54" t="s">
        <v>368</v>
      </c>
      <c r="K306" s="54"/>
      <c r="L306" s="54"/>
      <c r="M306" s="54"/>
      <c r="N306" s="54"/>
      <c r="O306" s="54"/>
      <c r="P306" s="101"/>
    </row>
    <row r="307" spans="1:16" ht="15" customHeight="1">
      <c r="A307" s="467">
        <v>140</v>
      </c>
      <c r="B307" s="470" t="s">
        <v>1138</v>
      </c>
      <c r="C307" s="479" t="s">
        <v>998</v>
      </c>
      <c r="D307" s="479" t="s">
        <v>998</v>
      </c>
      <c r="E307" s="479" t="s">
        <v>998</v>
      </c>
      <c r="F307" s="479" t="s">
        <v>998</v>
      </c>
      <c r="G307" s="479" t="s">
        <v>998</v>
      </c>
      <c r="H307" s="481">
        <v>140</v>
      </c>
      <c r="I307" s="481">
        <v>140</v>
      </c>
      <c r="J307" s="481">
        <v>140</v>
      </c>
      <c r="K307" s="481">
        <v>140</v>
      </c>
      <c r="L307" s="481">
        <v>140</v>
      </c>
      <c r="M307" s="481">
        <v>140</v>
      </c>
      <c r="N307" s="481">
        <v>93</v>
      </c>
      <c r="O307" s="481">
        <v>140</v>
      </c>
      <c r="P307" s="476">
        <f>SUM(C307:O308)</f>
        <v>1073</v>
      </c>
    </row>
    <row r="308" spans="1:16">
      <c r="A308" s="468"/>
      <c r="B308" s="496"/>
      <c r="C308" s="480"/>
      <c r="D308" s="480"/>
      <c r="E308" s="480"/>
      <c r="F308" s="480"/>
      <c r="G308" s="480"/>
      <c r="H308" s="482"/>
      <c r="I308" s="482"/>
      <c r="J308" s="482"/>
      <c r="K308" s="482"/>
      <c r="L308" s="482"/>
      <c r="M308" s="482"/>
      <c r="N308" s="482"/>
      <c r="O308" s="482"/>
      <c r="P308" s="445"/>
    </row>
    <row r="309" spans="1:16">
      <c r="A309" s="468"/>
      <c r="B309" s="86" t="s">
        <v>363</v>
      </c>
      <c r="C309" s="97" t="s">
        <v>998</v>
      </c>
      <c r="D309" s="97" t="s">
        <v>998</v>
      </c>
      <c r="E309" s="97" t="s">
        <v>998</v>
      </c>
      <c r="F309" s="97" t="s">
        <v>998</v>
      </c>
      <c r="G309" s="97" t="s">
        <v>998</v>
      </c>
      <c r="H309" s="65">
        <v>45099</v>
      </c>
      <c r="I309" s="65">
        <v>45127</v>
      </c>
      <c r="J309" s="65">
        <v>45216</v>
      </c>
      <c r="K309" s="65">
        <v>45216</v>
      </c>
      <c r="L309" s="54"/>
      <c r="M309" s="54"/>
      <c r="N309" s="54"/>
      <c r="O309" s="54"/>
      <c r="P309" s="101"/>
    </row>
    <row r="310" spans="1:16">
      <c r="A310" s="478"/>
      <c r="B310" s="76" t="s">
        <v>377</v>
      </c>
      <c r="C310" s="73" t="s">
        <v>998</v>
      </c>
      <c r="D310" s="73" t="s">
        <v>998</v>
      </c>
      <c r="E310" s="73" t="s">
        <v>998</v>
      </c>
      <c r="F310" s="73" t="s">
        <v>998</v>
      </c>
      <c r="G310" s="73" t="s">
        <v>998</v>
      </c>
      <c r="H310" s="54" t="s">
        <v>384</v>
      </c>
      <c r="I310" s="54" t="s">
        <v>384</v>
      </c>
      <c r="J310" s="54" t="s">
        <v>373</v>
      </c>
      <c r="K310" s="54" t="s">
        <v>384</v>
      </c>
      <c r="L310" s="54"/>
      <c r="M310" s="54"/>
      <c r="N310" s="54"/>
      <c r="O310" s="54"/>
      <c r="P310" s="101"/>
    </row>
    <row r="311" spans="1:16" ht="15" customHeight="1">
      <c r="A311" s="467">
        <v>145</v>
      </c>
      <c r="B311" s="470" t="s">
        <v>81</v>
      </c>
      <c r="C311" s="480" t="s">
        <v>1305</v>
      </c>
      <c r="D311" s="482"/>
      <c r="E311" s="482"/>
      <c r="F311" s="482"/>
      <c r="G311" s="482"/>
      <c r="H311" s="482"/>
      <c r="I311" s="482"/>
      <c r="J311" s="482"/>
      <c r="K311" s="482"/>
      <c r="L311" s="482"/>
      <c r="M311" s="482"/>
      <c r="N311" s="482"/>
      <c r="O311" s="491"/>
      <c r="P311" s="476">
        <f>SUM(C311:O312)</f>
        <v>0</v>
      </c>
    </row>
    <row r="312" spans="1:16">
      <c r="A312" s="468"/>
      <c r="B312" s="471"/>
      <c r="C312" s="480"/>
      <c r="D312" s="482"/>
      <c r="E312" s="482"/>
      <c r="F312" s="482"/>
      <c r="G312" s="482"/>
      <c r="H312" s="482"/>
      <c r="I312" s="482"/>
      <c r="J312" s="482"/>
      <c r="K312" s="482"/>
      <c r="L312" s="482"/>
      <c r="M312" s="482"/>
      <c r="N312" s="482"/>
      <c r="O312" s="492"/>
      <c r="P312" s="445"/>
    </row>
    <row r="313" spans="1:16">
      <c r="A313" s="468"/>
      <c r="B313" s="87" t="s">
        <v>363</v>
      </c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101"/>
    </row>
    <row r="314" spans="1:16">
      <c r="A314" s="469"/>
      <c r="B314" s="76" t="s">
        <v>377</v>
      </c>
      <c r="C314" s="73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101"/>
    </row>
    <row r="315" spans="1:16" ht="15" customHeight="1">
      <c r="A315" s="553">
        <v>146</v>
      </c>
      <c r="B315" s="470" t="s">
        <v>336</v>
      </c>
      <c r="C315" s="495">
        <v>460</v>
      </c>
      <c r="D315" s="481">
        <v>460</v>
      </c>
      <c r="E315" s="481">
        <v>460</v>
      </c>
      <c r="F315" s="481">
        <v>460</v>
      </c>
      <c r="G315" s="481">
        <v>460</v>
      </c>
      <c r="H315" s="481">
        <v>460</v>
      </c>
      <c r="I315" s="481">
        <v>460</v>
      </c>
      <c r="J315" s="481">
        <v>460</v>
      </c>
      <c r="K315" s="481">
        <v>460</v>
      </c>
      <c r="L315" s="481">
        <v>460</v>
      </c>
      <c r="M315" s="481">
        <v>460</v>
      </c>
      <c r="N315" s="481">
        <v>460</v>
      </c>
      <c r="O315" s="481">
        <v>460</v>
      </c>
      <c r="P315" s="476">
        <f>SUM(C315:O316)</f>
        <v>5980</v>
      </c>
    </row>
    <row r="316" spans="1:16">
      <c r="A316" s="554"/>
      <c r="B316" s="471"/>
      <c r="C316" s="480"/>
      <c r="D316" s="482"/>
      <c r="E316" s="482"/>
      <c r="F316" s="482"/>
      <c r="G316" s="482"/>
      <c r="H316" s="482"/>
      <c r="I316" s="482"/>
      <c r="J316" s="482"/>
      <c r="K316" s="482"/>
      <c r="L316" s="482"/>
      <c r="M316" s="482"/>
      <c r="N316" s="482"/>
      <c r="O316" s="482"/>
      <c r="P316" s="445"/>
    </row>
    <row r="317" spans="1:16">
      <c r="A317" s="554"/>
      <c r="B317" s="76" t="s">
        <v>363</v>
      </c>
      <c r="C317" s="97">
        <v>44959</v>
      </c>
      <c r="D317" s="65">
        <v>44985</v>
      </c>
      <c r="E317" s="65">
        <v>45015</v>
      </c>
      <c r="F317" s="65">
        <v>45048</v>
      </c>
      <c r="G317" s="65">
        <v>45082</v>
      </c>
      <c r="H317" s="65">
        <v>45105</v>
      </c>
      <c r="I317" s="65">
        <v>45138</v>
      </c>
      <c r="J317" s="65">
        <v>45168</v>
      </c>
      <c r="K317" s="65">
        <v>45201</v>
      </c>
      <c r="L317" s="65">
        <v>45230</v>
      </c>
      <c r="M317" s="65">
        <v>45260</v>
      </c>
      <c r="N317" s="65">
        <v>45260</v>
      </c>
      <c r="O317" s="65">
        <v>45655</v>
      </c>
      <c r="P317" s="101"/>
    </row>
    <row r="318" spans="1:16">
      <c r="A318" s="555"/>
      <c r="B318" s="86" t="s">
        <v>377</v>
      </c>
      <c r="C318" s="73" t="s">
        <v>368</v>
      </c>
      <c r="D318" s="54" t="s">
        <v>371</v>
      </c>
      <c r="E318" s="54" t="s">
        <v>371</v>
      </c>
      <c r="F318" s="54" t="s">
        <v>386</v>
      </c>
      <c r="G318" s="54" t="s">
        <v>384</v>
      </c>
      <c r="H318" s="54" t="s">
        <v>384</v>
      </c>
      <c r="I318" s="54" t="s">
        <v>384</v>
      </c>
      <c r="J318" s="54" t="s">
        <v>1135</v>
      </c>
      <c r="K318" s="54" t="s">
        <v>1135</v>
      </c>
      <c r="L318" s="54" t="s">
        <v>384</v>
      </c>
      <c r="M318" s="54" t="s">
        <v>384</v>
      </c>
      <c r="N318" s="54" t="s">
        <v>384</v>
      </c>
      <c r="O318" s="54" t="s">
        <v>384</v>
      </c>
      <c r="P318" s="101"/>
    </row>
    <row r="319" spans="1:16" ht="15" customHeight="1">
      <c r="A319" s="467">
        <v>147</v>
      </c>
      <c r="B319" s="489" t="s">
        <v>230</v>
      </c>
      <c r="C319" s="479">
        <v>365</v>
      </c>
      <c r="D319" s="481">
        <v>365</v>
      </c>
      <c r="E319" s="481">
        <v>365</v>
      </c>
      <c r="F319" s="481">
        <v>365</v>
      </c>
      <c r="G319" s="481">
        <v>365</v>
      </c>
      <c r="H319" s="481">
        <v>365</v>
      </c>
      <c r="I319" s="481">
        <v>365</v>
      </c>
      <c r="J319" s="481">
        <v>365</v>
      </c>
      <c r="K319" s="481">
        <v>365</v>
      </c>
      <c r="L319" s="481">
        <v>365</v>
      </c>
      <c r="M319" s="482"/>
      <c r="N319" s="482"/>
      <c r="O319" s="481">
        <v>365</v>
      </c>
      <c r="P319" s="476">
        <f>SUM(C319:O320)</f>
        <v>4015</v>
      </c>
    </row>
    <row r="320" spans="1:16">
      <c r="A320" s="468"/>
      <c r="B320" s="490"/>
      <c r="C320" s="480"/>
      <c r="D320" s="482"/>
      <c r="E320" s="482"/>
      <c r="F320" s="482"/>
      <c r="G320" s="482"/>
      <c r="H320" s="482"/>
      <c r="I320" s="482"/>
      <c r="J320" s="482"/>
      <c r="K320" s="482"/>
      <c r="L320" s="482"/>
      <c r="M320" s="482"/>
      <c r="N320" s="482"/>
      <c r="O320" s="482"/>
      <c r="P320" s="445"/>
    </row>
    <row r="321" spans="1:16">
      <c r="A321" s="468"/>
      <c r="B321" s="78" t="s">
        <v>363</v>
      </c>
      <c r="C321" s="97">
        <v>44971</v>
      </c>
      <c r="D321" s="65">
        <v>44992</v>
      </c>
      <c r="E321" s="65">
        <v>45020</v>
      </c>
      <c r="F321" s="65">
        <v>45050</v>
      </c>
      <c r="G321" s="65">
        <v>45089</v>
      </c>
      <c r="H321" s="65">
        <v>45119</v>
      </c>
      <c r="I321" s="65">
        <v>45141</v>
      </c>
      <c r="J321" s="65">
        <v>45174</v>
      </c>
      <c r="K321" s="65">
        <v>45204</v>
      </c>
      <c r="L321" s="65">
        <v>45237</v>
      </c>
      <c r="M321" s="54"/>
      <c r="N321" s="54"/>
      <c r="O321" s="65">
        <v>45302</v>
      </c>
      <c r="P321" s="101"/>
    </row>
    <row r="322" spans="1:16">
      <c r="A322" s="478"/>
      <c r="B322" s="78" t="s">
        <v>377</v>
      </c>
      <c r="C322" s="73" t="s">
        <v>368</v>
      </c>
      <c r="D322" s="54" t="s">
        <v>368</v>
      </c>
      <c r="E322" s="54" t="s">
        <v>368</v>
      </c>
      <c r="F322" s="54" t="s">
        <v>386</v>
      </c>
      <c r="G322" s="54" t="s">
        <v>368</v>
      </c>
      <c r="H322" s="54" t="s">
        <v>368</v>
      </c>
      <c r="I322" s="54" t="s">
        <v>386</v>
      </c>
      <c r="J322" s="54" t="s">
        <v>368</v>
      </c>
      <c r="K322" s="54" t="s">
        <v>386</v>
      </c>
      <c r="L322" s="54" t="s">
        <v>368</v>
      </c>
      <c r="M322" s="54"/>
      <c r="N322" s="54"/>
      <c r="O322" s="54" t="s">
        <v>386</v>
      </c>
      <c r="P322" s="101"/>
    </row>
    <row r="323" spans="1:16" ht="15" customHeight="1">
      <c r="A323" s="467">
        <v>148</v>
      </c>
      <c r="B323" s="489" t="s">
        <v>519</v>
      </c>
      <c r="C323" s="480" t="s">
        <v>998</v>
      </c>
      <c r="D323" s="482" t="s">
        <v>998</v>
      </c>
      <c r="E323" s="678" t="s">
        <v>999</v>
      </c>
      <c r="F323" s="482" t="s">
        <v>998</v>
      </c>
      <c r="G323" s="481">
        <v>130</v>
      </c>
      <c r="H323" s="481">
        <v>130</v>
      </c>
      <c r="I323" s="481">
        <v>130</v>
      </c>
      <c r="J323" s="482"/>
      <c r="K323" s="482"/>
      <c r="L323" s="482"/>
      <c r="M323" s="481">
        <v>130</v>
      </c>
      <c r="N323" s="481">
        <v>130</v>
      </c>
      <c r="O323" s="481">
        <v>130</v>
      </c>
      <c r="P323" s="476">
        <f>SUM(C323:O324)</f>
        <v>780</v>
      </c>
    </row>
    <row r="324" spans="1:16">
      <c r="A324" s="468"/>
      <c r="B324" s="490"/>
      <c r="C324" s="480"/>
      <c r="D324" s="482"/>
      <c r="E324" s="482"/>
      <c r="F324" s="482"/>
      <c r="G324" s="482"/>
      <c r="H324" s="482"/>
      <c r="I324" s="482"/>
      <c r="J324" s="482"/>
      <c r="K324" s="482"/>
      <c r="L324" s="482"/>
      <c r="M324" s="482"/>
      <c r="N324" s="482"/>
      <c r="O324" s="482"/>
      <c r="P324" s="445"/>
    </row>
    <row r="325" spans="1:16">
      <c r="A325" s="468"/>
      <c r="B325" s="76" t="s">
        <v>363</v>
      </c>
      <c r="C325" s="73" t="s">
        <v>998</v>
      </c>
      <c r="D325" s="54" t="s">
        <v>998</v>
      </c>
      <c r="E325" s="54" t="s">
        <v>998</v>
      </c>
      <c r="F325" s="54" t="s">
        <v>998</v>
      </c>
      <c r="G325" s="65">
        <v>45103</v>
      </c>
      <c r="H325" s="65">
        <v>45111</v>
      </c>
      <c r="I325" s="65">
        <v>45159</v>
      </c>
      <c r="J325" s="54"/>
      <c r="K325" s="54"/>
      <c r="L325" s="54"/>
      <c r="M325" s="65">
        <v>45272</v>
      </c>
      <c r="N325" s="65">
        <v>45282</v>
      </c>
      <c r="O325" s="65">
        <v>45314</v>
      </c>
      <c r="P325" s="101"/>
    </row>
    <row r="326" spans="1:16">
      <c r="A326" s="478"/>
      <c r="B326" s="79" t="s">
        <v>377</v>
      </c>
      <c r="C326" s="73" t="s">
        <v>998</v>
      </c>
      <c r="D326" s="54" t="s">
        <v>998</v>
      </c>
      <c r="E326" s="54" t="s">
        <v>998</v>
      </c>
      <c r="F326" s="54" t="s">
        <v>998</v>
      </c>
      <c r="G326" s="54" t="s">
        <v>368</v>
      </c>
      <c r="H326" s="54" t="s">
        <v>384</v>
      </c>
      <c r="I326" s="54" t="s">
        <v>371</v>
      </c>
      <c r="J326" s="54"/>
      <c r="K326" s="54"/>
      <c r="L326" s="54"/>
      <c r="M326" s="54" t="s">
        <v>384</v>
      </c>
      <c r="N326" s="54" t="s">
        <v>384</v>
      </c>
      <c r="O326" s="54" t="s">
        <v>384</v>
      </c>
      <c r="P326" s="101"/>
    </row>
    <row r="327" spans="1:16" ht="15" customHeight="1">
      <c r="A327" s="485">
        <v>149</v>
      </c>
      <c r="B327" s="533" t="s">
        <v>231</v>
      </c>
      <c r="C327" s="482" t="s">
        <v>1305</v>
      </c>
      <c r="D327" s="481"/>
      <c r="E327" s="482"/>
      <c r="F327" s="482"/>
      <c r="G327" s="482"/>
      <c r="H327" s="482"/>
      <c r="I327" s="482"/>
      <c r="J327" s="482"/>
      <c r="K327" s="482"/>
      <c r="L327" s="482"/>
      <c r="M327" s="482"/>
      <c r="N327" s="482"/>
      <c r="O327" s="491"/>
      <c r="P327" s="476">
        <f>SUM(C327:O328)</f>
        <v>0</v>
      </c>
    </row>
    <row r="328" spans="1:16">
      <c r="A328" s="468"/>
      <c r="B328" s="533"/>
      <c r="C328" s="482"/>
      <c r="D328" s="482"/>
      <c r="E328" s="482"/>
      <c r="F328" s="482"/>
      <c r="G328" s="482"/>
      <c r="H328" s="482"/>
      <c r="I328" s="482"/>
      <c r="J328" s="482"/>
      <c r="K328" s="482"/>
      <c r="L328" s="482"/>
      <c r="M328" s="482"/>
      <c r="N328" s="482"/>
      <c r="O328" s="492"/>
      <c r="P328" s="445"/>
    </row>
    <row r="329" spans="1:16">
      <c r="A329" s="468"/>
      <c r="B329" s="88" t="s">
        <v>363</v>
      </c>
      <c r="C329" s="54"/>
      <c r="D329" s="65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101"/>
    </row>
    <row r="330" spans="1:16">
      <c r="A330" s="478"/>
      <c r="B330" s="89" t="s">
        <v>377</v>
      </c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101"/>
    </row>
    <row r="331" spans="1:16" ht="15" customHeight="1">
      <c r="A331" s="485">
        <v>150</v>
      </c>
      <c r="B331" s="533" t="s">
        <v>1256</v>
      </c>
      <c r="C331" s="482" t="s">
        <v>998</v>
      </c>
      <c r="D331" s="482" t="s">
        <v>998</v>
      </c>
      <c r="E331" s="482" t="s">
        <v>998</v>
      </c>
      <c r="F331" s="482" t="s">
        <v>998</v>
      </c>
      <c r="G331" s="482" t="s">
        <v>998</v>
      </c>
      <c r="H331" s="482" t="s">
        <v>998</v>
      </c>
      <c r="I331" s="481">
        <v>150</v>
      </c>
      <c r="J331" s="481">
        <v>200</v>
      </c>
      <c r="K331" s="481">
        <v>200</v>
      </c>
      <c r="L331" s="481">
        <v>200</v>
      </c>
      <c r="M331" s="481">
        <v>200</v>
      </c>
      <c r="N331" s="481">
        <v>100</v>
      </c>
      <c r="O331" s="481">
        <v>200</v>
      </c>
      <c r="P331" s="476">
        <f>SUM(C331:O332)</f>
        <v>1250</v>
      </c>
    </row>
    <row r="332" spans="1:16">
      <c r="A332" s="468"/>
      <c r="B332" s="533"/>
      <c r="C332" s="482"/>
      <c r="D332" s="482"/>
      <c r="E332" s="482"/>
      <c r="F332" s="482"/>
      <c r="G332" s="482"/>
      <c r="H332" s="482"/>
      <c r="I332" s="482"/>
      <c r="J332" s="482"/>
      <c r="K332" s="482"/>
      <c r="L332" s="482"/>
      <c r="M332" s="482"/>
      <c r="N332" s="482"/>
      <c r="O332" s="482"/>
      <c r="P332" s="445"/>
    </row>
    <row r="333" spans="1:16">
      <c r="A333" s="468"/>
      <c r="B333" s="88" t="s">
        <v>363</v>
      </c>
      <c r="C333" s="54" t="s">
        <v>998</v>
      </c>
      <c r="D333" s="54" t="s">
        <v>998</v>
      </c>
      <c r="E333" s="54" t="s">
        <v>998</v>
      </c>
      <c r="F333" s="54" t="s">
        <v>998</v>
      </c>
      <c r="G333" s="54" t="s">
        <v>998</v>
      </c>
      <c r="H333" s="54" t="s">
        <v>998</v>
      </c>
      <c r="I333" s="65">
        <v>45139</v>
      </c>
      <c r="J333" s="65">
        <v>45170</v>
      </c>
      <c r="K333" s="66">
        <v>45170</v>
      </c>
      <c r="L333" s="65">
        <v>45204</v>
      </c>
      <c r="M333" s="65">
        <v>45231</v>
      </c>
      <c r="N333" s="65">
        <v>45261</v>
      </c>
      <c r="O333" s="65">
        <v>45261</v>
      </c>
      <c r="P333" s="101"/>
    </row>
    <row r="334" spans="1:16">
      <c r="A334" s="478"/>
      <c r="B334" s="89" t="s">
        <v>377</v>
      </c>
      <c r="C334" s="54" t="s">
        <v>998</v>
      </c>
      <c r="D334" s="54" t="s">
        <v>998</v>
      </c>
      <c r="E334" s="54" t="s">
        <v>998</v>
      </c>
      <c r="F334" s="54" t="s">
        <v>998</v>
      </c>
      <c r="G334" s="54" t="s">
        <v>998</v>
      </c>
      <c r="H334" s="54" t="s">
        <v>998</v>
      </c>
      <c r="I334" s="54" t="s">
        <v>373</v>
      </c>
      <c r="J334" s="54" t="s">
        <v>373</v>
      </c>
      <c r="K334" s="54" t="s">
        <v>1135</v>
      </c>
      <c r="L334" s="54" t="s">
        <v>384</v>
      </c>
      <c r="M334" s="54" t="s">
        <v>384</v>
      </c>
      <c r="N334" s="54" t="s">
        <v>371</v>
      </c>
      <c r="O334" s="54" t="s">
        <v>371</v>
      </c>
      <c r="P334" s="101"/>
    </row>
    <row r="335" spans="1:16" ht="15" customHeight="1">
      <c r="A335" s="470">
        <v>151</v>
      </c>
      <c r="B335" s="497" t="s">
        <v>1252</v>
      </c>
      <c r="C335" s="491" t="s">
        <v>998</v>
      </c>
      <c r="D335" s="491" t="s">
        <v>998</v>
      </c>
      <c r="E335" s="491" t="s">
        <v>998</v>
      </c>
      <c r="F335" s="491" t="s">
        <v>998</v>
      </c>
      <c r="G335" s="491" t="s">
        <v>998</v>
      </c>
      <c r="H335" s="491" t="s">
        <v>998</v>
      </c>
      <c r="I335" s="491" t="s">
        <v>998</v>
      </c>
      <c r="J335" s="483">
        <v>300</v>
      </c>
      <c r="K335" s="483">
        <v>300</v>
      </c>
      <c r="L335" s="483">
        <v>300</v>
      </c>
      <c r="M335" s="483">
        <v>300</v>
      </c>
      <c r="N335" s="483">
        <v>125</v>
      </c>
      <c r="O335" s="483">
        <v>300</v>
      </c>
      <c r="P335" s="493">
        <f>SUM(C335:O336)</f>
        <v>1625</v>
      </c>
    </row>
    <row r="336" spans="1:16">
      <c r="A336" s="496"/>
      <c r="B336" s="498"/>
      <c r="C336" s="492"/>
      <c r="D336" s="492"/>
      <c r="E336" s="492"/>
      <c r="F336" s="492"/>
      <c r="G336" s="492"/>
      <c r="H336" s="492"/>
      <c r="I336" s="492"/>
      <c r="J336" s="492"/>
      <c r="K336" s="492"/>
      <c r="L336" s="492"/>
      <c r="M336" s="492"/>
      <c r="N336" s="492"/>
      <c r="O336" s="492"/>
      <c r="P336" s="494"/>
    </row>
    <row r="337" spans="1:16">
      <c r="A337" s="496"/>
      <c r="B337" s="83" t="s">
        <v>363</v>
      </c>
      <c r="C337" s="54" t="s">
        <v>998</v>
      </c>
      <c r="D337" s="54" t="s">
        <v>998</v>
      </c>
      <c r="E337" s="54" t="s">
        <v>998</v>
      </c>
      <c r="F337" s="54" t="s">
        <v>998</v>
      </c>
      <c r="G337" s="54" t="s">
        <v>998</v>
      </c>
      <c r="H337" s="54" t="s">
        <v>998</v>
      </c>
      <c r="I337" s="54" t="s">
        <v>998</v>
      </c>
      <c r="J337" s="65">
        <v>45180</v>
      </c>
      <c r="K337" s="65">
        <v>45224</v>
      </c>
      <c r="L337" s="65">
        <v>45260</v>
      </c>
      <c r="M337" s="65">
        <v>45267</v>
      </c>
      <c r="N337" s="65">
        <v>45267</v>
      </c>
      <c r="O337" s="65">
        <v>45299</v>
      </c>
      <c r="P337" s="101"/>
    </row>
    <row r="338" spans="1:16">
      <c r="A338" s="471"/>
      <c r="B338" s="82" t="s">
        <v>377</v>
      </c>
      <c r="C338" s="54" t="s">
        <v>998</v>
      </c>
      <c r="D338" s="54" t="s">
        <v>998</v>
      </c>
      <c r="E338" s="54" t="s">
        <v>998</v>
      </c>
      <c r="F338" s="54" t="s">
        <v>998</v>
      </c>
      <c r="G338" s="54" t="s">
        <v>998</v>
      </c>
      <c r="H338" s="54" t="s">
        <v>998</v>
      </c>
      <c r="I338" s="54" t="s">
        <v>998</v>
      </c>
      <c r="J338" s="54" t="s">
        <v>373</v>
      </c>
      <c r="K338" s="54" t="s">
        <v>371</v>
      </c>
      <c r="L338" s="54" t="s">
        <v>384</v>
      </c>
      <c r="M338" s="54" t="s">
        <v>384</v>
      </c>
      <c r="N338" s="54" t="s">
        <v>384</v>
      </c>
      <c r="O338" s="54" t="s">
        <v>384</v>
      </c>
      <c r="P338" s="101"/>
    </row>
    <row r="339" spans="1:16" ht="15" customHeight="1">
      <c r="A339" s="470">
        <v>153</v>
      </c>
      <c r="B339" s="497" t="s">
        <v>232</v>
      </c>
      <c r="C339" s="491" t="s">
        <v>1306</v>
      </c>
      <c r="D339" s="491">
        <v>260</v>
      </c>
      <c r="E339" s="491">
        <v>260</v>
      </c>
      <c r="F339" s="483">
        <v>260</v>
      </c>
      <c r="G339" s="491">
        <v>260</v>
      </c>
      <c r="H339" s="491">
        <v>260</v>
      </c>
      <c r="I339" s="491">
        <v>260</v>
      </c>
      <c r="J339" s="491">
        <v>260</v>
      </c>
      <c r="K339" s="491"/>
      <c r="L339" s="491"/>
      <c r="M339" s="491"/>
      <c r="N339" s="491"/>
      <c r="O339" s="491"/>
      <c r="P339" s="493">
        <f>SUM(C339:O340)</f>
        <v>1820</v>
      </c>
    </row>
    <row r="340" spans="1:16">
      <c r="A340" s="496"/>
      <c r="B340" s="498"/>
      <c r="C340" s="492"/>
      <c r="D340" s="492"/>
      <c r="E340" s="492"/>
      <c r="F340" s="484"/>
      <c r="G340" s="492"/>
      <c r="H340" s="492"/>
      <c r="I340" s="492"/>
      <c r="J340" s="492"/>
      <c r="K340" s="492"/>
      <c r="L340" s="492"/>
      <c r="M340" s="492"/>
      <c r="N340" s="492"/>
      <c r="O340" s="492"/>
      <c r="P340" s="494"/>
    </row>
    <row r="341" spans="1:16">
      <c r="A341" s="496"/>
      <c r="B341" s="83" t="s">
        <v>363</v>
      </c>
      <c r="C341" s="54"/>
      <c r="D341" s="65">
        <v>45643</v>
      </c>
      <c r="E341" s="64">
        <v>45680</v>
      </c>
      <c r="F341" s="65">
        <v>45699</v>
      </c>
      <c r="G341" s="65">
        <v>45793</v>
      </c>
      <c r="H341" s="65">
        <v>45862</v>
      </c>
      <c r="I341" s="65">
        <v>45926</v>
      </c>
      <c r="J341" s="64">
        <v>45975</v>
      </c>
      <c r="K341" s="54"/>
      <c r="L341" s="54"/>
      <c r="M341" s="54"/>
      <c r="N341" s="54"/>
      <c r="O341" s="54"/>
      <c r="P341" s="101"/>
    </row>
    <row r="342" spans="1:16">
      <c r="A342" s="471"/>
      <c r="B342" s="82" t="s">
        <v>377</v>
      </c>
      <c r="C342" s="54"/>
      <c r="D342" s="54" t="s">
        <v>385</v>
      </c>
      <c r="E342" s="54" t="s">
        <v>385</v>
      </c>
      <c r="F342" s="54" t="s">
        <v>385</v>
      </c>
      <c r="G342" s="54" t="s">
        <v>385</v>
      </c>
      <c r="H342" s="54" t="s">
        <v>374</v>
      </c>
      <c r="I342" s="54" t="s">
        <v>386</v>
      </c>
      <c r="J342" s="54" t="s">
        <v>385</v>
      </c>
      <c r="K342" s="54"/>
      <c r="L342" s="54"/>
      <c r="M342" s="54"/>
      <c r="N342" s="54"/>
      <c r="O342" s="54"/>
      <c r="P342" s="101"/>
    </row>
    <row r="343" spans="1:16" ht="15" customHeight="1">
      <c r="A343" s="467">
        <v>155</v>
      </c>
      <c r="B343" s="489" t="s">
        <v>337</v>
      </c>
      <c r="C343" s="479">
        <v>220</v>
      </c>
      <c r="D343" s="481">
        <v>220</v>
      </c>
      <c r="E343" s="481">
        <v>220</v>
      </c>
      <c r="F343" s="481">
        <v>220</v>
      </c>
      <c r="G343" s="481">
        <v>220</v>
      </c>
      <c r="H343" s="481" t="s">
        <v>998</v>
      </c>
      <c r="I343" s="481" t="s">
        <v>998</v>
      </c>
      <c r="J343" s="481" t="s">
        <v>998</v>
      </c>
      <c r="K343" s="481">
        <v>220</v>
      </c>
      <c r="L343" s="481">
        <v>220</v>
      </c>
      <c r="M343" s="481">
        <v>220</v>
      </c>
      <c r="N343" s="481">
        <v>220</v>
      </c>
      <c r="O343" s="491"/>
      <c r="P343" s="476">
        <f>SUM(C343:O344)</f>
        <v>1980</v>
      </c>
    </row>
    <row r="344" spans="1:16">
      <c r="A344" s="468"/>
      <c r="B344" s="490"/>
      <c r="C344" s="480"/>
      <c r="D344" s="482"/>
      <c r="E344" s="482"/>
      <c r="F344" s="482"/>
      <c r="G344" s="482"/>
      <c r="H344" s="482"/>
      <c r="I344" s="482"/>
      <c r="J344" s="482"/>
      <c r="K344" s="482"/>
      <c r="L344" s="482"/>
      <c r="M344" s="482"/>
      <c r="N344" s="482"/>
      <c r="O344" s="492"/>
      <c r="P344" s="445"/>
    </row>
    <row r="345" spans="1:16">
      <c r="A345" s="468"/>
      <c r="B345" s="81" t="s">
        <v>363</v>
      </c>
      <c r="C345" s="97">
        <v>44963</v>
      </c>
      <c r="D345" s="65">
        <v>44993</v>
      </c>
      <c r="E345" s="65">
        <v>45026</v>
      </c>
      <c r="F345" s="65">
        <v>45055</v>
      </c>
      <c r="G345" s="65">
        <v>45089</v>
      </c>
      <c r="H345" s="65" t="s">
        <v>998</v>
      </c>
      <c r="I345" s="65" t="s">
        <v>998</v>
      </c>
      <c r="J345" s="54" t="s">
        <v>998</v>
      </c>
      <c r="K345" s="65">
        <v>45204</v>
      </c>
      <c r="L345" s="65">
        <v>45243</v>
      </c>
      <c r="M345" s="65">
        <v>45272</v>
      </c>
      <c r="N345" s="65">
        <v>45272</v>
      </c>
      <c r="O345" s="54"/>
      <c r="P345" s="101"/>
    </row>
    <row r="346" spans="1:16">
      <c r="A346" s="501"/>
      <c r="B346" s="76" t="s">
        <v>377</v>
      </c>
      <c r="C346" s="73" t="s">
        <v>372</v>
      </c>
      <c r="D346" s="54" t="s">
        <v>373</v>
      </c>
      <c r="E346" s="54" t="s">
        <v>383</v>
      </c>
      <c r="F346" s="54" t="s">
        <v>384</v>
      </c>
      <c r="G346" s="54" t="s">
        <v>371</v>
      </c>
      <c r="H346" s="54" t="s">
        <v>998</v>
      </c>
      <c r="I346" s="54" t="s">
        <v>998</v>
      </c>
      <c r="J346" s="54" t="s">
        <v>998</v>
      </c>
      <c r="K346" s="54" t="s">
        <v>373</v>
      </c>
      <c r="L346" s="54" t="s">
        <v>384</v>
      </c>
      <c r="M346" s="54" t="s">
        <v>384</v>
      </c>
      <c r="N346" s="54" t="s">
        <v>384</v>
      </c>
      <c r="O346" s="54"/>
      <c r="P346" s="101"/>
    </row>
    <row r="347" spans="1:16" ht="15" customHeight="1">
      <c r="A347" s="467">
        <v>158</v>
      </c>
      <c r="B347" s="489" t="s">
        <v>1212</v>
      </c>
      <c r="C347" s="479" t="s">
        <v>998</v>
      </c>
      <c r="D347" s="479" t="s">
        <v>998</v>
      </c>
      <c r="E347" s="479" t="s">
        <v>998</v>
      </c>
      <c r="F347" s="479" t="s">
        <v>998</v>
      </c>
      <c r="G347" s="479" t="s">
        <v>998</v>
      </c>
      <c r="H347" s="479" t="s">
        <v>998</v>
      </c>
      <c r="I347" s="479" t="s">
        <v>998</v>
      </c>
      <c r="J347" s="479" t="s">
        <v>998</v>
      </c>
      <c r="K347" s="481">
        <v>140</v>
      </c>
      <c r="L347" s="481">
        <v>140</v>
      </c>
      <c r="M347" s="481">
        <v>140</v>
      </c>
      <c r="N347" s="481">
        <v>46.66</v>
      </c>
      <c r="O347" s="481">
        <v>140</v>
      </c>
      <c r="P347" s="476">
        <f>SUM(C347:O348)</f>
        <v>606.66</v>
      </c>
    </row>
    <row r="348" spans="1:16">
      <c r="A348" s="468"/>
      <c r="B348" s="490"/>
      <c r="C348" s="480"/>
      <c r="D348" s="480"/>
      <c r="E348" s="480"/>
      <c r="F348" s="480"/>
      <c r="G348" s="480"/>
      <c r="H348" s="480"/>
      <c r="I348" s="480"/>
      <c r="J348" s="480"/>
      <c r="K348" s="482"/>
      <c r="L348" s="482"/>
      <c r="M348" s="482"/>
      <c r="N348" s="482"/>
      <c r="O348" s="482"/>
      <c r="P348" s="445"/>
    </row>
    <row r="349" spans="1:16">
      <c r="A349" s="468"/>
      <c r="B349" s="81" t="s">
        <v>363</v>
      </c>
      <c r="C349" s="97" t="s">
        <v>998</v>
      </c>
      <c r="D349" s="97" t="s">
        <v>998</v>
      </c>
      <c r="E349" s="97" t="s">
        <v>998</v>
      </c>
      <c r="F349" s="97" t="s">
        <v>998</v>
      </c>
      <c r="G349" s="97" t="s">
        <v>998</v>
      </c>
      <c r="H349" s="97" t="s">
        <v>998</v>
      </c>
      <c r="I349" s="97" t="s">
        <v>998</v>
      </c>
      <c r="J349" s="97" t="s">
        <v>998</v>
      </c>
      <c r="K349" s="65">
        <v>45208</v>
      </c>
      <c r="L349" s="65">
        <v>45259</v>
      </c>
      <c r="M349" s="65">
        <v>45259</v>
      </c>
      <c r="N349" s="65">
        <v>45259</v>
      </c>
      <c r="O349" s="65">
        <v>45295</v>
      </c>
      <c r="P349" s="101"/>
    </row>
    <row r="350" spans="1:16">
      <c r="A350" s="501"/>
      <c r="B350" s="76" t="s">
        <v>377</v>
      </c>
      <c r="C350" s="73" t="s">
        <v>998</v>
      </c>
      <c r="D350" s="73" t="s">
        <v>998</v>
      </c>
      <c r="E350" s="73" t="s">
        <v>998</v>
      </c>
      <c r="F350" s="73" t="s">
        <v>998</v>
      </c>
      <c r="G350" s="73" t="s">
        <v>998</v>
      </c>
      <c r="H350" s="73" t="s">
        <v>998</v>
      </c>
      <c r="I350" s="73" t="s">
        <v>998</v>
      </c>
      <c r="J350" s="73" t="s">
        <v>998</v>
      </c>
      <c r="K350" s="54" t="s">
        <v>386</v>
      </c>
      <c r="L350" s="54" t="s">
        <v>386</v>
      </c>
      <c r="M350" s="54" t="s">
        <v>386</v>
      </c>
      <c r="N350" s="54" t="s">
        <v>386</v>
      </c>
      <c r="O350" s="54" t="s">
        <v>386</v>
      </c>
      <c r="P350" s="101"/>
    </row>
    <row r="351" spans="1:16" ht="15" customHeight="1">
      <c r="A351" s="467">
        <v>171</v>
      </c>
      <c r="B351" s="489" t="s">
        <v>338</v>
      </c>
      <c r="C351" s="480" t="s">
        <v>1305</v>
      </c>
      <c r="D351" s="482"/>
      <c r="E351" s="482"/>
      <c r="F351" s="482"/>
      <c r="G351" s="482"/>
      <c r="H351" s="482"/>
      <c r="I351" s="482"/>
      <c r="J351" s="482"/>
      <c r="K351" s="482"/>
      <c r="L351" s="482"/>
      <c r="M351" s="482"/>
      <c r="N351" s="482"/>
      <c r="O351" s="491"/>
      <c r="P351" s="476">
        <f>SUM(C351:O352)</f>
        <v>0</v>
      </c>
    </row>
    <row r="352" spans="1:16">
      <c r="A352" s="468"/>
      <c r="B352" s="490"/>
      <c r="C352" s="480"/>
      <c r="D352" s="482"/>
      <c r="E352" s="482"/>
      <c r="F352" s="482"/>
      <c r="G352" s="482"/>
      <c r="H352" s="482"/>
      <c r="I352" s="482"/>
      <c r="J352" s="482"/>
      <c r="K352" s="482"/>
      <c r="L352" s="482"/>
      <c r="M352" s="482"/>
      <c r="N352" s="482"/>
      <c r="O352" s="492"/>
      <c r="P352" s="445"/>
    </row>
    <row r="353" spans="1:16">
      <c r="A353" s="468"/>
      <c r="B353" s="76" t="s">
        <v>363</v>
      </c>
      <c r="C353" s="73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101"/>
    </row>
    <row r="354" spans="1:16">
      <c r="A354" s="478"/>
      <c r="B354" s="79" t="s">
        <v>377</v>
      </c>
      <c r="C354" s="73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101"/>
    </row>
    <row r="355" spans="1:16" ht="15" customHeight="1">
      <c r="A355" s="485">
        <v>172</v>
      </c>
      <c r="B355" s="489" t="s">
        <v>339</v>
      </c>
      <c r="C355" s="495">
        <v>650</v>
      </c>
      <c r="D355" s="481">
        <v>650</v>
      </c>
      <c r="E355" s="481">
        <v>650</v>
      </c>
      <c r="F355" s="481">
        <v>650</v>
      </c>
      <c r="G355" s="481">
        <v>650</v>
      </c>
      <c r="H355" s="482"/>
      <c r="I355" s="481">
        <v>650</v>
      </c>
      <c r="J355" s="481">
        <v>650</v>
      </c>
      <c r="K355" s="482"/>
      <c r="L355" s="481">
        <v>650</v>
      </c>
      <c r="M355" s="481">
        <v>600</v>
      </c>
      <c r="N355" s="482"/>
      <c r="O355" s="481">
        <v>600</v>
      </c>
      <c r="P355" s="476">
        <f>SUM(C355:O356)</f>
        <v>6400</v>
      </c>
    </row>
    <row r="356" spans="1:16">
      <c r="A356" s="468"/>
      <c r="B356" s="490"/>
      <c r="C356" s="480"/>
      <c r="D356" s="482"/>
      <c r="E356" s="482"/>
      <c r="F356" s="482"/>
      <c r="G356" s="482"/>
      <c r="H356" s="482"/>
      <c r="I356" s="482"/>
      <c r="J356" s="482"/>
      <c r="K356" s="482"/>
      <c r="L356" s="482"/>
      <c r="M356" s="482"/>
      <c r="N356" s="482"/>
      <c r="O356" s="482"/>
      <c r="P356" s="445"/>
    </row>
    <row r="357" spans="1:16">
      <c r="A357" s="468"/>
      <c r="B357" s="81" t="s">
        <v>363</v>
      </c>
      <c r="C357" s="97">
        <v>44967</v>
      </c>
      <c r="D357" s="65">
        <v>44992</v>
      </c>
      <c r="E357" s="65">
        <v>45022</v>
      </c>
      <c r="F357" s="65">
        <v>45055</v>
      </c>
      <c r="G357" s="65">
        <v>45096</v>
      </c>
      <c r="H357" s="54"/>
      <c r="I357" s="65">
        <v>45146</v>
      </c>
      <c r="J357" s="65">
        <v>45175</v>
      </c>
      <c r="K357" s="54"/>
      <c r="L357" s="65">
        <v>45237</v>
      </c>
      <c r="M357" s="65">
        <v>45278</v>
      </c>
      <c r="N357" s="54"/>
      <c r="O357" s="65">
        <v>45306</v>
      </c>
      <c r="P357" s="101"/>
    </row>
    <row r="358" spans="1:16">
      <c r="A358" s="478"/>
      <c r="B358" s="76" t="s">
        <v>377</v>
      </c>
      <c r="C358" s="73" t="s">
        <v>371</v>
      </c>
      <c r="D358" s="54" t="s">
        <v>371</v>
      </c>
      <c r="E358" s="54" t="s">
        <v>371</v>
      </c>
      <c r="F358" s="54" t="s">
        <v>371</v>
      </c>
      <c r="G358" s="54" t="s">
        <v>384</v>
      </c>
      <c r="H358" s="54"/>
      <c r="I358" s="54" t="s">
        <v>1135</v>
      </c>
      <c r="J358" s="54" t="s">
        <v>1135</v>
      </c>
      <c r="K358" s="54"/>
      <c r="L358" s="54" t="s">
        <v>384</v>
      </c>
      <c r="M358" s="54" t="s">
        <v>371</v>
      </c>
      <c r="N358" s="54"/>
      <c r="O358" s="54" t="s">
        <v>384</v>
      </c>
      <c r="P358" s="101"/>
    </row>
    <row r="359" spans="1:16" ht="15" customHeight="1">
      <c r="A359" s="467">
        <v>174</v>
      </c>
      <c r="B359" s="489" t="s">
        <v>340</v>
      </c>
      <c r="C359" s="674">
        <v>240</v>
      </c>
      <c r="D359" s="482"/>
      <c r="E359" s="482"/>
      <c r="F359" s="482"/>
      <c r="G359" s="482"/>
      <c r="H359" s="482"/>
      <c r="I359" s="481">
        <v>240</v>
      </c>
      <c r="J359" s="481">
        <v>240</v>
      </c>
      <c r="K359" s="481">
        <v>240</v>
      </c>
      <c r="L359" s="481">
        <v>240</v>
      </c>
      <c r="M359" s="481">
        <v>265</v>
      </c>
      <c r="N359" s="482"/>
      <c r="O359" s="491"/>
      <c r="P359" s="476">
        <f>SUM(C359:O360)</f>
        <v>1465</v>
      </c>
    </row>
    <row r="360" spans="1:16">
      <c r="A360" s="468"/>
      <c r="B360" s="490"/>
      <c r="C360" s="675"/>
      <c r="D360" s="482"/>
      <c r="E360" s="482"/>
      <c r="F360" s="482"/>
      <c r="G360" s="482"/>
      <c r="H360" s="482"/>
      <c r="I360" s="482"/>
      <c r="J360" s="482"/>
      <c r="K360" s="482"/>
      <c r="L360" s="482"/>
      <c r="M360" s="482"/>
      <c r="N360" s="482"/>
      <c r="O360" s="492"/>
      <c r="P360" s="445"/>
    </row>
    <row r="361" spans="1:16">
      <c r="A361" s="468"/>
      <c r="B361" s="76" t="s">
        <v>363</v>
      </c>
      <c r="C361" s="97">
        <v>44959</v>
      </c>
      <c r="D361" s="54"/>
      <c r="E361" s="54"/>
      <c r="F361" s="54"/>
      <c r="G361" s="54"/>
      <c r="H361" s="54"/>
      <c r="I361" s="65">
        <v>45162</v>
      </c>
      <c r="J361" s="65">
        <v>45175</v>
      </c>
      <c r="K361" s="65">
        <v>45219</v>
      </c>
      <c r="L361" s="65">
        <v>45251</v>
      </c>
      <c r="M361" s="65">
        <v>45259</v>
      </c>
      <c r="N361" s="54"/>
      <c r="O361" s="54"/>
      <c r="P361" s="101"/>
    </row>
    <row r="362" spans="1:16">
      <c r="A362" s="478"/>
      <c r="B362" s="79" t="s">
        <v>377</v>
      </c>
      <c r="C362" s="73" t="s">
        <v>365</v>
      </c>
      <c r="D362" s="54"/>
      <c r="E362" s="54"/>
      <c r="F362" s="54"/>
      <c r="G362" s="54"/>
      <c r="H362" s="54"/>
      <c r="I362" s="54" t="s">
        <v>368</v>
      </c>
      <c r="J362" s="54" t="s">
        <v>368</v>
      </c>
      <c r="K362" s="54" t="s">
        <v>386</v>
      </c>
      <c r="L362" s="54" t="s">
        <v>368</v>
      </c>
      <c r="M362" s="54" t="s">
        <v>384</v>
      </c>
      <c r="N362" s="54"/>
      <c r="O362" s="54"/>
      <c r="P362" s="101"/>
    </row>
    <row r="363" spans="1:16" ht="15" customHeight="1">
      <c r="A363" s="467">
        <v>175</v>
      </c>
      <c r="B363" s="489" t="s">
        <v>1173</v>
      </c>
      <c r="C363" s="674" t="s">
        <v>998</v>
      </c>
      <c r="D363" s="482" t="s">
        <v>998</v>
      </c>
      <c r="E363" s="482" t="s">
        <v>998</v>
      </c>
      <c r="F363" s="482" t="s">
        <v>998</v>
      </c>
      <c r="G363" s="482" t="s">
        <v>998</v>
      </c>
      <c r="H363" s="482" t="s">
        <v>998</v>
      </c>
      <c r="I363" s="481" t="s">
        <v>998</v>
      </c>
      <c r="J363" s="481" t="s">
        <v>998</v>
      </c>
      <c r="K363" s="482">
        <v>200</v>
      </c>
      <c r="L363" s="481">
        <v>200</v>
      </c>
      <c r="M363" s="482"/>
      <c r="N363" s="481"/>
      <c r="O363" s="481">
        <v>200</v>
      </c>
      <c r="P363" s="476">
        <f>SUM(C363:O364)</f>
        <v>600</v>
      </c>
    </row>
    <row r="364" spans="1:16">
      <c r="A364" s="468"/>
      <c r="B364" s="490"/>
      <c r="C364" s="675"/>
      <c r="D364" s="482"/>
      <c r="E364" s="482"/>
      <c r="F364" s="482"/>
      <c r="G364" s="482"/>
      <c r="H364" s="482"/>
      <c r="I364" s="482"/>
      <c r="J364" s="482"/>
      <c r="K364" s="482"/>
      <c r="L364" s="482"/>
      <c r="M364" s="482"/>
      <c r="N364" s="482"/>
      <c r="O364" s="482"/>
      <c r="P364" s="445"/>
    </row>
    <row r="365" spans="1:16">
      <c r="A365" s="468"/>
      <c r="B365" s="76" t="s">
        <v>363</v>
      </c>
      <c r="C365" s="97" t="s">
        <v>998</v>
      </c>
      <c r="D365" s="54" t="s">
        <v>998</v>
      </c>
      <c r="E365" s="54" t="s">
        <v>998</v>
      </c>
      <c r="F365" s="54" t="s">
        <v>998</v>
      </c>
      <c r="G365" s="54" t="s">
        <v>998</v>
      </c>
      <c r="H365" s="54" t="s">
        <v>998</v>
      </c>
      <c r="I365" s="65" t="s">
        <v>998</v>
      </c>
      <c r="J365" s="65" t="s">
        <v>998</v>
      </c>
      <c r="K365" s="65">
        <v>45216</v>
      </c>
      <c r="L365" s="65">
        <v>45238</v>
      </c>
      <c r="M365" s="54"/>
      <c r="N365" s="54"/>
      <c r="O365" s="65">
        <v>45295</v>
      </c>
      <c r="P365" s="101"/>
    </row>
    <row r="366" spans="1:16">
      <c r="A366" s="478"/>
      <c r="B366" s="79" t="s">
        <v>377</v>
      </c>
      <c r="C366" s="73" t="s">
        <v>998</v>
      </c>
      <c r="D366" s="54" t="s">
        <v>998</v>
      </c>
      <c r="E366" s="54" t="s">
        <v>998</v>
      </c>
      <c r="F366" s="54" t="s">
        <v>998</v>
      </c>
      <c r="G366" s="54" t="s">
        <v>998</v>
      </c>
      <c r="H366" s="54" t="s">
        <v>998</v>
      </c>
      <c r="I366" s="54" t="s">
        <v>998</v>
      </c>
      <c r="J366" s="54" t="s">
        <v>998</v>
      </c>
      <c r="K366" s="54" t="s">
        <v>371</v>
      </c>
      <c r="L366" s="54" t="s">
        <v>368</v>
      </c>
      <c r="M366" s="54"/>
      <c r="N366" s="54"/>
      <c r="O366" s="54" t="s">
        <v>371</v>
      </c>
      <c r="P366" s="101"/>
    </row>
    <row r="367" spans="1:16" ht="25.5" customHeight="1">
      <c r="A367" s="467">
        <v>176</v>
      </c>
      <c r="B367" s="470" t="s">
        <v>237</v>
      </c>
      <c r="C367" s="479">
        <v>240</v>
      </c>
      <c r="D367" s="491">
        <v>240</v>
      </c>
      <c r="E367" s="483">
        <v>240</v>
      </c>
      <c r="F367" s="483">
        <v>240</v>
      </c>
      <c r="G367" s="481">
        <v>240</v>
      </c>
      <c r="H367" s="481">
        <v>240</v>
      </c>
      <c r="I367" s="481">
        <v>240</v>
      </c>
      <c r="J367" s="481">
        <v>240</v>
      </c>
      <c r="K367" s="481">
        <v>240</v>
      </c>
      <c r="L367" s="481">
        <v>240</v>
      </c>
      <c r="M367" s="481"/>
      <c r="N367" s="482"/>
      <c r="O367" s="491">
        <v>240</v>
      </c>
      <c r="P367" s="476">
        <f>SUM(C367:O368)</f>
        <v>2640</v>
      </c>
    </row>
    <row r="368" spans="1:16">
      <c r="A368" s="468"/>
      <c r="B368" s="471"/>
      <c r="C368" s="480"/>
      <c r="D368" s="492"/>
      <c r="E368" s="484"/>
      <c r="F368" s="484"/>
      <c r="G368" s="482"/>
      <c r="H368" s="482"/>
      <c r="I368" s="482"/>
      <c r="J368" s="482"/>
      <c r="K368" s="482"/>
      <c r="L368" s="482"/>
      <c r="M368" s="482"/>
      <c r="N368" s="482"/>
      <c r="O368" s="492"/>
      <c r="P368" s="445"/>
    </row>
    <row r="369" spans="1:16">
      <c r="A369" s="468"/>
      <c r="B369" s="86" t="s">
        <v>363</v>
      </c>
      <c r="C369" s="97">
        <v>44963</v>
      </c>
      <c r="D369" s="54" t="s">
        <v>1305</v>
      </c>
      <c r="E369" s="65">
        <v>45027</v>
      </c>
      <c r="F369" s="65">
        <v>45061</v>
      </c>
      <c r="G369" s="65">
        <v>45093</v>
      </c>
      <c r="H369" s="65">
        <v>45126</v>
      </c>
      <c r="I369" s="65">
        <v>45155</v>
      </c>
      <c r="J369" s="65">
        <v>45173</v>
      </c>
      <c r="K369" s="65">
        <v>45205</v>
      </c>
      <c r="L369" s="65">
        <v>45240</v>
      </c>
      <c r="M369" s="54"/>
      <c r="N369" s="54"/>
      <c r="O369" s="64">
        <v>45295</v>
      </c>
      <c r="P369" s="101"/>
    </row>
    <row r="370" spans="1:16">
      <c r="A370" s="501"/>
      <c r="B370" s="76" t="s">
        <v>377</v>
      </c>
      <c r="C370" s="73" t="s">
        <v>367</v>
      </c>
      <c r="D370" s="54"/>
      <c r="E370" s="54" t="s">
        <v>368</v>
      </c>
      <c r="F370" s="54" t="s">
        <v>386</v>
      </c>
      <c r="G370" s="54" t="s">
        <v>368</v>
      </c>
      <c r="H370" s="54" t="s">
        <v>368</v>
      </c>
      <c r="I370" s="54" t="s">
        <v>386</v>
      </c>
      <c r="J370" s="54" t="s">
        <v>368</v>
      </c>
      <c r="K370" s="54" t="s">
        <v>386</v>
      </c>
      <c r="L370" s="54" t="s">
        <v>368</v>
      </c>
      <c r="M370" s="54"/>
      <c r="N370" s="54"/>
      <c r="O370" s="54" t="s">
        <v>384</v>
      </c>
      <c r="P370" s="101"/>
    </row>
    <row r="371" spans="1:16" ht="15" customHeight="1">
      <c r="A371" s="467">
        <v>202</v>
      </c>
      <c r="B371" s="489" t="s">
        <v>341</v>
      </c>
      <c r="C371" s="479"/>
      <c r="D371" s="481">
        <v>418</v>
      </c>
      <c r="E371" s="481">
        <v>418</v>
      </c>
      <c r="F371" s="482" t="s">
        <v>998</v>
      </c>
      <c r="G371" s="482"/>
      <c r="H371" s="482"/>
      <c r="I371" s="482"/>
      <c r="J371" s="482"/>
      <c r="K371" s="482"/>
      <c r="L371" s="482"/>
      <c r="M371" s="482"/>
      <c r="N371" s="482"/>
      <c r="O371" s="491"/>
      <c r="P371" s="476">
        <f>SUM(C371:O372)</f>
        <v>836</v>
      </c>
    </row>
    <row r="372" spans="1:16">
      <c r="A372" s="468"/>
      <c r="B372" s="490"/>
      <c r="C372" s="480"/>
      <c r="D372" s="482"/>
      <c r="E372" s="482"/>
      <c r="F372" s="482"/>
      <c r="G372" s="482"/>
      <c r="H372" s="482"/>
      <c r="I372" s="482"/>
      <c r="J372" s="482"/>
      <c r="K372" s="482"/>
      <c r="L372" s="482"/>
      <c r="M372" s="482"/>
      <c r="N372" s="482"/>
      <c r="O372" s="492"/>
      <c r="P372" s="445"/>
    </row>
    <row r="373" spans="1:16">
      <c r="A373" s="468"/>
      <c r="B373" s="76" t="s">
        <v>363</v>
      </c>
      <c r="C373" s="97"/>
      <c r="D373" s="65">
        <v>44993</v>
      </c>
      <c r="E373" s="65">
        <v>45015</v>
      </c>
      <c r="F373" s="54" t="s">
        <v>998</v>
      </c>
      <c r="G373" s="54"/>
      <c r="H373" s="54"/>
      <c r="I373" s="54"/>
      <c r="J373" s="54"/>
      <c r="K373" s="54"/>
      <c r="L373" s="54"/>
      <c r="M373" s="54"/>
      <c r="N373" s="54"/>
      <c r="O373" s="54"/>
      <c r="P373" s="101"/>
    </row>
    <row r="374" spans="1:16">
      <c r="A374" s="478"/>
      <c r="B374" s="79" t="s">
        <v>377</v>
      </c>
      <c r="C374" s="73"/>
      <c r="D374" s="54" t="s">
        <v>368</v>
      </c>
      <c r="E374" s="54" t="s">
        <v>368</v>
      </c>
      <c r="F374" s="54" t="s">
        <v>998</v>
      </c>
      <c r="G374" s="54"/>
      <c r="H374" s="54"/>
      <c r="I374" s="54"/>
      <c r="J374" s="54"/>
      <c r="K374" s="54"/>
      <c r="L374" s="54"/>
      <c r="M374" s="54"/>
      <c r="N374" s="54"/>
      <c r="O374" s="54"/>
      <c r="P374" s="101"/>
    </row>
    <row r="375" spans="1:16" ht="15" customHeight="1">
      <c r="A375" s="485">
        <v>206</v>
      </c>
      <c r="B375" s="470" t="s">
        <v>238</v>
      </c>
      <c r="C375" s="479">
        <v>140</v>
      </c>
      <c r="D375" s="481">
        <v>140</v>
      </c>
      <c r="E375" s="481">
        <v>140</v>
      </c>
      <c r="F375" s="481">
        <v>140</v>
      </c>
      <c r="G375" s="481">
        <v>140</v>
      </c>
      <c r="H375" s="481">
        <v>140</v>
      </c>
      <c r="I375" s="481">
        <v>140</v>
      </c>
      <c r="J375" s="481">
        <v>140</v>
      </c>
      <c r="K375" s="481">
        <v>140</v>
      </c>
      <c r="L375" s="481">
        <v>140</v>
      </c>
      <c r="M375" s="481">
        <v>140</v>
      </c>
      <c r="N375" s="482"/>
      <c r="O375" s="481">
        <v>140</v>
      </c>
      <c r="P375" s="476">
        <f>SUM(C375:O376)</f>
        <v>1680</v>
      </c>
    </row>
    <row r="376" spans="1:16">
      <c r="A376" s="468"/>
      <c r="B376" s="471"/>
      <c r="C376" s="480"/>
      <c r="D376" s="482"/>
      <c r="E376" s="482"/>
      <c r="F376" s="482"/>
      <c r="G376" s="482"/>
      <c r="H376" s="482"/>
      <c r="I376" s="482"/>
      <c r="J376" s="482"/>
      <c r="K376" s="482"/>
      <c r="L376" s="482"/>
      <c r="M376" s="482"/>
      <c r="N376" s="482"/>
      <c r="O376" s="482"/>
      <c r="P376" s="445"/>
    </row>
    <row r="377" spans="1:16">
      <c r="A377" s="468"/>
      <c r="B377" s="86" t="s">
        <v>363</v>
      </c>
      <c r="C377" s="97">
        <v>44974</v>
      </c>
      <c r="D377" s="65">
        <v>44998</v>
      </c>
      <c r="E377" s="65">
        <v>45034</v>
      </c>
      <c r="F377" s="65">
        <v>45065</v>
      </c>
      <c r="G377" s="65">
        <v>45093</v>
      </c>
      <c r="H377" s="65">
        <v>45121</v>
      </c>
      <c r="I377" s="65">
        <v>45167</v>
      </c>
      <c r="J377" s="65">
        <v>45190</v>
      </c>
      <c r="K377" s="65">
        <v>45224</v>
      </c>
      <c r="L377" s="65">
        <v>45257</v>
      </c>
      <c r="M377" s="65">
        <v>45647</v>
      </c>
      <c r="N377" s="54"/>
      <c r="O377" s="65">
        <v>45314</v>
      </c>
      <c r="P377" s="101"/>
    </row>
    <row r="378" spans="1:16">
      <c r="A378" s="501"/>
      <c r="B378" s="76" t="s">
        <v>377</v>
      </c>
      <c r="C378" s="73" t="s">
        <v>367</v>
      </c>
      <c r="D378" s="54" t="s">
        <v>368</v>
      </c>
      <c r="E378" s="54" t="s">
        <v>368</v>
      </c>
      <c r="F378" s="54" t="s">
        <v>386</v>
      </c>
      <c r="G378" s="54" t="s">
        <v>368</v>
      </c>
      <c r="H378" s="54" t="s">
        <v>368</v>
      </c>
      <c r="I378" s="54" t="s">
        <v>386</v>
      </c>
      <c r="J378" s="54" t="s">
        <v>368</v>
      </c>
      <c r="K378" s="54" t="s">
        <v>386</v>
      </c>
      <c r="L378" s="54" t="s">
        <v>367</v>
      </c>
      <c r="M378" s="54" t="s">
        <v>386</v>
      </c>
      <c r="N378" s="54"/>
      <c r="O378" s="54" t="s">
        <v>386</v>
      </c>
      <c r="P378" s="101"/>
    </row>
    <row r="379" spans="1:16" ht="15" customHeight="1">
      <c r="A379" s="467">
        <v>207</v>
      </c>
      <c r="B379" s="470" t="s">
        <v>239</v>
      </c>
      <c r="C379" s="480" t="s">
        <v>777</v>
      </c>
      <c r="D379" s="482"/>
      <c r="E379" s="482"/>
      <c r="F379" s="482"/>
      <c r="G379" s="482"/>
      <c r="H379" s="482"/>
      <c r="I379" s="482"/>
      <c r="J379" s="482"/>
      <c r="K379" s="482"/>
      <c r="L379" s="482"/>
      <c r="M379" s="482"/>
      <c r="N379" s="482"/>
      <c r="O379" s="491"/>
      <c r="P379" s="476">
        <f>SUM(C379:O380)</f>
        <v>0</v>
      </c>
    </row>
    <row r="380" spans="1:16">
      <c r="A380" s="468"/>
      <c r="B380" s="471"/>
      <c r="C380" s="480"/>
      <c r="D380" s="482"/>
      <c r="E380" s="482"/>
      <c r="F380" s="482"/>
      <c r="G380" s="482"/>
      <c r="H380" s="482"/>
      <c r="I380" s="482"/>
      <c r="J380" s="482"/>
      <c r="K380" s="482"/>
      <c r="L380" s="482"/>
      <c r="M380" s="482"/>
      <c r="N380" s="482"/>
      <c r="O380" s="492"/>
      <c r="P380" s="445"/>
    </row>
    <row r="381" spans="1:16">
      <c r="A381" s="468"/>
      <c r="B381" s="81" t="s">
        <v>363</v>
      </c>
      <c r="C381" s="73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101"/>
    </row>
    <row r="382" spans="1:16">
      <c r="A382" s="478"/>
      <c r="B382" s="76" t="s">
        <v>377</v>
      </c>
      <c r="C382" s="73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101"/>
    </row>
    <row r="383" spans="1:16" ht="15" customHeight="1">
      <c r="A383" s="467">
        <v>208</v>
      </c>
      <c r="B383" s="489" t="s">
        <v>342</v>
      </c>
      <c r="C383" s="479">
        <v>400</v>
      </c>
      <c r="D383" s="481">
        <v>400</v>
      </c>
      <c r="E383" s="481">
        <v>400</v>
      </c>
      <c r="F383" s="481">
        <v>400</v>
      </c>
      <c r="G383" s="481">
        <v>400</v>
      </c>
      <c r="H383" s="481">
        <v>400</v>
      </c>
      <c r="I383" s="481">
        <v>400</v>
      </c>
      <c r="J383" s="481">
        <v>400</v>
      </c>
      <c r="K383" s="481">
        <v>400</v>
      </c>
      <c r="L383" s="481">
        <v>400</v>
      </c>
      <c r="M383" s="481">
        <v>400</v>
      </c>
      <c r="N383" s="481">
        <v>400</v>
      </c>
      <c r="O383" s="481">
        <v>400</v>
      </c>
      <c r="P383" s="476">
        <f>SUM(C383:O384)</f>
        <v>5200</v>
      </c>
    </row>
    <row r="384" spans="1:16">
      <c r="A384" s="468"/>
      <c r="B384" s="490"/>
      <c r="C384" s="480"/>
      <c r="D384" s="482"/>
      <c r="E384" s="482"/>
      <c r="F384" s="482"/>
      <c r="G384" s="482"/>
      <c r="H384" s="482"/>
      <c r="I384" s="482"/>
      <c r="J384" s="482"/>
      <c r="K384" s="482"/>
      <c r="L384" s="482"/>
      <c r="M384" s="482"/>
      <c r="N384" s="482"/>
      <c r="O384" s="482"/>
      <c r="P384" s="445"/>
    </row>
    <row r="385" spans="1:16">
      <c r="A385" s="468"/>
      <c r="B385" s="81" t="s">
        <v>363</v>
      </c>
      <c r="C385" s="97">
        <v>44970</v>
      </c>
      <c r="D385" s="65">
        <v>45033</v>
      </c>
      <c r="E385" s="65">
        <v>45064</v>
      </c>
      <c r="F385" s="65">
        <v>45093</v>
      </c>
      <c r="G385" s="65">
        <v>45126</v>
      </c>
      <c r="H385" s="65">
        <v>45156</v>
      </c>
      <c r="I385" s="65">
        <v>45188</v>
      </c>
      <c r="J385" s="65">
        <v>45217</v>
      </c>
      <c r="K385" s="65">
        <v>45247</v>
      </c>
      <c r="L385" s="65">
        <v>45640</v>
      </c>
      <c r="M385" s="65">
        <v>45310</v>
      </c>
      <c r="N385" s="65">
        <v>45310</v>
      </c>
      <c r="O385" s="65">
        <v>45338</v>
      </c>
      <c r="P385" s="101"/>
    </row>
    <row r="386" spans="1:16">
      <c r="A386" s="478"/>
      <c r="B386" s="76" t="s">
        <v>377</v>
      </c>
      <c r="C386" s="73" t="s">
        <v>367</v>
      </c>
      <c r="D386" s="54" t="s">
        <v>368</v>
      </c>
      <c r="E386" s="54" t="s">
        <v>368</v>
      </c>
      <c r="F386" s="54" t="s">
        <v>386</v>
      </c>
      <c r="G386" s="54" t="s">
        <v>368</v>
      </c>
      <c r="H386" s="54" t="s">
        <v>368</v>
      </c>
      <c r="I386" s="54" t="s">
        <v>368</v>
      </c>
      <c r="J386" s="54" t="s">
        <v>368</v>
      </c>
      <c r="K386" s="54" t="s">
        <v>386</v>
      </c>
      <c r="L386" s="54" t="s">
        <v>386</v>
      </c>
      <c r="M386" s="54" t="s">
        <v>386</v>
      </c>
      <c r="N386" s="54" t="s">
        <v>386</v>
      </c>
      <c r="O386" s="54" t="s">
        <v>386</v>
      </c>
      <c r="P386" s="101"/>
    </row>
    <row r="387" spans="1:16" ht="15" customHeight="1">
      <c r="A387" s="467">
        <v>212</v>
      </c>
      <c r="B387" s="489" t="s">
        <v>343</v>
      </c>
      <c r="C387" s="479">
        <v>630</v>
      </c>
      <c r="D387" s="481">
        <v>630</v>
      </c>
      <c r="E387" s="481">
        <v>630</v>
      </c>
      <c r="F387" s="481">
        <v>630</v>
      </c>
      <c r="G387" s="481">
        <v>630</v>
      </c>
      <c r="H387" s="481">
        <v>630</v>
      </c>
      <c r="I387" s="481">
        <v>630</v>
      </c>
      <c r="J387" s="481">
        <v>630</v>
      </c>
      <c r="K387" s="481">
        <v>630</v>
      </c>
      <c r="L387" s="481">
        <v>630</v>
      </c>
      <c r="M387" s="481">
        <v>630</v>
      </c>
      <c r="N387" s="481">
        <v>630</v>
      </c>
      <c r="O387" s="491">
        <v>630</v>
      </c>
      <c r="P387" s="476">
        <f>SUM(C387:O389)</f>
        <v>8190</v>
      </c>
    </row>
    <row r="388" spans="1:16" ht="15" customHeight="1">
      <c r="A388" s="485"/>
      <c r="B388" s="545"/>
      <c r="C388" s="479"/>
      <c r="D388" s="481"/>
      <c r="E388" s="481"/>
      <c r="F388" s="481"/>
      <c r="G388" s="481"/>
      <c r="H388" s="481"/>
      <c r="I388" s="481"/>
      <c r="J388" s="481"/>
      <c r="K388" s="481"/>
      <c r="L388" s="481"/>
      <c r="M388" s="481"/>
      <c r="N388" s="481"/>
      <c r="O388" s="550"/>
      <c r="P388" s="476"/>
    </row>
    <row r="389" spans="1:16">
      <c r="A389" s="468"/>
      <c r="B389" s="490"/>
      <c r="C389" s="480"/>
      <c r="D389" s="482"/>
      <c r="E389" s="482"/>
      <c r="F389" s="482"/>
      <c r="G389" s="482"/>
      <c r="H389" s="482"/>
      <c r="I389" s="482"/>
      <c r="J389" s="482"/>
      <c r="K389" s="482"/>
      <c r="L389" s="482"/>
      <c r="M389" s="482"/>
      <c r="N389" s="482"/>
      <c r="O389" s="492"/>
      <c r="P389" s="445"/>
    </row>
    <row r="390" spans="1:16">
      <c r="A390" s="468"/>
      <c r="B390" s="86" t="s">
        <v>363</v>
      </c>
      <c r="C390" s="97">
        <v>44991</v>
      </c>
      <c r="D390" s="65">
        <v>45021</v>
      </c>
      <c r="E390" s="65">
        <v>45072</v>
      </c>
      <c r="F390" s="65">
        <v>45072</v>
      </c>
      <c r="G390" s="65">
        <v>45106</v>
      </c>
      <c r="H390" s="65">
        <v>45133</v>
      </c>
      <c r="I390" s="65">
        <v>45169</v>
      </c>
      <c r="J390" s="65">
        <v>45201</v>
      </c>
      <c r="K390" s="65">
        <v>45236</v>
      </c>
      <c r="L390" s="65">
        <v>45260</v>
      </c>
      <c r="M390" s="65">
        <v>45648</v>
      </c>
      <c r="N390" s="65">
        <v>45648</v>
      </c>
      <c r="O390" s="65">
        <v>45324</v>
      </c>
      <c r="P390" s="101"/>
    </row>
    <row r="391" spans="1:16">
      <c r="A391" s="478"/>
      <c r="B391" s="76" t="s">
        <v>377</v>
      </c>
      <c r="C391" s="73" t="s">
        <v>368</v>
      </c>
      <c r="D391" s="54" t="s">
        <v>368</v>
      </c>
      <c r="E391" s="54" t="s">
        <v>368</v>
      </c>
      <c r="F391" s="54" t="s">
        <v>368</v>
      </c>
      <c r="G391" s="54" t="s">
        <v>368</v>
      </c>
      <c r="H391" s="54" t="s">
        <v>368</v>
      </c>
      <c r="I391" s="54" t="s">
        <v>368</v>
      </c>
      <c r="J391" s="54" t="s">
        <v>368</v>
      </c>
      <c r="K391" s="54" t="s">
        <v>386</v>
      </c>
      <c r="L391" s="54" t="s">
        <v>1266</v>
      </c>
      <c r="M391" s="54" t="s">
        <v>1297</v>
      </c>
      <c r="N391" s="54" t="s">
        <v>1297</v>
      </c>
      <c r="O391" s="54" t="s">
        <v>386</v>
      </c>
      <c r="P391" s="101"/>
    </row>
    <row r="392" spans="1:16" ht="15" customHeight="1">
      <c r="A392" s="467">
        <v>213</v>
      </c>
      <c r="B392" s="489" t="s">
        <v>1182</v>
      </c>
      <c r="C392" s="479" t="s">
        <v>998</v>
      </c>
      <c r="D392" s="479" t="s">
        <v>998</v>
      </c>
      <c r="E392" s="479" t="s">
        <v>998</v>
      </c>
      <c r="F392" s="479" t="s">
        <v>998</v>
      </c>
      <c r="G392" s="479" t="s">
        <v>998</v>
      </c>
      <c r="H392" s="479" t="s">
        <v>998</v>
      </c>
      <c r="I392" s="479" t="s">
        <v>998</v>
      </c>
      <c r="J392" s="481">
        <v>300</v>
      </c>
      <c r="K392" s="481">
        <v>300</v>
      </c>
      <c r="L392" s="482"/>
      <c r="M392" s="482"/>
      <c r="N392" s="482"/>
      <c r="O392" s="491"/>
      <c r="P392" s="476">
        <f>SUM(C392:O393)</f>
        <v>600</v>
      </c>
    </row>
    <row r="393" spans="1:16">
      <c r="A393" s="468"/>
      <c r="B393" s="490"/>
      <c r="C393" s="480"/>
      <c r="D393" s="480"/>
      <c r="E393" s="480"/>
      <c r="F393" s="480"/>
      <c r="G393" s="480"/>
      <c r="H393" s="480"/>
      <c r="I393" s="480"/>
      <c r="J393" s="482"/>
      <c r="K393" s="482"/>
      <c r="L393" s="482"/>
      <c r="M393" s="482"/>
      <c r="N393" s="482"/>
      <c r="O393" s="492"/>
      <c r="P393" s="445"/>
    </row>
    <row r="394" spans="1:16">
      <c r="A394" s="468"/>
      <c r="B394" s="81" t="s">
        <v>363</v>
      </c>
      <c r="C394" s="97" t="s">
        <v>998</v>
      </c>
      <c r="D394" s="97" t="s">
        <v>998</v>
      </c>
      <c r="E394" s="97" t="s">
        <v>998</v>
      </c>
      <c r="F394" s="97" t="s">
        <v>998</v>
      </c>
      <c r="G394" s="97" t="s">
        <v>998</v>
      </c>
      <c r="H394" s="97" t="s">
        <v>998</v>
      </c>
      <c r="I394" s="97" t="s">
        <v>998</v>
      </c>
      <c r="J394" s="65">
        <v>45166</v>
      </c>
      <c r="K394" s="65">
        <v>45187</v>
      </c>
      <c r="L394" s="54"/>
      <c r="M394" s="54"/>
      <c r="N394" s="54"/>
      <c r="O394" s="54"/>
      <c r="P394" s="101"/>
    </row>
    <row r="395" spans="1:16">
      <c r="A395" s="478"/>
      <c r="B395" s="76" t="s">
        <v>377</v>
      </c>
      <c r="C395" s="73" t="s">
        <v>998</v>
      </c>
      <c r="D395" s="73" t="s">
        <v>998</v>
      </c>
      <c r="E395" s="73" t="s">
        <v>998</v>
      </c>
      <c r="F395" s="73" t="s">
        <v>998</v>
      </c>
      <c r="G395" s="73" t="s">
        <v>998</v>
      </c>
      <c r="H395" s="73" t="s">
        <v>998</v>
      </c>
      <c r="I395" s="73" t="s">
        <v>998</v>
      </c>
      <c r="J395" s="54" t="s">
        <v>373</v>
      </c>
      <c r="K395" s="65" t="s">
        <v>371</v>
      </c>
      <c r="L395" s="54"/>
      <c r="M395" s="54"/>
      <c r="N395" s="54"/>
      <c r="O395" s="54"/>
      <c r="P395" s="101"/>
    </row>
    <row r="396" spans="1:16">
      <c r="A396" s="470">
        <v>215</v>
      </c>
      <c r="B396" s="470" t="s">
        <v>344</v>
      </c>
      <c r="C396" s="547">
        <v>315</v>
      </c>
      <c r="D396" s="483">
        <v>315</v>
      </c>
      <c r="E396" s="483">
        <v>315</v>
      </c>
      <c r="F396" s="483">
        <v>315</v>
      </c>
      <c r="G396" s="483">
        <v>315</v>
      </c>
      <c r="H396" s="483">
        <v>315</v>
      </c>
      <c r="I396" s="483">
        <v>315</v>
      </c>
      <c r="J396" s="669">
        <v>315</v>
      </c>
      <c r="K396" s="669">
        <v>315</v>
      </c>
      <c r="L396" s="669">
        <v>315</v>
      </c>
      <c r="M396" s="669">
        <v>315</v>
      </c>
      <c r="N396" s="669">
        <v>315</v>
      </c>
      <c r="O396" s="669">
        <v>315</v>
      </c>
      <c r="P396" s="493">
        <f>SUM(C396:O397)</f>
        <v>4095</v>
      </c>
    </row>
    <row r="397" spans="1:16">
      <c r="A397" s="496"/>
      <c r="B397" s="471"/>
      <c r="C397" s="548"/>
      <c r="D397" s="484"/>
      <c r="E397" s="484"/>
      <c r="F397" s="484"/>
      <c r="G397" s="484"/>
      <c r="H397" s="484"/>
      <c r="I397" s="484"/>
      <c r="J397" s="492"/>
      <c r="K397" s="492"/>
      <c r="L397" s="492"/>
      <c r="M397" s="492"/>
      <c r="N397" s="492"/>
      <c r="O397" s="492"/>
      <c r="P397" s="494"/>
    </row>
    <row r="398" spans="1:16">
      <c r="A398" s="496"/>
      <c r="B398" s="76" t="s">
        <v>363</v>
      </c>
      <c r="C398" s="97">
        <v>45096</v>
      </c>
      <c r="D398" s="97">
        <v>45096</v>
      </c>
      <c r="E398" s="97">
        <v>45096</v>
      </c>
      <c r="F398" s="97">
        <v>45096</v>
      </c>
      <c r="G398" s="97">
        <v>45096</v>
      </c>
      <c r="H398" s="97">
        <v>45096</v>
      </c>
      <c r="I398" s="65">
        <v>45148</v>
      </c>
      <c r="J398" s="64">
        <v>45478</v>
      </c>
      <c r="K398" s="64">
        <v>45478</v>
      </c>
      <c r="L398" s="64">
        <v>45478</v>
      </c>
      <c r="M398" s="64">
        <v>45478</v>
      </c>
      <c r="N398" s="64">
        <v>45478</v>
      </c>
      <c r="O398" s="64">
        <v>45478</v>
      </c>
      <c r="P398" s="101"/>
    </row>
    <row r="399" spans="1:16">
      <c r="A399" s="471"/>
      <c r="B399" s="79" t="s">
        <v>377</v>
      </c>
      <c r="C399" s="73" t="s">
        <v>384</v>
      </c>
      <c r="D399" s="73" t="s">
        <v>384</v>
      </c>
      <c r="E399" s="73" t="s">
        <v>384</v>
      </c>
      <c r="F399" s="73" t="s">
        <v>384</v>
      </c>
      <c r="G399" s="73" t="s">
        <v>384</v>
      </c>
      <c r="H399" s="73" t="s">
        <v>384</v>
      </c>
      <c r="I399" s="54" t="s">
        <v>384</v>
      </c>
      <c r="J399" s="54" t="s">
        <v>368</v>
      </c>
      <c r="K399" s="54" t="s">
        <v>386</v>
      </c>
      <c r="L399" s="54" t="s">
        <v>386</v>
      </c>
      <c r="M399" s="54" t="s">
        <v>386</v>
      </c>
      <c r="N399" s="54" t="s">
        <v>386</v>
      </c>
      <c r="O399" s="54" t="s">
        <v>386</v>
      </c>
      <c r="P399" s="101"/>
    </row>
    <row r="400" spans="1:16" ht="15" customHeight="1">
      <c r="A400" s="467">
        <v>216</v>
      </c>
      <c r="B400" s="489" t="s">
        <v>345</v>
      </c>
      <c r="C400" s="480"/>
      <c r="D400" s="482"/>
      <c r="E400" s="482"/>
      <c r="F400" s="482"/>
      <c r="G400" s="482"/>
      <c r="H400" s="482"/>
      <c r="I400" s="482"/>
      <c r="J400" s="482"/>
      <c r="K400" s="482"/>
      <c r="L400" s="482"/>
      <c r="M400" s="482"/>
      <c r="N400" s="482"/>
      <c r="O400" s="491"/>
      <c r="P400" s="476">
        <f>SUM(C400:O401)</f>
        <v>0</v>
      </c>
    </row>
    <row r="401" spans="1:16">
      <c r="A401" s="468"/>
      <c r="B401" s="490"/>
      <c r="C401" s="480"/>
      <c r="D401" s="482"/>
      <c r="E401" s="482"/>
      <c r="F401" s="482"/>
      <c r="G401" s="482"/>
      <c r="H401" s="482"/>
      <c r="I401" s="482"/>
      <c r="J401" s="482"/>
      <c r="K401" s="482"/>
      <c r="L401" s="482"/>
      <c r="M401" s="482"/>
      <c r="N401" s="482"/>
      <c r="O401" s="492"/>
      <c r="P401" s="445"/>
    </row>
    <row r="402" spans="1:16">
      <c r="A402" s="468"/>
      <c r="B402" s="81" t="s">
        <v>363</v>
      </c>
      <c r="C402" s="73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101"/>
    </row>
    <row r="403" spans="1:16">
      <c r="A403" s="501"/>
      <c r="B403" s="76" t="s">
        <v>377</v>
      </c>
      <c r="C403" s="73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101"/>
    </row>
    <row r="404" spans="1:16">
      <c r="A404" s="467">
        <v>218</v>
      </c>
      <c r="B404" s="489" t="s">
        <v>244</v>
      </c>
      <c r="C404" s="479">
        <v>450</v>
      </c>
      <c r="D404" s="479">
        <v>450</v>
      </c>
      <c r="E404" s="479">
        <v>450</v>
      </c>
      <c r="F404" s="481">
        <v>450</v>
      </c>
      <c r="G404" s="481">
        <v>450</v>
      </c>
      <c r="H404" s="481">
        <v>450</v>
      </c>
      <c r="I404" s="482" t="s">
        <v>998</v>
      </c>
      <c r="J404" s="482"/>
      <c r="K404" s="482"/>
      <c r="L404" s="482"/>
      <c r="M404" s="482"/>
      <c r="N404" s="482"/>
      <c r="O404" s="491"/>
      <c r="P404" s="476">
        <f>SUM(C404:O405)</f>
        <v>2700</v>
      </c>
    </row>
    <row r="405" spans="1:16">
      <c r="A405" s="468"/>
      <c r="B405" s="545"/>
      <c r="C405" s="480"/>
      <c r="D405" s="480"/>
      <c r="E405" s="480"/>
      <c r="F405" s="482"/>
      <c r="G405" s="482"/>
      <c r="H405" s="482"/>
      <c r="I405" s="482"/>
      <c r="J405" s="482"/>
      <c r="K405" s="482"/>
      <c r="L405" s="482"/>
      <c r="M405" s="482"/>
      <c r="N405" s="482"/>
      <c r="O405" s="492"/>
      <c r="P405" s="445"/>
    </row>
    <row r="406" spans="1:16">
      <c r="A406" s="468"/>
      <c r="B406" s="76" t="s">
        <v>363</v>
      </c>
      <c r="C406" s="97" t="s">
        <v>998</v>
      </c>
      <c r="D406" s="54" t="s">
        <v>998</v>
      </c>
      <c r="E406" s="54" t="s">
        <v>998</v>
      </c>
      <c r="F406" s="65">
        <v>45099</v>
      </c>
      <c r="G406" s="65">
        <v>45099</v>
      </c>
      <c r="H406" s="65">
        <v>45112</v>
      </c>
      <c r="I406" s="54" t="s">
        <v>998</v>
      </c>
      <c r="J406" s="54"/>
      <c r="K406" s="54"/>
      <c r="L406" s="54"/>
      <c r="M406" s="54"/>
      <c r="N406" s="54"/>
      <c r="O406" s="54"/>
      <c r="P406" s="101"/>
    </row>
    <row r="407" spans="1:16">
      <c r="A407" s="478"/>
      <c r="B407" s="77" t="s">
        <v>377</v>
      </c>
      <c r="C407" s="73" t="s">
        <v>384</v>
      </c>
      <c r="D407" s="54" t="s">
        <v>384</v>
      </c>
      <c r="E407" s="54" t="s">
        <v>384</v>
      </c>
      <c r="F407" s="54" t="s">
        <v>386</v>
      </c>
      <c r="G407" s="54" t="s">
        <v>368</v>
      </c>
      <c r="H407" s="54" t="s">
        <v>384</v>
      </c>
      <c r="I407" s="54" t="s">
        <v>998</v>
      </c>
      <c r="J407" s="54"/>
      <c r="K407" s="54"/>
      <c r="L407" s="54"/>
      <c r="M407" s="54"/>
      <c r="N407" s="54"/>
      <c r="O407" s="54"/>
      <c r="P407" s="101"/>
    </row>
    <row r="408" spans="1:16">
      <c r="A408" s="485">
        <v>221</v>
      </c>
      <c r="B408" s="470" t="s">
        <v>390</v>
      </c>
      <c r="C408" s="479">
        <v>280</v>
      </c>
      <c r="D408" s="481">
        <v>300</v>
      </c>
      <c r="E408" s="481">
        <v>300</v>
      </c>
      <c r="F408" s="481">
        <v>300</v>
      </c>
      <c r="G408" s="481">
        <v>300</v>
      </c>
      <c r="H408" s="481">
        <v>300</v>
      </c>
      <c r="I408" s="482" t="s">
        <v>998</v>
      </c>
      <c r="J408" s="482"/>
      <c r="K408" s="482"/>
      <c r="L408" s="482"/>
      <c r="M408" s="482"/>
      <c r="N408" s="482"/>
      <c r="O408" s="491"/>
      <c r="P408" s="476">
        <f>SUM(C408:O409)</f>
        <v>1780</v>
      </c>
    </row>
    <row r="409" spans="1:16">
      <c r="A409" s="468"/>
      <c r="B409" s="471"/>
      <c r="C409" s="480"/>
      <c r="D409" s="482"/>
      <c r="E409" s="482"/>
      <c r="F409" s="482"/>
      <c r="G409" s="482"/>
      <c r="H409" s="482"/>
      <c r="I409" s="482"/>
      <c r="J409" s="482"/>
      <c r="K409" s="482"/>
      <c r="L409" s="482"/>
      <c r="M409" s="482"/>
      <c r="N409" s="482"/>
      <c r="O409" s="492"/>
      <c r="P409" s="445"/>
    </row>
    <row r="410" spans="1:16">
      <c r="A410" s="468"/>
      <c r="B410" s="86" t="s">
        <v>363</v>
      </c>
      <c r="C410" s="97">
        <v>44944</v>
      </c>
      <c r="D410" s="65">
        <v>44985</v>
      </c>
      <c r="E410" s="65">
        <v>45000</v>
      </c>
      <c r="F410" s="65">
        <v>45070</v>
      </c>
      <c r="G410" s="65">
        <v>45097</v>
      </c>
      <c r="H410" s="65">
        <v>45127</v>
      </c>
      <c r="I410" s="54" t="s">
        <v>998</v>
      </c>
      <c r="J410" s="54"/>
      <c r="K410" s="54"/>
      <c r="L410" s="54"/>
      <c r="M410" s="54"/>
      <c r="N410" s="54"/>
      <c r="O410" s="54"/>
      <c r="P410" s="101"/>
    </row>
    <row r="411" spans="1:16">
      <c r="A411" s="501"/>
      <c r="B411" s="76" t="s">
        <v>377</v>
      </c>
      <c r="C411" s="73" t="s">
        <v>384</v>
      </c>
      <c r="D411" s="54" t="s">
        <v>371</v>
      </c>
      <c r="E411" s="54" t="s">
        <v>384</v>
      </c>
      <c r="F411" s="54" t="s">
        <v>384</v>
      </c>
      <c r="G411" s="54" t="s">
        <v>384</v>
      </c>
      <c r="H411" s="54" t="s">
        <v>384</v>
      </c>
      <c r="I411" s="54" t="s">
        <v>998</v>
      </c>
      <c r="J411" s="54"/>
      <c r="K411" s="54"/>
      <c r="L411" s="54"/>
      <c r="M411" s="54"/>
      <c r="N411" s="54"/>
      <c r="O411" s="54"/>
      <c r="P411" s="101"/>
    </row>
    <row r="412" spans="1:16">
      <c r="A412" s="468">
        <v>223</v>
      </c>
      <c r="B412" s="470" t="s">
        <v>98</v>
      </c>
      <c r="C412" s="479">
        <v>295</v>
      </c>
      <c r="D412" s="481">
        <v>295</v>
      </c>
      <c r="E412" s="481">
        <v>295</v>
      </c>
      <c r="F412" s="481">
        <v>295</v>
      </c>
      <c r="G412" s="481">
        <v>295</v>
      </c>
      <c r="H412" s="481">
        <v>295</v>
      </c>
      <c r="I412" s="481">
        <v>295</v>
      </c>
      <c r="J412" s="486">
        <v>295</v>
      </c>
      <c r="K412" s="486">
        <v>295</v>
      </c>
      <c r="L412" s="486">
        <v>295</v>
      </c>
      <c r="M412" s="486">
        <v>300</v>
      </c>
      <c r="N412" s="486">
        <v>300</v>
      </c>
      <c r="O412" s="486">
        <v>300</v>
      </c>
      <c r="P412" s="476">
        <f>SUM(C412:O413)</f>
        <v>3850</v>
      </c>
    </row>
    <row r="413" spans="1:16">
      <c r="A413" s="468"/>
      <c r="B413" s="471"/>
      <c r="C413" s="480"/>
      <c r="D413" s="482"/>
      <c r="E413" s="482"/>
      <c r="F413" s="482"/>
      <c r="G413" s="482"/>
      <c r="H413" s="482"/>
      <c r="I413" s="482"/>
      <c r="J413" s="486"/>
      <c r="K413" s="486"/>
      <c r="L413" s="486"/>
      <c r="M413" s="486"/>
      <c r="N413" s="486"/>
      <c r="O413" s="486"/>
      <c r="P413" s="445"/>
    </row>
    <row r="414" spans="1:16">
      <c r="A414" s="468"/>
      <c r="B414" s="86" t="s">
        <v>363</v>
      </c>
      <c r="C414" s="97">
        <v>44970</v>
      </c>
      <c r="D414" s="65">
        <v>44994</v>
      </c>
      <c r="E414" s="65">
        <v>45007</v>
      </c>
      <c r="F414" s="65">
        <v>45007</v>
      </c>
      <c r="G414" s="65">
        <v>45126</v>
      </c>
      <c r="H414" s="65">
        <v>45126</v>
      </c>
      <c r="I414" s="65">
        <v>45161</v>
      </c>
      <c r="J414" s="65">
        <v>45182</v>
      </c>
      <c r="K414" s="65">
        <v>45253</v>
      </c>
      <c r="L414" s="65">
        <v>45253</v>
      </c>
      <c r="M414" s="65">
        <v>45278</v>
      </c>
      <c r="N414" s="65">
        <v>45278</v>
      </c>
      <c r="O414" s="65">
        <v>45278</v>
      </c>
      <c r="P414" s="101"/>
    </row>
    <row r="415" spans="1:16">
      <c r="A415" s="478"/>
      <c r="B415" s="76" t="s">
        <v>377</v>
      </c>
      <c r="C415" s="73" t="s">
        <v>367</v>
      </c>
      <c r="D415" s="54" t="s">
        <v>368</v>
      </c>
      <c r="E415" s="54" t="s">
        <v>368</v>
      </c>
      <c r="F415" s="54" t="s">
        <v>368</v>
      </c>
      <c r="G415" s="54" t="s">
        <v>384</v>
      </c>
      <c r="H415" s="54" t="s">
        <v>384</v>
      </c>
      <c r="I415" s="54" t="s">
        <v>384</v>
      </c>
      <c r="J415" s="54" t="s">
        <v>373</v>
      </c>
      <c r="K415" s="54" t="s">
        <v>1135</v>
      </c>
      <c r="L415" s="54" t="s">
        <v>384</v>
      </c>
      <c r="M415" s="54" t="s">
        <v>371</v>
      </c>
      <c r="N415" s="54" t="s">
        <v>371</v>
      </c>
      <c r="O415" s="54" t="s">
        <v>1279</v>
      </c>
      <c r="P415" s="101"/>
    </row>
    <row r="416" spans="1:16">
      <c r="A416" s="467">
        <v>232</v>
      </c>
      <c r="B416" s="470" t="s">
        <v>245</v>
      </c>
      <c r="C416" s="479">
        <v>1655</v>
      </c>
      <c r="D416" s="481">
        <v>1655</v>
      </c>
      <c r="E416" s="503">
        <v>1655</v>
      </c>
      <c r="F416" s="481">
        <v>1655</v>
      </c>
      <c r="G416" s="481">
        <v>1700</v>
      </c>
      <c r="H416" s="481">
        <v>1655</v>
      </c>
      <c r="I416" s="482"/>
      <c r="J416" s="482"/>
      <c r="K416" s="482"/>
      <c r="L416" s="482"/>
      <c r="M416" s="482"/>
      <c r="N416" s="482"/>
      <c r="O416" s="491"/>
      <c r="P416" s="476">
        <f>SUM(C416:O417)</f>
        <v>9975</v>
      </c>
    </row>
    <row r="417" spans="1:16">
      <c r="A417" s="468"/>
      <c r="B417" s="471"/>
      <c r="C417" s="480"/>
      <c r="D417" s="482"/>
      <c r="E417" s="503"/>
      <c r="F417" s="482"/>
      <c r="G417" s="482"/>
      <c r="H417" s="482"/>
      <c r="I417" s="482"/>
      <c r="J417" s="482"/>
      <c r="K417" s="482"/>
      <c r="L417" s="482"/>
      <c r="M417" s="482"/>
      <c r="N417" s="482"/>
      <c r="O417" s="492"/>
      <c r="P417" s="445"/>
    </row>
    <row r="418" spans="1:16">
      <c r="A418" s="468"/>
      <c r="B418" s="90" t="s">
        <v>363</v>
      </c>
      <c r="C418" s="65">
        <v>45028</v>
      </c>
      <c r="D418" s="65">
        <v>45070</v>
      </c>
      <c r="E418" s="65">
        <v>45089</v>
      </c>
      <c r="F418" s="65">
        <v>45119</v>
      </c>
      <c r="G418" s="65">
        <v>45273</v>
      </c>
      <c r="H418" s="65">
        <v>45306</v>
      </c>
      <c r="I418" s="54"/>
      <c r="J418" s="54"/>
      <c r="K418" s="54"/>
      <c r="L418" s="54"/>
      <c r="M418" s="54"/>
      <c r="N418" s="54"/>
      <c r="O418" s="54"/>
      <c r="P418" s="101"/>
    </row>
    <row r="419" spans="1:16">
      <c r="A419" s="478"/>
      <c r="B419" s="91" t="s">
        <v>377</v>
      </c>
      <c r="C419" s="54" t="s">
        <v>371</v>
      </c>
      <c r="D419" s="54" t="s">
        <v>371</v>
      </c>
      <c r="E419" s="54" t="s">
        <v>371</v>
      </c>
      <c r="F419" s="54" t="s">
        <v>373</v>
      </c>
      <c r="G419" s="54" t="s">
        <v>373</v>
      </c>
      <c r="H419" s="54" t="s">
        <v>384</v>
      </c>
      <c r="I419" s="54"/>
      <c r="J419" s="54"/>
      <c r="K419" s="54"/>
      <c r="L419" s="54"/>
      <c r="M419" s="54"/>
      <c r="N419" s="54"/>
      <c r="O419" s="54"/>
      <c r="P419" s="101"/>
    </row>
    <row r="420" spans="1:16" ht="15" customHeight="1">
      <c r="A420" s="485">
        <v>233</v>
      </c>
      <c r="B420" s="470" t="s">
        <v>346</v>
      </c>
      <c r="C420" s="479">
        <v>935</v>
      </c>
      <c r="D420" s="481">
        <v>935</v>
      </c>
      <c r="E420" s="481">
        <v>935</v>
      </c>
      <c r="F420" s="481">
        <v>935</v>
      </c>
      <c r="G420" s="500">
        <v>935</v>
      </c>
      <c r="H420" s="481">
        <v>935</v>
      </c>
      <c r="I420" s="481">
        <v>935</v>
      </c>
      <c r="J420" s="481">
        <v>935</v>
      </c>
      <c r="K420" s="481">
        <v>935</v>
      </c>
      <c r="L420" s="481">
        <v>935</v>
      </c>
      <c r="M420" s="481">
        <v>935</v>
      </c>
      <c r="N420" s="481">
        <v>935</v>
      </c>
      <c r="O420" s="481">
        <v>935</v>
      </c>
      <c r="P420" s="476">
        <f>SUM(C420:O421)</f>
        <v>12155</v>
      </c>
    </row>
    <row r="421" spans="1:16">
      <c r="A421" s="468"/>
      <c r="B421" s="471"/>
      <c r="C421" s="480"/>
      <c r="D421" s="482"/>
      <c r="E421" s="482"/>
      <c r="F421" s="482"/>
      <c r="G421" s="482"/>
      <c r="H421" s="482"/>
      <c r="I421" s="482"/>
      <c r="J421" s="482"/>
      <c r="K421" s="482"/>
      <c r="L421" s="482"/>
      <c r="M421" s="482"/>
      <c r="N421" s="482"/>
      <c r="O421" s="482"/>
      <c r="P421" s="445"/>
    </row>
    <row r="422" spans="1:16">
      <c r="A422" s="468"/>
      <c r="B422" s="86" t="s">
        <v>363</v>
      </c>
      <c r="C422" s="97">
        <v>44965</v>
      </c>
      <c r="D422" s="65">
        <v>44992</v>
      </c>
      <c r="E422" s="65">
        <v>45026</v>
      </c>
      <c r="F422" s="65">
        <v>45056</v>
      </c>
      <c r="G422" s="65">
        <v>45083</v>
      </c>
      <c r="H422" s="65">
        <v>45114</v>
      </c>
      <c r="I422" s="65">
        <v>45146</v>
      </c>
      <c r="J422" s="65">
        <v>45182</v>
      </c>
      <c r="K422" s="65">
        <v>45208</v>
      </c>
      <c r="L422" s="65">
        <v>45237</v>
      </c>
      <c r="M422" s="65">
        <v>45271</v>
      </c>
      <c r="N422" s="65">
        <v>45271</v>
      </c>
      <c r="O422" s="65">
        <v>45300</v>
      </c>
      <c r="P422" s="101"/>
    </row>
    <row r="423" spans="1:16">
      <c r="A423" s="478"/>
      <c r="B423" s="86" t="s">
        <v>377</v>
      </c>
      <c r="C423" s="73" t="s">
        <v>367</v>
      </c>
      <c r="D423" s="54" t="s">
        <v>368</v>
      </c>
      <c r="E423" s="54" t="s">
        <v>368</v>
      </c>
      <c r="F423" s="54" t="s">
        <v>368</v>
      </c>
      <c r="G423" s="54" t="s">
        <v>368</v>
      </c>
      <c r="H423" s="54" t="s">
        <v>368</v>
      </c>
      <c r="I423" s="54" t="s">
        <v>368</v>
      </c>
      <c r="J423" s="54" t="s">
        <v>368</v>
      </c>
      <c r="K423" s="54" t="s">
        <v>368</v>
      </c>
      <c r="L423" s="54" t="s">
        <v>368</v>
      </c>
      <c r="M423" s="54" t="s">
        <v>386</v>
      </c>
      <c r="N423" s="54" t="s">
        <v>386</v>
      </c>
      <c r="O423" s="54" t="s">
        <v>386</v>
      </c>
      <c r="P423" s="101"/>
    </row>
    <row r="424" spans="1:16">
      <c r="A424" s="534">
        <v>240</v>
      </c>
      <c r="B424" s="470" t="s">
        <v>281</v>
      </c>
      <c r="C424" s="479">
        <v>375</v>
      </c>
      <c r="D424" s="481">
        <v>375</v>
      </c>
      <c r="E424" s="481">
        <v>375</v>
      </c>
      <c r="F424" s="481">
        <v>375</v>
      </c>
      <c r="G424" s="481">
        <v>375</v>
      </c>
      <c r="H424" s="481">
        <v>375</v>
      </c>
      <c r="I424" s="481">
        <v>375</v>
      </c>
      <c r="J424" s="481">
        <v>375</v>
      </c>
      <c r="K424" s="481">
        <v>415</v>
      </c>
      <c r="L424" s="481">
        <v>415</v>
      </c>
      <c r="M424" s="481">
        <v>375</v>
      </c>
      <c r="N424" s="481">
        <v>375</v>
      </c>
      <c r="O424" s="481">
        <v>375</v>
      </c>
      <c r="P424" s="476">
        <f>SUM(C424:O425)</f>
        <v>4955</v>
      </c>
    </row>
    <row r="425" spans="1:16">
      <c r="A425" s="535"/>
      <c r="B425" s="471"/>
      <c r="C425" s="480"/>
      <c r="D425" s="482"/>
      <c r="E425" s="482"/>
      <c r="F425" s="482"/>
      <c r="G425" s="482"/>
      <c r="H425" s="482"/>
      <c r="I425" s="482"/>
      <c r="J425" s="482"/>
      <c r="K425" s="482"/>
      <c r="L425" s="482"/>
      <c r="M425" s="482"/>
      <c r="N425" s="482"/>
      <c r="O425" s="482"/>
      <c r="P425" s="445"/>
    </row>
    <row r="426" spans="1:16">
      <c r="A426" s="535"/>
      <c r="B426" s="76" t="s">
        <v>363</v>
      </c>
      <c r="C426" s="97">
        <v>44963</v>
      </c>
      <c r="D426" s="65">
        <v>44992</v>
      </c>
      <c r="E426" s="65">
        <v>45021</v>
      </c>
      <c r="F426" s="65">
        <v>45056</v>
      </c>
      <c r="G426" s="65">
        <v>45084</v>
      </c>
      <c r="H426" s="65">
        <v>45112</v>
      </c>
      <c r="I426" s="65">
        <v>45145</v>
      </c>
      <c r="J426" s="65">
        <v>45174</v>
      </c>
      <c r="K426" s="65">
        <v>45205</v>
      </c>
      <c r="L426" s="65">
        <v>45237</v>
      </c>
      <c r="M426" s="65">
        <v>45267</v>
      </c>
      <c r="N426" s="65">
        <v>45267</v>
      </c>
      <c r="O426" s="65">
        <v>45301</v>
      </c>
      <c r="P426" s="101"/>
    </row>
    <row r="427" spans="1:16">
      <c r="A427" s="546"/>
      <c r="B427" s="77" t="s">
        <v>377</v>
      </c>
      <c r="C427" s="73" t="s">
        <v>371</v>
      </c>
      <c r="D427" s="54" t="s">
        <v>1058</v>
      </c>
      <c r="E427" s="54" t="s">
        <v>371</v>
      </c>
      <c r="F427" s="54" t="s">
        <v>371</v>
      </c>
      <c r="G427" s="54" t="s">
        <v>384</v>
      </c>
      <c r="H427" s="54" t="s">
        <v>384</v>
      </c>
      <c r="I427" s="54" t="s">
        <v>384</v>
      </c>
      <c r="J427" s="54" t="s">
        <v>384</v>
      </c>
      <c r="K427" s="54" t="s">
        <v>371</v>
      </c>
      <c r="L427" s="54" t="s">
        <v>384</v>
      </c>
      <c r="M427" s="54" t="s">
        <v>384</v>
      </c>
      <c r="N427" s="54" t="s">
        <v>384</v>
      </c>
      <c r="O427" s="54" t="s">
        <v>1279</v>
      </c>
      <c r="P427" s="101"/>
    </row>
    <row r="428" spans="1:16" ht="15" customHeight="1">
      <c r="A428" s="467">
        <v>242</v>
      </c>
      <c r="B428" s="489" t="s">
        <v>282</v>
      </c>
      <c r="C428" s="479">
        <v>250</v>
      </c>
      <c r="D428" s="481">
        <v>250</v>
      </c>
      <c r="E428" s="481">
        <v>250</v>
      </c>
      <c r="F428" s="481">
        <v>250</v>
      </c>
      <c r="G428" s="481">
        <v>250</v>
      </c>
      <c r="H428" s="481">
        <v>250</v>
      </c>
      <c r="I428" s="481">
        <v>400</v>
      </c>
      <c r="J428" s="481">
        <v>400</v>
      </c>
      <c r="K428" s="481">
        <v>400</v>
      </c>
      <c r="L428" s="481">
        <v>400</v>
      </c>
      <c r="M428" s="481">
        <v>400</v>
      </c>
      <c r="N428" s="481">
        <v>400</v>
      </c>
      <c r="O428" s="491">
        <v>400</v>
      </c>
      <c r="P428" s="476">
        <f>SUM(C428:O429)</f>
        <v>4300</v>
      </c>
    </row>
    <row r="429" spans="1:16">
      <c r="A429" s="468"/>
      <c r="B429" s="545"/>
      <c r="C429" s="480"/>
      <c r="D429" s="482"/>
      <c r="E429" s="482"/>
      <c r="F429" s="482"/>
      <c r="G429" s="482"/>
      <c r="H429" s="482"/>
      <c r="I429" s="482"/>
      <c r="J429" s="482"/>
      <c r="K429" s="482"/>
      <c r="L429" s="482"/>
      <c r="M429" s="482"/>
      <c r="N429" s="482"/>
      <c r="O429" s="492"/>
      <c r="P429" s="445"/>
    </row>
    <row r="430" spans="1:16">
      <c r="A430" s="468"/>
      <c r="B430" s="78" t="s">
        <v>363</v>
      </c>
      <c r="C430" s="97">
        <v>45008</v>
      </c>
      <c r="D430" s="65">
        <v>45008</v>
      </c>
      <c r="E430" s="65">
        <v>45061</v>
      </c>
      <c r="F430" s="65">
        <v>45061</v>
      </c>
      <c r="G430" s="65">
        <v>45127</v>
      </c>
      <c r="H430" s="65">
        <v>45127</v>
      </c>
      <c r="I430" s="65">
        <v>45172</v>
      </c>
      <c r="J430" s="65">
        <v>45172</v>
      </c>
      <c r="K430" s="65">
        <v>45251</v>
      </c>
      <c r="L430" s="65">
        <v>45251</v>
      </c>
      <c r="M430" s="65">
        <v>45645</v>
      </c>
      <c r="N430" s="65">
        <v>45645</v>
      </c>
      <c r="O430" s="64">
        <v>45387</v>
      </c>
      <c r="P430" s="101"/>
    </row>
    <row r="431" spans="1:16">
      <c r="A431" s="501"/>
      <c r="B431" s="79" t="s">
        <v>377</v>
      </c>
      <c r="C431" s="73" t="s">
        <v>381</v>
      </c>
      <c r="D431" s="54" t="s">
        <v>381</v>
      </c>
      <c r="E431" s="54" t="s">
        <v>384</v>
      </c>
      <c r="F431" s="54" t="s">
        <v>384</v>
      </c>
      <c r="G431" s="54" t="s">
        <v>368</v>
      </c>
      <c r="H431" s="54" t="s">
        <v>368</v>
      </c>
      <c r="I431" s="54" t="s">
        <v>374</v>
      </c>
      <c r="J431" s="54" t="s">
        <v>374</v>
      </c>
      <c r="K431" s="54" t="s">
        <v>386</v>
      </c>
      <c r="L431" s="54" t="s">
        <v>368</v>
      </c>
      <c r="M431" s="54" t="s">
        <v>373</v>
      </c>
      <c r="N431" s="54" t="s">
        <v>1135</v>
      </c>
      <c r="O431" s="54" t="s">
        <v>386</v>
      </c>
      <c r="P431" s="101"/>
    </row>
    <row r="432" spans="1:16" ht="15" customHeight="1">
      <c r="A432" s="467">
        <v>243</v>
      </c>
      <c r="B432" s="489" t="s">
        <v>347</v>
      </c>
      <c r="C432" s="479">
        <v>105</v>
      </c>
      <c r="D432" s="481">
        <v>115</v>
      </c>
      <c r="E432" s="481">
        <v>115</v>
      </c>
      <c r="F432" s="481">
        <v>115</v>
      </c>
      <c r="G432" s="481">
        <v>115</v>
      </c>
      <c r="H432" s="483">
        <v>115</v>
      </c>
      <c r="I432" s="483">
        <v>115</v>
      </c>
      <c r="J432" s="483"/>
      <c r="K432" s="491"/>
      <c r="L432" s="483">
        <v>115</v>
      </c>
      <c r="M432" s="483">
        <v>115</v>
      </c>
      <c r="N432" s="482"/>
      <c r="O432" s="483">
        <v>115</v>
      </c>
      <c r="P432" s="476">
        <f>SUM(C432:O433)</f>
        <v>1140</v>
      </c>
    </row>
    <row r="433" spans="1:16">
      <c r="A433" s="468"/>
      <c r="B433" s="490"/>
      <c r="C433" s="480"/>
      <c r="D433" s="482"/>
      <c r="E433" s="482"/>
      <c r="F433" s="482"/>
      <c r="G433" s="482"/>
      <c r="H433" s="484"/>
      <c r="I433" s="484"/>
      <c r="J433" s="484"/>
      <c r="K433" s="492"/>
      <c r="L433" s="484"/>
      <c r="M433" s="484"/>
      <c r="N433" s="482"/>
      <c r="O433" s="484"/>
      <c r="P433" s="445"/>
    </row>
    <row r="434" spans="1:16">
      <c r="A434" s="468"/>
      <c r="B434" s="87" t="s">
        <v>363</v>
      </c>
      <c r="C434" s="65">
        <v>44966</v>
      </c>
      <c r="D434" s="65">
        <v>45026</v>
      </c>
      <c r="E434" s="65">
        <v>45063</v>
      </c>
      <c r="F434" s="65">
        <v>45093</v>
      </c>
      <c r="G434" s="65">
        <v>45132</v>
      </c>
      <c r="H434" s="65">
        <v>45173</v>
      </c>
      <c r="I434" s="65">
        <v>45243</v>
      </c>
      <c r="J434" s="54"/>
      <c r="K434" s="54"/>
      <c r="L434" s="65">
        <v>45226</v>
      </c>
      <c r="M434" s="65">
        <v>45272</v>
      </c>
      <c r="N434" s="54"/>
      <c r="O434" s="65">
        <v>45296</v>
      </c>
      <c r="P434" s="101"/>
    </row>
    <row r="435" spans="1:16">
      <c r="A435" s="501"/>
      <c r="B435" s="76" t="s">
        <v>377</v>
      </c>
      <c r="C435" s="73" t="s">
        <v>367</v>
      </c>
      <c r="D435" s="54" t="s">
        <v>368</v>
      </c>
      <c r="E435" s="54" t="s">
        <v>368</v>
      </c>
      <c r="F435" s="54" t="s">
        <v>386</v>
      </c>
      <c r="G435" s="54" t="s">
        <v>368</v>
      </c>
      <c r="H435" s="54" t="s">
        <v>368</v>
      </c>
      <c r="I435" s="54" t="s">
        <v>368</v>
      </c>
      <c r="J435" s="54"/>
      <c r="K435" s="54"/>
      <c r="L435" s="54" t="s">
        <v>368</v>
      </c>
      <c r="M435" s="54" t="s">
        <v>386</v>
      </c>
      <c r="N435" s="54"/>
      <c r="O435" s="54" t="s">
        <v>386</v>
      </c>
      <c r="P435" s="101"/>
    </row>
    <row r="436" spans="1:16" ht="15" customHeight="1">
      <c r="A436" s="467">
        <v>244</v>
      </c>
      <c r="B436" s="543" t="s">
        <v>348</v>
      </c>
      <c r="C436" s="481">
        <v>500</v>
      </c>
      <c r="D436" s="481">
        <v>500</v>
      </c>
      <c r="E436" s="481">
        <v>500</v>
      </c>
      <c r="F436" s="481">
        <v>500</v>
      </c>
      <c r="G436" s="481">
        <v>500</v>
      </c>
      <c r="H436" s="481">
        <v>500</v>
      </c>
      <c r="I436" s="481">
        <v>500</v>
      </c>
      <c r="J436" s="481">
        <v>500</v>
      </c>
      <c r="K436" s="481">
        <v>500</v>
      </c>
      <c r="L436" s="481">
        <v>500</v>
      </c>
      <c r="M436" s="481">
        <v>500</v>
      </c>
      <c r="N436" s="481">
        <v>500</v>
      </c>
      <c r="O436" s="481">
        <v>500</v>
      </c>
      <c r="P436" s="476">
        <f>SUM(C436:O437)</f>
        <v>6500</v>
      </c>
    </row>
    <row r="437" spans="1:16">
      <c r="A437" s="468"/>
      <c r="B437" s="544"/>
      <c r="C437" s="482"/>
      <c r="D437" s="482"/>
      <c r="E437" s="482"/>
      <c r="F437" s="482"/>
      <c r="G437" s="482"/>
      <c r="H437" s="482"/>
      <c r="I437" s="482"/>
      <c r="J437" s="482"/>
      <c r="K437" s="482"/>
      <c r="L437" s="482"/>
      <c r="M437" s="482"/>
      <c r="N437" s="482"/>
      <c r="O437" s="482"/>
      <c r="P437" s="445"/>
    </row>
    <row r="438" spans="1:16">
      <c r="A438" s="468"/>
      <c r="B438" s="89" t="s">
        <v>363</v>
      </c>
      <c r="C438" s="65">
        <v>44965</v>
      </c>
      <c r="D438" s="65" t="s">
        <v>1305</v>
      </c>
      <c r="E438" s="65">
        <v>45043</v>
      </c>
      <c r="F438" s="65">
        <v>45050</v>
      </c>
      <c r="G438" s="65">
        <v>45083</v>
      </c>
      <c r="H438" s="65">
        <v>45118</v>
      </c>
      <c r="I438" s="65">
        <v>45146</v>
      </c>
      <c r="J438" s="65">
        <v>45156</v>
      </c>
      <c r="K438" s="65">
        <v>45175</v>
      </c>
      <c r="L438" s="65">
        <v>45208</v>
      </c>
      <c r="M438" s="65">
        <v>45240</v>
      </c>
      <c r="N438" s="65">
        <v>45302</v>
      </c>
      <c r="O438" s="65">
        <v>45267</v>
      </c>
      <c r="P438" s="101"/>
    </row>
    <row r="439" spans="1:16">
      <c r="A439" s="501"/>
      <c r="B439" s="87" t="s">
        <v>377</v>
      </c>
      <c r="C439" s="54" t="s">
        <v>371</v>
      </c>
      <c r="D439" s="54"/>
      <c r="E439" s="54" t="s">
        <v>371</v>
      </c>
      <c r="F439" s="54" t="s">
        <v>384</v>
      </c>
      <c r="G439" s="54" t="s">
        <v>384</v>
      </c>
      <c r="H439" s="54" t="s">
        <v>384</v>
      </c>
      <c r="I439" s="54" t="s">
        <v>384</v>
      </c>
      <c r="J439" s="54" t="s">
        <v>371</v>
      </c>
      <c r="K439" s="54" t="s">
        <v>384</v>
      </c>
      <c r="L439" s="54" t="s">
        <v>384</v>
      </c>
      <c r="M439" s="54" t="s">
        <v>384</v>
      </c>
      <c r="N439" s="54" t="s">
        <v>384</v>
      </c>
      <c r="O439" s="54" t="s">
        <v>384</v>
      </c>
      <c r="P439" s="101"/>
    </row>
    <row r="440" spans="1:16" ht="15" customHeight="1">
      <c r="A440" s="467">
        <v>249</v>
      </c>
      <c r="B440" s="470" t="s">
        <v>350</v>
      </c>
      <c r="C440" s="495">
        <v>1850</v>
      </c>
      <c r="D440" s="481">
        <v>1000</v>
      </c>
      <c r="E440" s="500">
        <v>1000</v>
      </c>
      <c r="F440" s="481">
        <v>1000</v>
      </c>
      <c r="G440" s="481">
        <v>1000</v>
      </c>
      <c r="H440" s="481">
        <v>1000</v>
      </c>
      <c r="I440" s="481">
        <v>1000</v>
      </c>
      <c r="J440" s="481">
        <v>1000</v>
      </c>
      <c r="K440" s="481">
        <v>1000</v>
      </c>
      <c r="L440" s="481">
        <v>1000</v>
      </c>
      <c r="M440" s="481">
        <v>1000</v>
      </c>
      <c r="N440" s="481">
        <v>1000</v>
      </c>
      <c r="O440" s="481">
        <v>1000</v>
      </c>
      <c r="P440" s="476">
        <f>SUM(C440:O441)</f>
        <v>13850</v>
      </c>
    </row>
    <row r="441" spans="1:16">
      <c r="A441" s="468"/>
      <c r="B441" s="471"/>
      <c r="C441" s="480"/>
      <c r="D441" s="482"/>
      <c r="E441" s="482"/>
      <c r="F441" s="482"/>
      <c r="G441" s="482"/>
      <c r="H441" s="482"/>
      <c r="I441" s="482"/>
      <c r="J441" s="482"/>
      <c r="K441" s="482"/>
      <c r="L441" s="482"/>
      <c r="M441" s="482"/>
      <c r="N441" s="482"/>
      <c r="O441" s="482"/>
      <c r="P441" s="445"/>
    </row>
    <row r="442" spans="1:16">
      <c r="A442" s="468"/>
      <c r="B442" s="86" t="s">
        <v>363</v>
      </c>
      <c r="C442" s="97">
        <v>44928</v>
      </c>
      <c r="D442" s="65">
        <v>44986</v>
      </c>
      <c r="E442" s="65">
        <v>45014</v>
      </c>
      <c r="F442" s="65">
        <v>45077</v>
      </c>
      <c r="G442" s="65">
        <v>45107</v>
      </c>
      <c r="H442" s="65">
        <v>45138</v>
      </c>
      <c r="I442" s="65">
        <v>45170</v>
      </c>
      <c r="J442" s="65">
        <v>45203</v>
      </c>
      <c r="K442" s="65">
        <v>45229</v>
      </c>
      <c r="L442" s="65">
        <v>45260</v>
      </c>
      <c r="M442" s="65">
        <v>45260</v>
      </c>
      <c r="N442" s="54"/>
      <c r="O442" s="54"/>
      <c r="P442" s="101"/>
    </row>
    <row r="443" spans="1:16">
      <c r="A443" s="478"/>
      <c r="B443" s="76" t="s">
        <v>377</v>
      </c>
      <c r="C443" s="73" t="s">
        <v>1057</v>
      </c>
      <c r="D443" s="54" t="s">
        <v>368</v>
      </c>
      <c r="E443" s="54" t="s">
        <v>371</v>
      </c>
      <c r="F443" s="54" t="s">
        <v>371</v>
      </c>
      <c r="G443" s="54" t="s">
        <v>384</v>
      </c>
      <c r="H443" s="54" t="s">
        <v>384</v>
      </c>
      <c r="I443" s="54" t="s">
        <v>384</v>
      </c>
      <c r="J443" s="54" t="s">
        <v>384</v>
      </c>
      <c r="K443" s="54" t="s">
        <v>384</v>
      </c>
      <c r="L443" s="54" t="s">
        <v>384</v>
      </c>
      <c r="M443" s="54" t="s">
        <v>384</v>
      </c>
      <c r="N443" s="54"/>
      <c r="O443" s="54"/>
      <c r="P443" s="101"/>
    </row>
    <row r="444" spans="1:16" ht="15" customHeight="1">
      <c r="A444" s="470">
        <v>251</v>
      </c>
      <c r="B444" s="497" t="s">
        <v>991</v>
      </c>
      <c r="C444" s="491" t="s">
        <v>998</v>
      </c>
      <c r="D444" s="491" t="s">
        <v>998</v>
      </c>
      <c r="E444" s="491" t="s">
        <v>998</v>
      </c>
      <c r="F444" s="491" t="s">
        <v>998</v>
      </c>
      <c r="G444" s="491" t="s">
        <v>998</v>
      </c>
      <c r="H444" s="491" t="s">
        <v>998</v>
      </c>
      <c r="I444" s="483" t="s">
        <v>998</v>
      </c>
      <c r="J444" s="483">
        <v>140</v>
      </c>
      <c r="K444" s="483">
        <v>140</v>
      </c>
      <c r="L444" s="483">
        <v>140</v>
      </c>
      <c r="M444" s="483">
        <v>140</v>
      </c>
      <c r="N444" s="483">
        <v>70</v>
      </c>
      <c r="O444" s="483">
        <v>140</v>
      </c>
      <c r="P444" s="493">
        <f>SUM(C444:O445)</f>
        <v>770</v>
      </c>
    </row>
    <row r="445" spans="1:16">
      <c r="A445" s="496"/>
      <c r="B445" s="542"/>
      <c r="C445" s="492"/>
      <c r="D445" s="492"/>
      <c r="E445" s="492"/>
      <c r="F445" s="492"/>
      <c r="G445" s="492"/>
      <c r="H445" s="492"/>
      <c r="I445" s="484"/>
      <c r="J445" s="484"/>
      <c r="K445" s="484"/>
      <c r="L445" s="484"/>
      <c r="M445" s="484"/>
      <c r="N445" s="484"/>
      <c r="O445" s="484"/>
      <c r="P445" s="494"/>
    </row>
    <row r="446" spans="1:16">
      <c r="A446" s="496"/>
      <c r="B446" s="82" t="s">
        <v>363</v>
      </c>
      <c r="C446" s="54" t="s">
        <v>998</v>
      </c>
      <c r="D446" s="54" t="s">
        <v>998</v>
      </c>
      <c r="E446" s="54" t="s">
        <v>998</v>
      </c>
      <c r="F446" s="54" t="s">
        <v>998</v>
      </c>
      <c r="G446" s="54" t="s">
        <v>998</v>
      </c>
      <c r="H446" s="54" t="s">
        <v>998</v>
      </c>
      <c r="I446" s="65" t="s">
        <v>998</v>
      </c>
      <c r="J446" s="65">
        <v>45139</v>
      </c>
      <c r="K446" s="65">
        <v>45203</v>
      </c>
      <c r="L446" s="65">
        <v>45236</v>
      </c>
      <c r="M446" s="65">
        <v>45264</v>
      </c>
      <c r="N446" s="65">
        <v>45264</v>
      </c>
      <c r="O446" s="65">
        <v>45295</v>
      </c>
      <c r="P446" s="101"/>
    </row>
    <row r="447" spans="1:16">
      <c r="A447" s="471"/>
      <c r="B447" s="84" t="s">
        <v>377</v>
      </c>
      <c r="C447" s="54" t="s">
        <v>998</v>
      </c>
      <c r="D447" s="54" t="s">
        <v>998</v>
      </c>
      <c r="E447" s="54" t="s">
        <v>998</v>
      </c>
      <c r="F447" s="54" t="s">
        <v>998</v>
      </c>
      <c r="G447" s="54" t="s">
        <v>998</v>
      </c>
      <c r="H447" s="54" t="s">
        <v>998</v>
      </c>
      <c r="I447" s="54" t="s">
        <v>998</v>
      </c>
      <c r="J447" s="54" t="s">
        <v>368</v>
      </c>
      <c r="K447" s="54" t="s">
        <v>368</v>
      </c>
      <c r="L447" s="54" t="s">
        <v>1248</v>
      </c>
      <c r="M447" s="54" t="s">
        <v>386</v>
      </c>
      <c r="N447" s="54" t="s">
        <v>386</v>
      </c>
      <c r="O447" s="54" t="s">
        <v>386</v>
      </c>
      <c r="P447" s="101"/>
    </row>
    <row r="448" spans="1:16">
      <c r="A448" s="467">
        <v>259</v>
      </c>
      <c r="B448" s="470" t="s">
        <v>106</v>
      </c>
      <c r="C448" s="479">
        <v>385</v>
      </c>
      <c r="D448" s="481">
        <v>385</v>
      </c>
      <c r="E448" s="481">
        <v>385</v>
      </c>
      <c r="F448" s="481">
        <v>385</v>
      </c>
      <c r="G448" s="481">
        <v>385</v>
      </c>
      <c r="H448" s="481">
        <v>385</v>
      </c>
      <c r="I448" s="481">
        <v>385</v>
      </c>
      <c r="J448" s="481">
        <v>385</v>
      </c>
      <c r="K448" s="481">
        <v>385</v>
      </c>
      <c r="L448" s="481">
        <v>385</v>
      </c>
      <c r="M448" s="481">
        <v>385</v>
      </c>
      <c r="N448" s="481">
        <v>385</v>
      </c>
      <c r="O448" s="481">
        <v>385</v>
      </c>
      <c r="P448" s="476">
        <f>SUM(C448:O449)</f>
        <v>5005</v>
      </c>
    </row>
    <row r="449" spans="1:16">
      <c r="A449" s="468"/>
      <c r="B449" s="471"/>
      <c r="C449" s="480"/>
      <c r="D449" s="482"/>
      <c r="E449" s="482"/>
      <c r="F449" s="482"/>
      <c r="G449" s="482"/>
      <c r="H449" s="482"/>
      <c r="I449" s="482"/>
      <c r="J449" s="482"/>
      <c r="K449" s="482"/>
      <c r="L449" s="482"/>
      <c r="M449" s="482"/>
      <c r="N449" s="482"/>
      <c r="O449" s="482"/>
      <c r="P449" s="445"/>
    </row>
    <row r="450" spans="1:16">
      <c r="A450" s="468"/>
      <c r="B450" s="87" t="s">
        <v>363</v>
      </c>
      <c r="C450" s="65">
        <v>45007</v>
      </c>
      <c r="D450" s="65">
        <v>45007</v>
      </c>
      <c r="E450" s="65">
        <v>45007</v>
      </c>
      <c r="F450" s="65">
        <v>45007</v>
      </c>
      <c r="G450" s="65">
        <v>45007</v>
      </c>
      <c r="H450" s="65">
        <v>45007</v>
      </c>
      <c r="I450" s="65">
        <v>45007</v>
      </c>
      <c r="J450" s="65">
        <v>45007</v>
      </c>
      <c r="K450" s="65">
        <v>45007</v>
      </c>
      <c r="L450" s="65">
        <v>45007</v>
      </c>
      <c r="M450" s="65">
        <v>45208</v>
      </c>
      <c r="N450" s="65">
        <v>45251</v>
      </c>
      <c r="O450" s="65">
        <v>45264</v>
      </c>
      <c r="P450" s="101"/>
    </row>
    <row r="451" spans="1:16">
      <c r="A451" s="501"/>
      <c r="B451" s="86" t="s">
        <v>377</v>
      </c>
      <c r="C451" s="73" t="s">
        <v>367</v>
      </c>
      <c r="D451" s="54" t="s">
        <v>368</v>
      </c>
      <c r="E451" s="54" t="s">
        <v>368</v>
      </c>
      <c r="F451" s="54" t="s">
        <v>368</v>
      </c>
      <c r="G451" s="54" t="s">
        <v>368</v>
      </c>
      <c r="H451" s="54" t="s">
        <v>368</v>
      </c>
      <c r="I451" s="54" t="s">
        <v>368</v>
      </c>
      <c r="J451" s="54" t="s">
        <v>368</v>
      </c>
      <c r="K451" s="54" t="s">
        <v>368</v>
      </c>
      <c r="L451" s="54" t="s">
        <v>368</v>
      </c>
      <c r="M451" s="54" t="s">
        <v>373</v>
      </c>
      <c r="N451" s="54" t="s">
        <v>384</v>
      </c>
      <c r="O451" s="54" t="s">
        <v>384</v>
      </c>
      <c r="P451" s="101"/>
    </row>
    <row r="452" spans="1:16" ht="15" customHeight="1">
      <c r="A452" s="467">
        <v>260</v>
      </c>
      <c r="B452" s="470" t="s">
        <v>1085</v>
      </c>
      <c r="C452" s="480" t="s">
        <v>998</v>
      </c>
      <c r="D452" s="482" t="s">
        <v>998</v>
      </c>
      <c r="E452" s="482" t="s">
        <v>998</v>
      </c>
      <c r="F452" s="482" t="s">
        <v>998</v>
      </c>
      <c r="G452" s="481">
        <v>385</v>
      </c>
      <c r="H452" s="481" t="s">
        <v>1307</v>
      </c>
      <c r="I452" s="482"/>
      <c r="J452" s="482"/>
      <c r="K452" s="482"/>
      <c r="L452" s="481">
        <v>385</v>
      </c>
      <c r="M452" s="482"/>
      <c r="N452" s="482"/>
      <c r="O452" s="491">
        <v>385</v>
      </c>
      <c r="P452" s="476">
        <f>SUM(C452:O453)</f>
        <v>1155</v>
      </c>
    </row>
    <row r="453" spans="1:16">
      <c r="A453" s="468"/>
      <c r="B453" s="471"/>
      <c r="C453" s="480"/>
      <c r="D453" s="482"/>
      <c r="E453" s="482"/>
      <c r="F453" s="482"/>
      <c r="G453" s="482"/>
      <c r="H453" s="482"/>
      <c r="I453" s="482"/>
      <c r="J453" s="482"/>
      <c r="K453" s="482"/>
      <c r="L453" s="482"/>
      <c r="M453" s="482"/>
      <c r="N453" s="482"/>
      <c r="O453" s="492"/>
      <c r="P453" s="445"/>
    </row>
    <row r="454" spans="1:16">
      <c r="A454" s="468"/>
      <c r="B454" s="86" t="s">
        <v>363</v>
      </c>
      <c r="C454" s="73" t="s">
        <v>998</v>
      </c>
      <c r="D454" s="54" t="s">
        <v>998</v>
      </c>
      <c r="E454" s="54" t="s">
        <v>998</v>
      </c>
      <c r="F454" s="54" t="s">
        <v>998</v>
      </c>
      <c r="G454" s="65">
        <v>45133</v>
      </c>
      <c r="H454" s="65"/>
      <c r="I454" s="54"/>
      <c r="J454" s="54"/>
      <c r="K454" s="54"/>
      <c r="L454" s="65">
        <v>45626</v>
      </c>
      <c r="M454" s="54"/>
      <c r="N454" s="54"/>
      <c r="O454" s="65">
        <v>45327</v>
      </c>
      <c r="P454" s="101"/>
    </row>
    <row r="455" spans="1:16">
      <c r="A455" s="478"/>
      <c r="B455" s="76" t="s">
        <v>377</v>
      </c>
      <c r="C455" s="73" t="s">
        <v>998</v>
      </c>
      <c r="D455" s="54" t="s">
        <v>998</v>
      </c>
      <c r="E455" s="54" t="s">
        <v>998</v>
      </c>
      <c r="F455" s="54" t="s">
        <v>998</v>
      </c>
      <c r="G455" s="54" t="s">
        <v>384</v>
      </c>
      <c r="H455" s="54"/>
      <c r="I455" s="54"/>
      <c r="J455" s="54"/>
      <c r="K455" s="54"/>
      <c r="L455" s="54" t="s">
        <v>386</v>
      </c>
      <c r="M455" s="54"/>
      <c r="N455" s="54"/>
      <c r="O455" s="54" t="s">
        <v>384</v>
      </c>
      <c r="P455" s="101"/>
    </row>
    <row r="456" spans="1:16">
      <c r="A456" s="467">
        <v>261</v>
      </c>
      <c r="B456" s="470" t="s">
        <v>253</v>
      </c>
      <c r="C456" s="479">
        <v>395</v>
      </c>
      <c r="D456" s="482" t="s">
        <v>395</v>
      </c>
      <c r="E456" s="481">
        <v>395</v>
      </c>
      <c r="F456" s="481">
        <v>395</v>
      </c>
      <c r="G456" s="481">
        <v>395</v>
      </c>
      <c r="H456" s="481">
        <v>395</v>
      </c>
      <c r="I456" s="482"/>
      <c r="J456" s="482"/>
      <c r="K456" s="481">
        <v>395</v>
      </c>
      <c r="L456" s="482"/>
      <c r="M456" s="482"/>
      <c r="N456" s="482"/>
      <c r="O456" s="491"/>
      <c r="P456" s="476">
        <f>SUM(C456:O457)</f>
        <v>2370</v>
      </c>
    </row>
    <row r="457" spans="1:16">
      <c r="A457" s="468"/>
      <c r="B457" s="471"/>
      <c r="C457" s="480"/>
      <c r="D457" s="482"/>
      <c r="E457" s="482"/>
      <c r="F457" s="482"/>
      <c r="G457" s="482"/>
      <c r="H457" s="482"/>
      <c r="I457" s="482"/>
      <c r="J457" s="482"/>
      <c r="K457" s="482"/>
      <c r="L457" s="482"/>
      <c r="M457" s="482"/>
      <c r="N457" s="482"/>
      <c r="O457" s="492"/>
      <c r="P457" s="445"/>
    </row>
    <row r="458" spans="1:16">
      <c r="A458" s="468"/>
      <c r="B458" s="76" t="s">
        <v>363</v>
      </c>
      <c r="C458" s="97">
        <v>44970</v>
      </c>
      <c r="D458" s="65">
        <v>45007</v>
      </c>
      <c r="E458" s="65">
        <v>45055</v>
      </c>
      <c r="F458" s="65">
        <v>45091</v>
      </c>
      <c r="G458" s="65">
        <v>45118</v>
      </c>
      <c r="H458" s="65">
        <v>45146</v>
      </c>
      <c r="I458" s="54"/>
      <c r="J458" s="54"/>
      <c r="K458" s="65">
        <v>45208</v>
      </c>
      <c r="L458" s="54"/>
      <c r="M458" s="54"/>
      <c r="N458" s="54"/>
      <c r="O458" s="54"/>
      <c r="P458" s="101"/>
    </row>
    <row r="459" spans="1:16" ht="15.75" thickBot="1">
      <c r="A459" s="501"/>
      <c r="B459" s="76" t="s">
        <v>377</v>
      </c>
      <c r="C459" s="73" t="s">
        <v>367</v>
      </c>
      <c r="D459" s="54" t="s">
        <v>368</v>
      </c>
      <c r="E459" s="54" t="s">
        <v>368</v>
      </c>
      <c r="F459" s="54" t="s">
        <v>368</v>
      </c>
      <c r="G459" s="54" t="s">
        <v>368</v>
      </c>
      <c r="H459" s="54" t="s">
        <v>368</v>
      </c>
      <c r="I459" s="118"/>
      <c r="J459" s="54"/>
      <c r="K459" s="54" t="s">
        <v>368</v>
      </c>
      <c r="L459" s="54"/>
      <c r="M459" s="54"/>
      <c r="N459" s="54"/>
      <c r="O459" s="54"/>
      <c r="P459" s="101"/>
    </row>
    <row r="460" spans="1:16" ht="15.75" thickTop="1">
      <c r="A460" s="467">
        <v>263</v>
      </c>
      <c r="B460" s="470" t="s">
        <v>254</v>
      </c>
      <c r="C460" s="479">
        <v>475</v>
      </c>
      <c r="D460" s="481">
        <v>475</v>
      </c>
      <c r="E460" s="481">
        <v>475</v>
      </c>
      <c r="F460" s="481">
        <v>475</v>
      </c>
      <c r="G460" s="481">
        <v>475</v>
      </c>
      <c r="H460" s="537">
        <v>475</v>
      </c>
      <c r="I460" s="672">
        <v>475</v>
      </c>
      <c r="J460" s="672">
        <v>475</v>
      </c>
      <c r="K460" s="672">
        <v>475</v>
      </c>
      <c r="L460" s="672">
        <v>475</v>
      </c>
      <c r="M460" s="537">
        <v>475</v>
      </c>
      <c r="N460" s="537">
        <v>475</v>
      </c>
      <c r="O460" s="537">
        <v>475</v>
      </c>
      <c r="P460" s="493">
        <f>SUM(C460:O461)</f>
        <v>6175</v>
      </c>
    </row>
    <row r="461" spans="1:16" ht="15.75" thickBot="1">
      <c r="A461" s="468"/>
      <c r="B461" s="471"/>
      <c r="C461" s="480"/>
      <c r="D461" s="482"/>
      <c r="E461" s="482"/>
      <c r="F461" s="482"/>
      <c r="G461" s="482"/>
      <c r="H461" s="538"/>
      <c r="I461" s="673"/>
      <c r="J461" s="673"/>
      <c r="K461" s="673"/>
      <c r="L461" s="673"/>
      <c r="M461" s="538"/>
      <c r="N461" s="538"/>
      <c r="O461" s="538"/>
      <c r="P461" s="494"/>
    </row>
    <row r="462" spans="1:16" ht="15.75" thickTop="1">
      <c r="A462" s="468"/>
      <c r="B462" s="92" t="s">
        <v>363</v>
      </c>
      <c r="C462" s="97">
        <v>44986</v>
      </c>
      <c r="D462" s="65">
        <v>45016</v>
      </c>
      <c r="E462" s="65">
        <v>45044</v>
      </c>
      <c r="F462" s="65">
        <v>45077</v>
      </c>
      <c r="G462" s="65">
        <v>45103</v>
      </c>
      <c r="H462" s="65">
        <v>45126</v>
      </c>
      <c r="I462" s="105">
        <v>45168</v>
      </c>
      <c r="J462" s="65">
        <v>45197</v>
      </c>
      <c r="K462" s="65">
        <v>45230</v>
      </c>
      <c r="L462" s="65">
        <v>45260</v>
      </c>
      <c r="M462" s="65">
        <v>45654</v>
      </c>
      <c r="N462" s="65">
        <v>45654</v>
      </c>
      <c r="O462" s="65">
        <v>45317</v>
      </c>
      <c r="P462" s="101"/>
    </row>
    <row r="463" spans="1:16">
      <c r="A463" s="478"/>
      <c r="B463" s="76" t="s">
        <v>377</v>
      </c>
      <c r="C463" s="73" t="s">
        <v>367</v>
      </c>
      <c r="D463" s="54" t="s">
        <v>368</v>
      </c>
      <c r="E463" s="54" t="s">
        <v>368</v>
      </c>
      <c r="F463" s="54" t="s">
        <v>368</v>
      </c>
      <c r="G463" s="54" t="s">
        <v>368</v>
      </c>
      <c r="H463" s="54" t="s">
        <v>368</v>
      </c>
      <c r="I463" s="54" t="s">
        <v>368</v>
      </c>
      <c r="J463" s="54" t="s">
        <v>368</v>
      </c>
      <c r="K463" s="54" t="s">
        <v>368</v>
      </c>
      <c r="L463" s="54" t="s">
        <v>368</v>
      </c>
      <c r="M463" s="54" t="s">
        <v>386</v>
      </c>
      <c r="N463" s="54" t="s">
        <v>386</v>
      </c>
      <c r="O463" s="54" t="s">
        <v>386</v>
      </c>
      <c r="P463" s="101"/>
    </row>
    <row r="464" spans="1:16" ht="15" customHeight="1">
      <c r="A464" s="467">
        <v>266</v>
      </c>
      <c r="B464" s="470" t="s">
        <v>351</v>
      </c>
      <c r="C464" s="479">
        <v>200</v>
      </c>
      <c r="D464" s="482" t="s">
        <v>1146</v>
      </c>
      <c r="E464" s="482"/>
      <c r="F464" s="482"/>
      <c r="G464" s="482"/>
      <c r="H464" s="482"/>
      <c r="I464" s="482"/>
      <c r="J464" s="482"/>
      <c r="K464" s="482"/>
      <c r="L464" s="482"/>
      <c r="M464" s="482"/>
      <c r="N464" s="482"/>
      <c r="O464" s="491"/>
      <c r="P464" s="476">
        <f>SUM(C464:O465)</f>
        <v>200</v>
      </c>
    </row>
    <row r="465" spans="1:16">
      <c r="A465" s="468"/>
      <c r="B465" s="471"/>
      <c r="C465" s="480"/>
      <c r="D465" s="482"/>
      <c r="E465" s="482"/>
      <c r="F465" s="482"/>
      <c r="G465" s="482"/>
      <c r="H465" s="482"/>
      <c r="I465" s="482"/>
      <c r="J465" s="482"/>
      <c r="K465" s="482"/>
      <c r="L465" s="482"/>
      <c r="M465" s="482"/>
      <c r="N465" s="482"/>
      <c r="O465" s="492"/>
      <c r="P465" s="445"/>
    </row>
    <row r="466" spans="1:16">
      <c r="A466" s="468"/>
      <c r="B466" s="86" t="s">
        <v>363</v>
      </c>
      <c r="C466" s="97">
        <v>44959</v>
      </c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101"/>
    </row>
    <row r="467" spans="1:16">
      <c r="A467" s="478"/>
      <c r="B467" s="76" t="s">
        <v>377</v>
      </c>
      <c r="C467" s="73" t="s">
        <v>367</v>
      </c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101"/>
    </row>
    <row r="468" spans="1:16">
      <c r="A468" s="467">
        <v>271</v>
      </c>
      <c r="B468" s="533" t="s">
        <v>258</v>
      </c>
      <c r="C468" s="481"/>
      <c r="D468" s="481"/>
      <c r="E468" s="481"/>
      <c r="F468" s="481"/>
      <c r="G468" s="481"/>
      <c r="H468" s="481"/>
      <c r="I468" s="482"/>
      <c r="J468" s="482"/>
      <c r="K468" s="482"/>
      <c r="L468" s="482"/>
      <c r="M468" s="482"/>
      <c r="N468" s="482"/>
      <c r="O468" s="491"/>
      <c r="P468" s="476">
        <f>SUM(C468:O469)</f>
        <v>0</v>
      </c>
    </row>
    <row r="469" spans="1:16">
      <c r="A469" s="468"/>
      <c r="B469" s="533"/>
      <c r="C469" s="482"/>
      <c r="D469" s="482"/>
      <c r="E469" s="482"/>
      <c r="F469" s="482"/>
      <c r="G469" s="482"/>
      <c r="H469" s="482"/>
      <c r="I469" s="482"/>
      <c r="J469" s="482"/>
      <c r="K469" s="482"/>
      <c r="L469" s="482"/>
      <c r="M469" s="482"/>
      <c r="N469" s="482"/>
      <c r="O469" s="492"/>
      <c r="P469" s="445"/>
    </row>
    <row r="470" spans="1:16">
      <c r="A470" s="468"/>
      <c r="B470" s="86" t="s">
        <v>363</v>
      </c>
      <c r="C470" s="97"/>
      <c r="D470" s="97"/>
      <c r="E470" s="97"/>
      <c r="F470" s="97"/>
      <c r="G470" s="97"/>
      <c r="H470" s="97"/>
      <c r="I470" s="54"/>
      <c r="J470" s="54"/>
      <c r="K470" s="54"/>
      <c r="L470" s="54"/>
      <c r="M470" s="54"/>
      <c r="N470" s="54"/>
      <c r="O470" s="54"/>
      <c r="P470" s="101"/>
    </row>
    <row r="471" spans="1:16" ht="15.75" thickBot="1">
      <c r="A471" s="478"/>
      <c r="B471" s="86" t="s">
        <v>377</v>
      </c>
      <c r="C471" s="73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101"/>
    </row>
    <row r="472" spans="1:16" ht="15" customHeight="1" thickTop="1">
      <c r="A472" s="534">
        <v>274</v>
      </c>
      <c r="B472" s="670" t="s">
        <v>352</v>
      </c>
      <c r="C472" s="479">
        <v>1500</v>
      </c>
      <c r="D472" s="481">
        <v>1500</v>
      </c>
      <c r="E472" s="481">
        <v>1500</v>
      </c>
      <c r="F472" s="481">
        <v>1500</v>
      </c>
      <c r="G472" s="481">
        <v>1500</v>
      </c>
      <c r="H472" s="481">
        <v>1500</v>
      </c>
      <c r="I472" s="481">
        <v>1500</v>
      </c>
      <c r="J472" s="481">
        <v>1500</v>
      </c>
      <c r="K472" s="481">
        <v>1500</v>
      </c>
      <c r="L472" s="481">
        <v>1500</v>
      </c>
      <c r="M472" s="481">
        <v>1500</v>
      </c>
      <c r="N472" s="481">
        <v>1500</v>
      </c>
      <c r="O472" s="481">
        <v>1500</v>
      </c>
      <c r="P472" s="476">
        <f>SUM(C472:O473)</f>
        <v>19500</v>
      </c>
    </row>
    <row r="473" spans="1:16" ht="15.75" thickBot="1">
      <c r="A473" s="535"/>
      <c r="B473" s="671"/>
      <c r="C473" s="480"/>
      <c r="D473" s="482"/>
      <c r="E473" s="482"/>
      <c r="F473" s="482"/>
      <c r="G473" s="482"/>
      <c r="H473" s="482"/>
      <c r="I473" s="482"/>
      <c r="J473" s="482"/>
      <c r="K473" s="482"/>
      <c r="L473" s="482"/>
      <c r="M473" s="482"/>
      <c r="N473" s="482"/>
      <c r="O473" s="482"/>
      <c r="P473" s="445"/>
    </row>
    <row r="474" spans="1:16" ht="15.75" thickTop="1">
      <c r="A474" s="468"/>
      <c r="B474" s="294" t="s">
        <v>363</v>
      </c>
      <c r="C474" s="97">
        <v>44991</v>
      </c>
      <c r="D474" s="65">
        <v>44991</v>
      </c>
      <c r="E474" s="65">
        <v>44991</v>
      </c>
      <c r="F474" s="65">
        <v>45077</v>
      </c>
      <c r="G474" s="65">
        <v>45077</v>
      </c>
      <c r="H474" s="65">
        <v>45180</v>
      </c>
      <c r="I474" s="65">
        <v>45180</v>
      </c>
      <c r="J474" s="65">
        <v>45180</v>
      </c>
      <c r="K474" s="65">
        <v>45282</v>
      </c>
      <c r="L474" s="65">
        <v>45282</v>
      </c>
      <c r="M474" s="64">
        <v>45328</v>
      </c>
      <c r="N474" s="64">
        <v>45328</v>
      </c>
      <c r="O474" s="64">
        <v>45547</v>
      </c>
      <c r="P474" s="101"/>
    </row>
    <row r="475" spans="1:16">
      <c r="A475" s="501"/>
      <c r="B475" s="75" t="s">
        <v>377</v>
      </c>
      <c r="C475" s="73" t="s">
        <v>384</v>
      </c>
      <c r="D475" s="54" t="s">
        <v>384</v>
      </c>
      <c r="E475" s="54" t="s">
        <v>384</v>
      </c>
      <c r="F475" s="54" t="s">
        <v>384</v>
      </c>
      <c r="G475" s="54" t="s">
        <v>384</v>
      </c>
      <c r="H475" s="54" t="s">
        <v>384</v>
      </c>
      <c r="I475" s="54" t="s">
        <v>373</v>
      </c>
      <c r="J475" s="54" t="s">
        <v>373</v>
      </c>
      <c r="K475" s="54" t="s">
        <v>371</v>
      </c>
      <c r="L475" s="54" t="s">
        <v>371</v>
      </c>
      <c r="M475" s="54" t="s">
        <v>371</v>
      </c>
      <c r="N475" s="54" t="s">
        <v>371</v>
      </c>
      <c r="O475" s="54" t="s">
        <v>1279</v>
      </c>
      <c r="P475" s="101"/>
    </row>
    <row r="476" spans="1:16" ht="15" customHeight="1">
      <c r="A476" s="467">
        <v>276</v>
      </c>
      <c r="B476" s="470" t="s">
        <v>353</v>
      </c>
      <c r="C476" s="480">
        <v>415</v>
      </c>
      <c r="D476" s="480">
        <v>415</v>
      </c>
      <c r="E476" s="480">
        <v>415</v>
      </c>
      <c r="F476" s="480">
        <v>415</v>
      </c>
      <c r="G476" s="480">
        <v>415</v>
      </c>
      <c r="H476" s="480">
        <v>415</v>
      </c>
      <c r="I476" s="480">
        <v>415</v>
      </c>
      <c r="J476" s="480">
        <v>415</v>
      </c>
      <c r="K476" s="480">
        <v>415</v>
      </c>
      <c r="L476" s="480">
        <v>415</v>
      </c>
      <c r="M476" s="480">
        <v>415</v>
      </c>
      <c r="N476" s="480">
        <v>415</v>
      </c>
      <c r="O476" s="480">
        <v>415</v>
      </c>
      <c r="P476" s="476">
        <f>SUM(C476:O477)</f>
        <v>5395</v>
      </c>
    </row>
    <row r="477" spans="1:16">
      <c r="A477" s="468"/>
      <c r="B477" s="471"/>
      <c r="C477" s="480"/>
      <c r="D477" s="480"/>
      <c r="E477" s="480"/>
      <c r="F477" s="480"/>
      <c r="G477" s="480"/>
      <c r="H477" s="480"/>
      <c r="I477" s="480"/>
      <c r="J477" s="480"/>
      <c r="K477" s="480"/>
      <c r="L477" s="480"/>
      <c r="M477" s="480"/>
      <c r="N477" s="480"/>
      <c r="O477" s="480"/>
      <c r="P477" s="445"/>
    </row>
    <row r="478" spans="1:16">
      <c r="A478" s="468"/>
      <c r="B478" s="76" t="s">
        <v>363</v>
      </c>
      <c r="C478" s="73" t="s">
        <v>1305</v>
      </c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101"/>
    </row>
    <row r="479" spans="1:16">
      <c r="A479" s="478"/>
      <c r="B479" s="82" t="s">
        <v>377</v>
      </c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101"/>
    </row>
    <row r="480" spans="1:16">
      <c r="A480" s="467">
        <v>279</v>
      </c>
      <c r="B480" s="470" t="s">
        <v>286</v>
      </c>
      <c r="C480" s="479">
        <v>195</v>
      </c>
      <c r="D480" s="481">
        <v>195</v>
      </c>
      <c r="E480" s="481">
        <v>195</v>
      </c>
      <c r="F480" s="481">
        <v>195</v>
      </c>
      <c r="G480" s="481">
        <v>195</v>
      </c>
      <c r="H480" s="481">
        <v>195</v>
      </c>
      <c r="I480" s="481">
        <v>195</v>
      </c>
      <c r="J480" s="481">
        <v>195</v>
      </c>
      <c r="K480" s="481">
        <v>195</v>
      </c>
      <c r="L480" s="481">
        <v>195</v>
      </c>
      <c r="M480" s="481">
        <v>195</v>
      </c>
      <c r="N480" s="481">
        <v>195</v>
      </c>
      <c r="O480" s="481">
        <v>195</v>
      </c>
      <c r="P480" s="476">
        <f>SUM(C480:O481)</f>
        <v>2535</v>
      </c>
    </row>
    <row r="481" spans="1:16">
      <c r="A481" s="468"/>
      <c r="B481" s="496"/>
      <c r="C481" s="480"/>
      <c r="D481" s="482"/>
      <c r="E481" s="482"/>
      <c r="F481" s="482"/>
      <c r="G481" s="482"/>
      <c r="H481" s="482"/>
      <c r="I481" s="482"/>
      <c r="J481" s="482"/>
      <c r="K481" s="482"/>
      <c r="L481" s="482"/>
      <c r="M481" s="482"/>
      <c r="N481" s="482"/>
      <c r="O481" s="482"/>
      <c r="P481" s="445"/>
    </row>
    <row r="482" spans="1:16">
      <c r="A482" s="468"/>
      <c r="B482" s="86" t="s">
        <v>363</v>
      </c>
      <c r="C482" s="97">
        <v>44964</v>
      </c>
      <c r="D482" s="65">
        <v>44991</v>
      </c>
      <c r="E482" s="65">
        <v>45026</v>
      </c>
      <c r="F482" s="65">
        <v>45051</v>
      </c>
      <c r="G482" s="65">
        <v>45083</v>
      </c>
      <c r="H482" s="65">
        <v>45117</v>
      </c>
      <c r="I482" s="65">
        <v>45145</v>
      </c>
      <c r="J482" s="65">
        <v>45175</v>
      </c>
      <c r="K482" s="65">
        <v>45205</v>
      </c>
      <c r="L482" s="65">
        <v>45239</v>
      </c>
      <c r="M482" s="65">
        <v>45267</v>
      </c>
      <c r="N482" s="65">
        <v>45267</v>
      </c>
      <c r="O482" s="65">
        <v>45299</v>
      </c>
      <c r="P482" s="101"/>
    </row>
    <row r="483" spans="1:16">
      <c r="A483" s="478"/>
      <c r="B483" s="86" t="s">
        <v>377</v>
      </c>
      <c r="C483" s="73" t="s">
        <v>372</v>
      </c>
      <c r="D483" s="54" t="s">
        <v>373</v>
      </c>
      <c r="E483" s="54" t="s">
        <v>373</v>
      </c>
      <c r="F483" s="54" t="s">
        <v>371</v>
      </c>
      <c r="G483" s="54" t="s">
        <v>371</v>
      </c>
      <c r="H483" s="54" t="s">
        <v>373</v>
      </c>
      <c r="I483" s="54" t="s">
        <v>373</v>
      </c>
      <c r="J483" s="54" t="s">
        <v>373</v>
      </c>
      <c r="K483" s="54" t="s">
        <v>373</v>
      </c>
      <c r="L483" s="54" t="s">
        <v>371</v>
      </c>
      <c r="M483" s="54" t="s">
        <v>384</v>
      </c>
      <c r="N483" s="54" t="s">
        <v>384</v>
      </c>
      <c r="O483" s="54" t="s">
        <v>384</v>
      </c>
      <c r="P483" s="101"/>
    </row>
    <row r="484" spans="1:16">
      <c r="A484" s="485">
        <v>280</v>
      </c>
      <c r="B484" s="470" t="s">
        <v>262</v>
      </c>
      <c r="C484" s="479">
        <v>492</v>
      </c>
      <c r="D484" s="481">
        <v>492</v>
      </c>
      <c r="E484" s="481">
        <v>485</v>
      </c>
      <c r="F484" s="481">
        <v>485</v>
      </c>
      <c r="G484" s="481">
        <v>485</v>
      </c>
      <c r="H484" s="481">
        <v>485</v>
      </c>
      <c r="I484" s="481">
        <v>485</v>
      </c>
      <c r="J484" s="481">
        <v>485</v>
      </c>
      <c r="K484" s="481">
        <v>485</v>
      </c>
      <c r="L484" s="481">
        <v>485</v>
      </c>
      <c r="M484" s="481">
        <v>485</v>
      </c>
      <c r="N484" s="481">
        <v>315</v>
      </c>
      <c r="O484" s="481">
        <v>485</v>
      </c>
      <c r="P484" s="493">
        <f>SUM(C484:O485)</f>
        <v>6149</v>
      </c>
    </row>
    <row r="485" spans="1:16">
      <c r="A485" s="468"/>
      <c r="B485" s="471"/>
      <c r="C485" s="480"/>
      <c r="D485" s="482"/>
      <c r="E485" s="482"/>
      <c r="F485" s="482"/>
      <c r="G485" s="482"/>
      <c r="H485" s="482"/>
      <c r="I485" s="482"/>
      <c r="J485" s="482"/>
      <c r="K485" s="482"/>
      <c r="L485" s="482"/>
      <c r="M485" s="482"/>
      <c r="N485" s="482"/>
      <c r="O485" s="482"/>
      <c r="P485" s="494"/>
    </row>
    <row r="486" spans="1:16">
      <c r="A486" s="468"/>
      <c r="B486" s="86" t="s">
        <v>363</v>
      </c>
      <c r="C486" s="97">
        <v>44993</v>
      </c>
      <c r="D486" s="65">
        <v>44993</v>
      </c>
      <c r="E486" s="65">
        <v>45050</v>
      </c>
      <c r="F486" s="65">
        <v>45050</v>
      </c>
      <c r="G486" s="65">
        <v>45099</v>
      </c>
      <c r="H486" s="65">
        <v>45099</v>
      </c>
      <c r="I486" s="65">
        <v>45162</v>
      </c>
      <c r="J486" s="65">
        <v>45212</v>
      </c>
      <c r="K486" s="65">
        <v>45219</v>
      </c>
      <c r="L486" s="65">
        <v>45308</v>
      </c>
      <c r="M486" s="65">
        <v>45308</v>
      </c>
      <c r="N486" s="65">
        <v>45308</v>
      </c>
      <c r="O486" s="65">
        <v>45308</v>
      </c>
      <c r="P486" s="101"/>
    </row>
    <row r="487" spans="1:16">
      <c r="A487" s="501"/>
      <c r="B487" s="76" t="s">
        <v>377</v>
      </c>
      <c r="C487" s="73" t="s">
        <v>365</v>
      </c>
      <c r="D487" s="54" t="s">
        <v>374</v>
      </c>
      <c r="E487" s="54" t="s">
        <v>374</v>
      </c>
      <c r="F487" s="54" t="s">
        <v>374</v>
      </c>
      <c r="G487" s="54" t="s">
        <v>368</v>
      </c>
      <c r="H487" s="54" t="s">
        <v>368</v>
      </c>
      <c r="I487" s="54" t="s">
        <v>385</v>
      </c>
      <c r="J487" s="54" t="s">
        <v>368</v>
      </c>
      <c r="K487" s="54" t="s">
        <v>368</v>
      </c>
      <c r="L487" s="54" t="s">
        <v>368</v>
      </c>
      <c r="M487" s="54" t="s">
        <v>368</v>
      </c>
      <c r="N487" s="54" t="s">
        <v>368</v>
      </c>
      <c r="O487" s="54" t="s">
        <v>368</v>
      </c>
      <c r="P487" s="101"/>
    </row>
    <row r="488" spans="1:16">
      <c r="A488" s="467">
        <v>281</v>
      </c>
      <c r="B488" s="470" t="s">
        <v>583</v>
      </c>
      <c r="C488" s="479">
        <v>215</v>
      </c>
      <c r="D488" s="481">
        <v>215</v>
      </c>
      <c r="E488" s="481">
        <v>215</v>
      </c>
      <c r="F488" s="481">
        <v>215</v>
      </c>
      <c r="G488" s="481">
        <v>215</v>
      </c>
      <c r="H488" s="481">
        <v>215</v>
      </c>
      <c r="I488" s="481">
        <v>215</v>
      </c>
      <c r="J488" s="481">
        <v>215</v>
      </c>
      <c r="K488" s="481">
        <v>215</v>
      </c>
      <c r="L488" s="483">
        <v>215</v>
      </c>
      <c r="M488" s="482"/>
      <c r="N488" s="482"/>
      <c r="O488" s="483">
        <v>215</v>
      </c>
      <c r="P488" s="476">
        <f>SUM(C488:O489)</f>
        <v>2365</v>
      </c>
    </row>
    <row r="489" spans="1:16">
      <c r="A489" s="468"/>
      <c r="B489" s="471"/>
      <c r="C489" s="480"/>
      <c r="D489" s="482"/>
      <c r="E489" s="482"/>
      <c r="F489" s="482"/>
      <c r="G489" s="482"/>
      <c r="H489" s="482"/>
      <c r="I489" s="482"/>
      <c r="J489" s="482"/>
      <c r="K489" s="482"/>
      <c r="L489" s="484"/>
      <c r="M489" s="482"/>
      <c r="N489" s="482"/>
      <c r="O489" s="484"/>
      <c r="P489" s="445"/>
    </row>
    <row r="490" spans="1:16">
      <c r="A490" s="468"/>
      <c r="B490" s="76" t="s">
        <v>363</v>
      </c>
      <c r="C490" s="97">
        <v>44976</v>
      </c>
      <c r="D490" s="65">
        <v>44995</v>
      </c>
      <c r="E490" s="65">
        <v>45022</v>
      </c>
      <c r="F490" s="65">
        <v>45058</v>
      </c>
      <c r="G490" s="65">
        <v>45082</v>
      </c>
      <c r="H490" s="65">
        <v>45124</v>
      </c>
      <c r="I490" s="65">
        <v>45153</v>
      </c>
      <c r="J490" s="65">
        <v>45180</v>
      </c>
      <c r="K490" s="66">
        <v>45208</v>
      </c>
      <c r="L490" s="65">
        <v>45599</v>
      </c>
      <c r="M490" s="54"/>
      <c r="N490" s="54"/>
      <c r="O490" s="65">
        <v>45300</v>
      </c>
      <c r="P490" s="101"/>
    </row>
    <row r="491" spans="1:16">
      <c r="A491" s="478"/>
      <c r="B491" s="87" t="s">
        <v>377</v>
      </c>
      <c r="C491" s="54" t="s">
        <v>368</v>
      </c>
      <c r="D491" s="54" t="s">
        <v>368</v>
      </c>
      <c r="E491" s="54" t="s">
        <v>368</v>
      </c>
      <c r="F491" s="54" t="s">
        <v>368</v>
      </c>
      <c r="G491" s="54" t="s">
        <v>368</v>
      </c>
      <c r="H491" s="54" t="s">
        <v>368</v>
      </c>
      <c r="I491" s="54" t="s">
        <v>368</v>
      </c>
      <c r="J491" s="54" t="s">
        <v>368</v>
      </c>
      <c r="K491" s="54" t="s">
        <v>368</v>
      </c>
      <c r="L491" s="54" t="s">
        <v>368</v>
      </c>
      <c r="M491" s="54"/>
      <c r="N491" s="54"/>
      <c r="O491" s="54" t="s">
        <v>386</v>
      </c>
      <c r="P491" s="101"/>
    </row>
    <row r="492" spans="1:16" ht="15" customHeight="1">
      <c r="A492" s="534">
        <v>282</v>
      </c>
      <c r="B492" s="470" t="s">
        <v>2</v>
      </c>
      <c r="C492" s="495">
        <v>215</v>
      </c>
      <c r="D492" s="481">
        <v>215</v>
      </c>
      <c r="E492" s="481">
        <v>215</v>
      </c>
      <c r="F492" s="481">
        <v>215</v>
      </c>
      <c r="G492" s="481">
        <v>215</v>
      </c>
      <c r="H492" s="481">
        <v>215</v>
      </c>
      <c r="I492" s="481">
        <v>225</v>
      </c>
      <c r="J492" s="481">
        <v>215</v>
      </c>
      <c r="K492" s="481">
        <v>215</v>
      </c>
      <c r="L492" s="481">
        <v>215</v>
      </c>
      <c r="M492" s="481">
        <v>215</v>
      </c>
      <c r="N492" s="482">
        <v>143</v>
      </c>
      <c r="O492" s="491"/>
      <c r="P492" s="476">
        <f>SUM(C492:O493)</f>
        <v>2518</v>
      </c>
    </row>
    <row r="493" spans="1:16">
      <c r="A493" s="535"/>
      <c r="B493" s="471"/>
      <c r="C493" s="480"/>
      <c r="D493" s="482"/>
      <c r="E493" s="482"/>
      <c r="F493" s="482"/>
      <c r="G493" s="482"/>
      <c r="H493" s="482"/>
      <c r="I493" s="482"/>
      <c r="J493" s="482"/>
      <c r="K493" s="482"/>
      <c r="L493" s="482"/>
      <c r="M493" s="482"/>
      <c r="N493" s="482"/>
      <c r="O493" s="492"/>
      <c r="P493" s="445"/>
    </row>
    <row r="494" spans="1:16">
      <c r="A494" s="535"/>
      <c r="B494" s="76" t="s">
        <v>363</v>
      </c>
      <c r="C494" s="97">
        <v>44974</v>
      </c>
      <c r="D494" s="65">
        <v>45001</v>
      </c>
      <c r="E494" s="65">
        <v>45021</v>
      </c>
      <c r="F494" s="65">
        <v>45051</v>
      </c>
      <c r="G494" s="65">
        <v>45083</v>
      </c>
      <c r="H494" s="65">
        <v>45120</v>
      </c>
      <c r="I494" s="65">
        <v>45139</v>
      </c>
      <c r="J494" s="65">
        <v>45175</v>
      </c>
      <c r="K494" s="65">
        <v>45203</v>
      </c>
      <c r="L494" s="65">
        <v>45240</v>
      </c>
      <c r="M494" s="65">
        <v>45627</v>
      </c>
      <c r="N494" s="65">
        <v>45627</v>
      </c>
      <c r="O494" s="54"/>
      <c r="P494" s="101"/>
    </row>
    <row r="495" spans="1:16">
      <c r="A495" s="546"/>
      <c r="B495" s="76" t="s">
        <v>377</v>
      </c>
      <c r="C495" s="73" t="s">
        <v>367</v>
      </c>
      <c r="D495" s="54" t="s">
        <v>373</v>
      </c>
      <c r="E495" s="54" t="s">
        <v>368</v>
      </c>
      <c r="F495" s="54" t="s">
        <v>368</v>
      </c>
      <c r="G495" s="54" t="s">
        <v>368</v>
      </c>
      <c r="H495" s="54" t="s">
        <v>373</v>
      </c>
      <c r="I495" s="54" t="s">
        <v>373</v>
      </c>
      <c r="J495" s="54" t="s">
        <v>373</v>
      </c>
      <c r="K495" s="54" t="s">
        <v>368</v>
      </c>
      <c r="L495" s="54" t="s">
        <v>368</v>
      </c>
      <c r="M495" s="54" t="s">
        <v>373</v>
      </c>
      <c r="N495" s="54" t="s">
        <v>373</v>
      </c>
      <c r="O495" s="54"/>
      <c r="P495" s="101"/>
    </row>
    <row r="496" spans="1:16">
      <c r="A496" s="467">
        <v>288</v>
      </c>
      <c r="B496" s="470" t="s">
        <v>120</v>
      </c>
      <c r="C496" s="479">
        <v>445</v>
      </c>
      <c r="D496" s="481">
        <v>445</v>
      </c>
      <c r="E496" s="481">
        <v>445</v>
      </c>
      <c r="F496" s="481">
        <v>445</v>
      </c>
      <c r="G496" s="481">
        <v>445</v>
      </c>
      <c r="H496" s="481">
        <v>445</v>
      </c>
      <c r="I496" s="481">
        <v>445</v>
      </c>
      <c r="J496" s="481">
        <v>445</v>
      </c>
      <c r="K496" s="481">
        <v>445</v>
      </c>
      <c r="L496" s="481">
        <v>445</v>
      </c>
      <c r="M496" s="482"/>
      <c r="N496" s="482"/>
      <c r="O496" s="481">
        <v>445</v>
      </c>
      <c r="P496" s="476">
        <f>SUM(C496:O497)</f>
        <v>4895</v>
      </c>
    </row>
    <row r="497" spans="1:16">
      <c r="A497" s="468"/>
      <c r="B497" s="471"/>
      <c r="C497" s="480"/>
      <c r="D497" s="482"/>
      <c r="E497" s="482"/>
      <c r="F497" s="482"/>
      <c r="G497" s="482"/>
      <c r="H497" s="482"/>
      <c r="I497" s="482"/>
      <c r="J497" s="482"/>
      <c r="K497" s="482"/>
      <c r="L497" s="482"/>
      <c r="M497" s="482"/>
      <c r="N497" s="482"/>
      <c r="O497" s="482"/>
      <c r="P497" s="445"/>
    </row>
    <row r="498" spans="1:16">
      <c r="A498" s="468"/>
      <c r="B498" s="86" t="s">
        <v>363</v>
      </c>
      <c r="C498" s="97">
        <v>45008</v>
      </c>
      <c r="D498" s="65">
        <v>45008</v>
      </c>
      <c r="E498" s="65">
        <v>45041</v>
      </c>
      <c r="F498" s="65">
        <v>45072</v>
      </c>
      <c r="G498" s="65">
        <v>45091</v>
      </c>
      <c r="H498" s="65">
        <v>45124</v>
      </c>
      <c r="I498" s="65">
        <v>45149</v>
      </c>
      <c r="J498" s="65">
        <v>45187</v>
      </c>
      <c r="K498" s="65">
        <v>45229</v>
      </c>
      <c r="L498" s="65">
        <v>45246</v>
      </c>
      <c r="M498" s="54"/>
      <c r="N498" s="54"/>
      <c r="O498" s="65">
        <v>45301</v>
      </c>
      <c r="P498" s="101"/>
    </row>
    <row r="499" spans="1:16">
      <c r="A499" s="501"/>
      <c r="B499" s="76" t="s">
        <v>377</v>
      </c>
      <c r="C499" s="73" t="s">
        <v>367</v>
      </c>
      <c r="D499" s="54" t="s">
        <v>368</v>
      </c>
      <c r="E499" s="54" t="s">
        <v>368</v>
      </c>
      <c r="F499" s="54" t="s">
        <v>368</v>
      </c>
      <c r="G499" s="54" t="s">
        <v>368</v>
      </c>
      <c r="H499" s="54" t="s">
        <v>368</v>
      </c>
      <c r="I499" s="54" t="s">
        <v>368</v>
      </c>
      <c r="J499" s="54" t="s">
        <v>373</v>
      </c>
      <c r="K499" s="54" t="s">
        <v>368</v>
      </c>
      <c r="L499" s="54" t="s">
        <v>368</v>
      </c>
      <c r="M499" s="54"/>
      <c r="N499" s="54"/>
      <c r="O499" s="54" t="s">
        <v>386</v>
      </c>
      <c r="P499" s="101"/>
    </row>
    <row r="500" spans="1:16" ht="15" customHeight="1">
      <c r="A500" s="467">
        <v>290</v>
      </c>
      <c r="B500" s="470" t="s">
        <v>1136</v>
      </c>
      <c r="C500" s="479">
        <v>400</v>
      </c>
      <c r="D500" s="481">
        <v>400</v>
      </c>
      <c r="E500" s="481">
        <v>400</v>
      </c>
      <c r="F500" s="481">
        <v>400</v>
      </c>
      <c r="G500" s="500">
        <v>430</v>
      </c>
      <c r="H500" s="481">
        <v>430</v>
      </c>
      <c r="I500" s="481">
        <v>430</v>
      </c>
      <c r="J500" s="481">
        <v>430</v>
      </c>
      <c r="K500" s="481">
        <v>430</v>
      </c>
      <c r="L500" s="481">
        <v>430</v>
      </c>
      <c r="M500" s="481">
        <v>430</v>
      </c>
      <c r="N500" s="481">
        <v>430</v>
      </c>
      <c r="O500" s="481">
        <v>430</v>
      </c>
      <c r="P500" s="476">
        <f>SUM(C500:O501)</f>
        <v>5470</v>
      </c>
    </row>
    <row r="501" spans="1:16" ht="21" customHeight="1">
      <c r="A501" s="468"/>
      <c r="B501" s="471"/>
      <c r="C501" s="480"/>
      <c r="D501" s="482"/>
      <c r="E501" s="482"/>
      <c r="F501" s="482"/>
      <c r="G501" s="482"/>
      <c r="H501" s="482"/>
      <c r="I501" s="482"/>
      <c r="J501" s="482"/>
      <c r="K501" s="482"/>
      <c r="L501" s="482"/>
      <c r="M501" s="482"/>
      <c r="N501" s="482"/>
      <c r="O501" s="482"/>
      <c r="P501" s="445"/>
    </row>
    <row r="502" spans="1:16">
      <c r="A502" s="468"/>
      <c r="B502" s="76" t="s">
        <v>363</v>
      </c>
      <c r="C502" s="97">
        <v>44967</v>
      </c>
      <c r="D502" s="65">
        <v>45001</v>
      </c>
      <c r="E502" s="65">
        <v>45029</v>
      </c>
      <c r="F502" s="65">
        <v>45068</v>
      </c>
      <c r="G502" s="65">
        <v>45091</v>
      </c>
      <c r="H502" s="65">
        <v>45118</v>
      </c>
      <c r="I502" s="65">
        <v>45145</v>
      </c>
      <c r="J502" s="65">
        <v>45180</v>
      </c>
      <c r="K502" s="65">
        <v>45224</v>
      </c>
      <c r="L502" s="65">
        <v>45243</v>
      </c>
      <c r="M502" s="65">
        <v>45267</v>
      </c>
      <c r="N502" s="65">
        <v>45267</v>
      </c>
      <c r="O502" s="65">
        <v>45299</v>
      </c>
      <c r="P502" s="101"/>
    </row>
    <row r="503" spans="1:16">
      <c r="A503" s="478"/>
      <c r="B503" s="76" t="s">
        <v>377</v>
      </c>
      <c r="C503" s="73" t="s">
        <v>371</v>
      </c>
      <c r="D503" s="54" t="s">
        <v>371</v>
      </c>
      <c r="E503" s="54" t="s">
        <v>371</v>
      </c>
      <c r="F503" s="54" t="s">
        <v>371</v>
      </c>
      <c r="G503" s="54" t="s">
        <v>384</v>
      </c>
      <c r="H503" s="54" t="s">
        <v>384</v>
      </c>
      <c r="I503" s="54" t="s">
        <v>373</v>
      </c>
      <c r="J503" s="54" t="s">
        <v>384</v>
      </c>
      <c r="K503" s="54" t="s">
        <v>371</v>
      </c>
      <c r="L503" s="54" t="s">
        <v>384</v>
      </c>
      <c r="M503" s="54" t="s">
        <v>384</v>
      </c>
      <c r="N503" s="54" t="s">
        <v>384</v>
      </c>
      <c r="O503" s="54" t="s">
        <v>384</v>
      </c>
      <c r="P503" s="101"/>
    </row>
    <row r="504" spans="1:16" ht="15" customHeight="1">
      <c r="A504" s="467">
        <v>293</v>
      </c>
      <c r="B504" s="470" t="s">
        <v>354</v>
      </c>
      <c r="C504" s="479">
        <v>325</v>
      </c>
      <c r="D504" s="479">
        <v>325</v>
      </c>
      <c r="E504" s="479">
        <v>325</v>
      </c>
      <c r="F504" s="479">
        <v>325</v>
      </c>
      <c r="G504" s="479">
        <v>325</v>
      </c>
      <c r="H504" s="482">
        <v>325</v>
      </c>
      <c r="I504" s="479">
        <v>325</v>
      </c>
      <c r="J504" s="479">
        <v>325</v>
      </c>
      <c r="K504" s="479">
        <v>325</v>
      </c>
      <c r="L504" s="479">
        <v>325</v>
      </c>
      <c r="M504" s="479">
        <v>325</v>
      </c>
      <c r="N504" s="479"/>
      <c r="O504" s="479">
        <v>325</v>
      </c>
      <c r="P504" s="476">
        <f>SUM(C504:O505)</f>
        <v>3900</v>
      </c>
    </row>
    <row r="505" spans="1:16">
      <c r="A505" s="468"/>
      <c r="B505" s="471"/>
      <c r="C505" s="480"/>
      <c r="D505" s="480"/>
      <c r="E505" s="480"/>
      <c r="F505" s="480"/>
      <c r="G505" s="480"/>
      <c r="H505" s="482"/>
      <c r="I505" s="480"/>
      <c r="J505" s="480"/>
      <c r="K505" s="480"/>
      <c r="L505" s="480"/>
      <c r="M505" s="480"/>
      <c r="N505" s="480"/>
      <c r="O505" s="480"/>
      <c r="P505" s="445"/>
    </row>
    <row r="506" spans="1:16">
      <c r="A506" s="468"/>
      <c r="B506" s="76" t="s">
        <v>363</v>
      </c>
      <c r="C506" s="97">
        <v>45065</v>
      </c>
      <c r="D506" s="65">
        <v>45065</v>
      </c>
      <c r="E506" s="65">
        <v>45065</v>
      </c>
      <c r="F506" s="65">
        <v>45065</v>
      </c>
      <c r="G506" s="65">
        <v>45065</v>
      </c>
      <c r="H506" s="64">
        <v>45922</v>
      </c>
      <c r="I506" s="64">
        <v>45922</v>
      </c>
      <c r="J506" s="64">
        <v>45922</v>
      </c>
      <c r="K506" s="64">
        <v>45922</v>
      </c>
      <c r="L506" s="64">
        <v>45922</v>
      </c>
      <c r="M506" s="64">
        <v>45922</v>
      </c>
      <c r="N506" s="64"/>
      <c r="O506" s="64">
        <v>45922</v>
      </c>
      <c r="P506" s="101"/>
    </row>
    <row r="507" spans="1:16">
      <c r="A507" s="478"/>
      <c r="B507" s="77" t="s">
        <v>377</v>
      </c>
      <c r="C507" s="73" t="s">
        <v>368</v>
      </c>
      <c r="D507" s="54" t="s">
        <v>368</v>
      </c>
      <c r="E507" s="54" t="s">
        <v>368</v>
      </c>
      <c r="F507" s="54" t="s">
        <v>368</v>
      </c>
      <c r="G507" s="54" t="s">
        <v>368</v>
      </c>
      <c r="H507" s="54" t="s">
        <v>384</v>
      </c>
      <c r="I507" s="54" t="s">
        <v>384</v>
      </c>
      <c r="J507" s="54" t="s">
        <v>384</v>
      </c>
      <c r="K507" s="54" t="s">
        <v>384</v>
      </c>
      <c r="L507" s="54" t="s">
        <v>384</v>
      </c>
      <c r="M507" s="54" t="s">
        <v>384</v>
      </c>
      <c r="N507" s="54"/>
      <c r="O507" s="54" t="s">
        <v>384</v>
      </c>
      <c r="P507" s="101"/>
    </row>
    <row r="508" spans="1:16" ht="15" customHeight="1">
      <c r="A508" s="467">
        <v>296</v>
      </c>
      <c r="B508" s="470" t="s">
        <v>355</v>
      </c>
      <c r="C508" s="479">
        <v>325</v>
      </c>
      <c r="D508" s="481">
        <v>320</v>
      </c>
      <c r="E508" s="481">
        <v>320</v>
      </c>
      <c r="F508" s="481">
        <v>320</v>
      </c>
      <c r="G508" s="481">
        <v>320</v>
      </c>
      <c r="H508" s="481">
        <v>320</v>
      </c>
      <c r="I508" s="481">
        <v>320</v>
      </c>
      <c r="J508" s="481">
        <v>320</v>
      </c>
      <c r="K508" s="481">
        <v>320</v>
      </c>
      <c r="L508" s="482"/>
      <c r="M508" s="482"/>
      <c r="N508" s="482"/>
      <c r="O508" s="491"/>
      <c r="P508" s="476">
        <f>SUM(C508:O509)</f>
        <v>2885</v>
      </c>
    </row>
    <row r="509" spans="1:16">
      <c r="A509" s="468"/>
      <c r="B509" s="471"/>
      <c r="C509" s="480"/>
      <c r="D509" s="482"/>
      <c r="E509" s="482"/>
      <c r="F509" s="482"/>
      <c r="G509" s="482"/>
      <c r="H509" s="482"/>
      <c r="I509" s="482"/>
      <c r="J509" s="482"/>
      <c r="K509" s="482"/>
      <c r="L509" s="482"/>
      <c r="M509" s="482"/>
      <c r="N509" s="482"/>
      <c r="O509" s="492"/>
      <c r="P509" s="445"/>
    </row>
    <row r="510" spans="1:16">
      <c r="A510" s="468"/>
      <c r="B510" s="86" t="s">
        <v>363</v>
      </c>
      <c r="C510" s="97">
        <v>45029</v>
      </c>
      <c r="D510" s="65">
        <v>45131</v>
      </c>
      <c r="E510" s="65">
        <v>45131</v>
      </c>
      <c r="F510" s="65">
        <v>45131</v>
      </c>
      <c r="G510" s="65">
        <v>45131</v>
      </c>
      <c r="H510" s="65">
        <v>45131</v>
      </c>
      <c r="I510" s="65">
        <v>45182</v>
      </c>
      <c r="J510" s="65">
        <v>45209</v>
      </c>
      <c r="K510" s="65">
        <v>45209</v>
      </c>
      <c r="L510" s="54"/>
      <c r="M510" s="54"/>
      <c r="N510" s="54"/>
      <c r="O510" s="54"/>
      <c r="P510" s="101"/>
    </row>
    <row r="511" spans="1:16">
      <c r="A511" s="478"/>
      <c r="B511" s="76" t="s">
        <v>377</v>
      </c>
      <c r="C511" s="73" t="s">
        <v>367</v>
      </c>
      <c r="D511" s="54" t="s">
        <v>368</v>
      </c>
      <c r="E511" s="54" t="s">
        <v>368</v>
      </c>
      <c r="F511" s="54" t="s">
        <v>368</v>
      </c>
      <c r="G511" s="54" t="s">
        <v>368</v>
      </c>
      <c r="H511" s="54" t="s">
        <v>368</v>
      </c>
      <c r="I511" s="54" t="s">
        <v>368</v>
      </c>
      <c r="J511" s="54" t="s">
        <v>368</v>
      </c>
      <c r="K511" s="54" t="s">
        <v>368</v>
      </c>
      <c r="L511" s="54"/>
      <c r="M511" s="54"/>
      <c r="N511" s="54"/>
      <c r="O511" s="54"/>
      <c r="P511" s="101"/>
    </row>
    <row r="512" spans="1:16" ht="15" customHeight="1">
      <c r="A512" s="467">
        <v>297</v>
      </c>
      <c r="B512" s="470" t="s">
        <v>142</v>
      </c>
      <c r="C512" s="479">
        <v>300</v>
      </c>
      <c r="D512" s="481">
        <v>300</v>
      </c>
      <c r="E512" s="481">
        <v>300</v>
      </c>
      <c r="F512" s="481">
        <v>300</v>
      </c>
      <c r="G512" s="481">
        <v>300</v>
      </c>
      <c r="H512" s="481">
        <v>300</v>
      </c>
      <c r="I512" s="481">
        <v>300</v>
      </c>
      <c r="J512" s="481">
        <v>300</v>
      </c>
      <c r="K512" s="481">
        <v>300</v>
      </c>
      <c r="L512" s="481">
        <v>300</v>
      </c>
      <c r="M512" s="481">
        <v>300</v>
      </c>
      <c r="N512" s="481">
        <v>300</v>
      </c>
      <c r="O512" s="481">
        <v>300</v>
      </c>
      <c r="P512" s="476">
        <f>SUM(C512:O513)</f>
        <v>3900</v>
      </c>
    </row>
    <row r="513" spans="1:16">
      <c r="A513" s="468"/>
      <c r="B513" s="471"/>
      <c r="C513" s="480"/>
      <c r="D513" s="482"/>
      <c r="E513" s="482"/>
      <c r="F513" s="482"/>
      <c r="G513" s="482"/>
      <c r="H513" s="482"/>
      <c r="I513" s="482"/>
      <c r="J513" s="482"/>
      <c r="K513" s="482"/>
      <c r="L513" s="482"/>
      <c r="M513" s="482"/>
      <c r="N513" s="482"/>
      <c r="O513" s="482"/>
      <c r="P513" s="445"/>
    </row>
    <row r="514" spans="1:16">
      <c r="A514" s="468"/>
      <c r="B514" s="74" t="s">
        <v>363</v>
      </c>
      <c r="C514" s="97">
        <v>44967</v>
      </c>
      <c r="D514" s="65">
        <v>44999</v>
      </c>
      <c r="E514" s="65">
        <v>45020</v>
      </c>
      <c r="F514" s="65">
        <v>45062</v>
      </c>
      <c r="G514" s="65">
        <v>45089</v>
      </c>
      <c r="H514" s="65">
        <v>45117</v>
      </c>
      <c r="I514" s="65">
        <v>45145</v>
      </c>
      <c r="J514" s="65">
        <v>45173</v>
      </c>
      <c r="K514" s="65">
        <v>45204</v>
      </c>
      <c r="L514" s="65">
        <v>45239</v>
      </c>
      <c r="M514" s="65">
        <v>45267</v>
      </c>
      <c r="N514" s="65">
        <v>45267</v>
      </c>
      <c r="O514" s="65">
        <v>45299</v>
      </c>
      <c r="P514" s="101"/>
    </row>
    <row r="515" spans="1:16">
      <c r="A515" s="501"/>
      <c r="B515" s="85" t="s">
        <v>377</v>
      </c>
      <c r="C515" s="73" t="s">
        <v>371</v>
      </c>
      <c r="D515" s="54" t="s">
        <v>371</v>
      </c>
      <c r="E515" s="54" t="s">
        <v>371</v>
      </c>
      <c r="F515" s="54" t="s">
        <v>371</v>
      </c>
      <c r="G515" s="54" t="s">
        <v>384</v>
      </c>
      <c r="H515" s="54" t="s">
        <v>384</v>
      </c>
      <c r="I515" s="54" t="s">
        <v>373</v>
      </c>
      <c r="J515" s="54" t="s">
        <v>373</v>
      </c>
      <c r="K515" s="54" t="s">
        <v>373</v>
      </c>
      <c r="L515" s="54" t="s">
        <v>371</v>
      </c>
      <c r="M515" s="54" t="s">
        <v>384</v>
      </c>
      <c r="N515" s="54" t="s">
        <v>384</v>
      </c>
      <c r="O515" s="54" t="s">
        <v>384</v>
      </c>
      <c r="P515" s="101"/>
    </row>
    <row r="516" spans="1:16">
      <c r="A516" s="467">
        <v>298</v>
      </c>
      <c r="B516" s="470" t="s">
        <v>269</v>
      </c>
      <c r="C516" s="479">
        <v>560</v>
      </c>
      <c r="D516" s="481">
        <v>560</v>
      </c>
      <c r="E516" s="481">
        <v>560</v>
      </c>
      <c r="F516" s="481">
        <v>560</v>
      </c>
      <c r="G516" s="481">
        <v>560</v>
      </c>
      <c r="H516" s="481">
        <v>560</v>
      </c>
      <c r="I516" s="482">
        <v>560</v>
      </c>
      <c r="J516" s="481">
        <v>560</v>
      </c>
      <c r="K516" s="481">
        <v>560</v>
      </c>
      <c r="L516" s="481">
        <v>560</v>
      </c>
      <c r="M516" s="481">
        <v>560</v>
      </c>
      <c r="N516" s="481">
        <v>560</v>
      </c>
      <c r="O516" s="481">
        <v>560</v>
      </c>
      <c r="P516" s="476">
        <f>SUM(C516:O517)</f>
        <v>7280</v>
      </c>
    </row>
    <row r="517" spans="1:16">
      <c r="A517" s="468"/>
      <c r="B517" s="471"/>
      <c r="C517" s="480"/>
      <c r="D517" s="482"/>
      <c r="E517" s="482"/>
      <c r="F517" s="482"/>
      <c r="G517" s="482"/>
      <c r="H517" s="482"/>
      <c r="I517" s="482"/>
      <c r="J517" s="482"/>
      <c r="K517" s="482"/>
      <c r="L517" s="482"/>
      <c r="M517" s="482"/>
      <c r="N517" s="482"/>
      <c r="O517" s="482"/>
      <c r="P517" s="445"/>
    </row>
    <row r="518" spans="1:16">
      <c r="A518" s="468"/>
      <c r="B518" s="86" t="s">
        <v>363</v>
      </c>
      <c r="C518" s="97">
        <v>44972</v>
      </c>
      <c r="D518" s="65">
        <v>44999</v>
      </c>
      <c r="E518" s="65">
        <v>45030</v>
      </c>
      <c r="F518" s="65">
        <v>45061</v>
      </c>
      <c r="G518" s="65">
        <v>45091</v>
      </c>
      <c r="H518" s="65">
        <v>45119</v>
      </c>
      <c r="I518" s="54" t="s">
        <v>1305</v>
      </c>
      <c r="J518" s="65">
        <v>45184</v>
      </c>
      <c r="K518" s="65">
        <v>45210</v>
      </c>
      <c r="L518" s="65">
        <v>45243</v>
      </c>
      <c r="M518" s="54" t="s">
        <v>998</v>
      </c>
      <c r="N518" s="54" t="s">
        <v>998</v>
      </c>
      <c r="O518" s="66">
        <v>45261</v>
      </c>
      <c r="P518" s="101"/>
    </row>
    <row r="519" spans="1:16">
      <c r="A519" s="501"/>
      <c r="B519" s="76" t="s">
        <v>377</v>
      </c>
      <c r="C519" s="73" t="s">
        <v>368</v>
      </c>
      <c r="D519" s="54" t="s">
        <v>373</v>
      </c>
      <c r="E519" s="54" t="s">
        <v>368</v>
      </c>
      <c r="F519" s="54" t="s">
        <v>368</v>
      </c>
      <c r="G519" s="54" t="s">
        <v>368</v>
      </c>
      <c r="H519" s="54" t="s">
        <v>368</v>
      </c>
      <c r="I519" s="54"/>
      <c r="J519" s="54" t="s">
        <v>368</v>
      </c>
      <c r="K519" s="54" t="s">
        <v>368</v>
      </c>
      <c r="L519" s="54" t="s">
        <v>367</v>
      </c>
      <c r="M519" s="54" t="s">
        <v>386</v>
      </c>
      <c r="N519" s="54" t="s">
        <v>386</v>
      </c>
      <c r="O519" s="54" t="s">
        <v>386</v>
      </c>
      <c r="P519" s="101"/>
    </row>
    <row r="520" spans="1:16">
      <c r="A520" s="496">
        <v>314</v>
      </c>
      <c r="B520" s="470" t="s">
        <v>376</v>
      </c>
      <c r="C520" s="569" t="s">
        <v>998</v>
      </c>
      <c r="D520" s="483">
        <v>200</v>
      </c>
      <c r="E520" s="483">
        <v>200</v>
      </c>
      <c r="F520" s="676">
        <v>200</v>
      </c>
      <c r="G520" s="483">
        <v>200</v>
      </c>
      <c r="H520" s="483">
        <v>200</v>
      </c>
      <c r="I520" s="483">
        <v>200</v>
      </c>
      <c r="J520" s="483">
        <v>200</v>
      </c>
      <c r="K520" s="483">
        <v>200</v>
      </c>
      <c r="L520" s="483">
        <v>200</v>
      </c>
      <c r="M520" s="491"/>
      <c r="N520" s="491"/>
      <c r="O520" s="483">
        <v>200</v>
      </c>
      <c r="P520" s="476">
        <f>SUM(C520:O521)</f>
        <v>2000</v>
      </c>
    </row>
    <row r="521" spans="1:16">
      <c r="A521" s="496"/>
      <c r="B521" s="471"/>
      <c r="C521" s="570"/>
      <c r="D521" s="492"/>
      <c r="E521" s="492"/>
      <c r="F521" s="677"/>
      <c r="G521" s="492"/>
      <c r="H521" s="492"/>
      <c r="I521" s="492"/>
      <c r="J521" s="492"/>
      <c r="K521" s="492"/>
      <c r="L521" s="492"/>
      <c r="M521" s="492"/>
      <c r="N521" s="492"/>
      <c r="O521" s="492"/>
      <c r="P521" s="445"/>
    </row>
    <row r="522" spans="1:16">
      <c r="A522" s="496"/>
      <c r="B522" s="86" t="s">
        <v>363</v>
      </c>
      <c r="C522" s="73" t="s">
        <v>998</v>
      </c>
      <c r="D522" s="65">
        <v>44991</v>
      </c>
      <c r="E522" s="65">
        <v>45026</v>
      </c>
      <c r="F522" s="65">
        <v>45054</v>
      </c>
      <c r="G522" s="65">
        <v>45083</v>
      </c>
      <c r="H522" s="65">
        <v>45112</v>
      </c>
      <c r="I522" s="65">
        <v>45145</v>
      </c>
      <c r="J522" s="65">
        <v>45175</v>
      </c>
      <c r="K522" s="65">
        <v>45209</v>
      </c>
      <c r="L522" s="65">
        <v>45244</v>
      </c>
      <c r="M522" s="54"/>
      <c r="N522" s="54"/>
      <c r="O522" s="65">
        <v>45299</v>
      </c>
      <c r="P522" s="101"/>
    </row>
    <row r="523" spans="1:16">
      <c r="A523" s="471"/>
      <c r="B523" s="86" t="s">
        <v>377</v>
      </c>
      <c r="C523" s="73" t="s">
        <v>998</v>
      </c>
      <c r="D523" s="54" t="s">
        <v>368</v>
      </c>
      <c r="E523" s="54" t="s">
        <v>368</v>
      </c>
      <c r="F523" s="54" t="s">
        <v>368</v>
      </c>
      <c r="G523" s="65" t="s">
        <v>368</v>
      </c>
      <c r="H523" s="54" t="s">
        <v>368</v>
      </c>
      <c r="I523" s="54" t="s">
        <v>368</v>
      </c>
      <c r="J523" s="54" t="s">
        <v>368</v>
      </c>
      <c r="K523" s="54" t="s">
        <v>368</v>
      </c>
      <c r="L523" s="54" t="s">
        <v>368</v>
      </c>
      <c r="M523" s="54"/>
      <c r="N523" s="54"/>
      <c r="O523" s="54" t="s">
        <v>386</v>
      </c>
      <c r="P523" s="101"/>
    </row>
    <row r="524" spans="1:16" ht="15" customHeight="1">
      <c r="A524" s="467">
        <v>315</v>
      </c>
      <c r="B524" s="470" t="s">
        <v>356</v>
      </c>
      <c r="C524" s="528">
        <v>300</v>
      </c>
      <c r="D524" s="481">
        <v>300</v>
      </c>
      <c r="E524" s="481">
        <v>300</v>
      </c>
      <c r="F524" s="481">
        <v>300</v>
      </c>
      <c r="G524" s="481">
        <v>300</v>
      </c>
      <c r="H524" s="481">
        <v>300</v>
      </c>
      <c r="I524" s="481">
        <v>300</v>
      </c>
      <c r="J524" s="481">
        <v>300</v>
      </c>
      <c r="K524" s="481">
        <v>300</v>
      </c>
      <c r="L524" s="482">
        <v>300</v>
      </c>
      <c r="M524" s="482">
        <v>300</v>
      </c>
      <c r="N524" s="482"/>
      <c r="O524" s="491">
        <v>300</v>
      </c>
      <c r="P524" s="476">
        <f>SUM(C524:O525)</f>
        <v>3600</v>
      </c>
    </row>
    <row r="525" spans="1:16">
      <c r="A525" s="468"/>
      <c r="B525" s="471"/>
      <c r="C525" s="529"/>
      <c r="D525" s="482"/>
      <c r="E525" s="482"/>
      <c r="F525" s="482"/>
      <c r="G525" s="482"/>
      <c r="H525" s="482"/>
      <c r="I525" s="482"/>
      <c r="J525" s="482"/>
      <c r="K525" s="482"/>
      <c r="L525" s="482"/>
      <c r="M525" s="482"/>
      <c r="N525" s="482"/>
      <c r="O525" s="492"/>
      <c r="P525" s="445"/>
    </row>
    <row r="526" spans="1:16">
      <c r="A526" s="468"/>
      <c r="B526" s="86" t="s">
        <v>363</v>
      </c>
      <c r="C526" s="97">
        <v>45033</v>
      </c>
      <c r="D526" s="65">
        <v>45033</v>
      </c>
      <c r="E526" s="65">
        <v>45077</v>
      </c>
      <c r="F526" s="66">
        <v>45017</v>
      </c>
      <c r="G526" s="65">
        <v>45153</v>
      </c>
      <c r="H526" s="65">
        <v>45215</v>
      </c>
      <c r="I526" s="65">
        <v>45631</v>
      </c>
      <c r="J526" s="65">
        <v>45631</v>
      </c>
      <c r="K526" s="65">
        <v>45299</v>
      </c>
      <c r="L526" s="64">
        <v>45399</v>
      </c>
      <c r="M526" s="64">
        <v>45399</v>
      </c>
      <c r="N526" s="54"/>
      <c r="O526" s="65">
        <v>45457</v>
      </c>
      <c r="P526" s="101"/>
    </row>
    <row r="527" spans="1:16">
      <c r="A527" s="478"/>
      <c r="B527" s="76" t="s">
        <v>377</v>
      </c>
      <c r="C527" s="73" t="s">
        <v>368</v>
      </c>
      <c r="D527" s="54" t="s">
        <v>368</v>
      </c>
      <c r="E527" s="54" t="s">
        <v>368</v>
      </c>
      <c r="F527" s="54" t="s">
        <v>373</v>
      </c>
      <c r="G527" s="54" t="s">
        <v>368</v>
      </c>
      <c r="H527" s="54" t="s">
        <v>373</v>
      </c>
      <c r="I527" s="54" t="s">
        <v>373</v>
      </c>
      <c r="J527" s="54" t="s">
        <v>373</v>
      </c>
      <c r="K527" s="54" t="s">
        <v>373</v>
      </c>
      <c r="L527" s="54" t="s">
        <v>374</v>
      </c>
      <c r="M527" s="54" t="s">
        <v>385</v>
      </c>
      <c r="N527" s="54"/>
      <c r="O527" s="54" t="s">
        <v>368</v>
      </c>
      <c r="P527" s="101"/>
    </row>
    <row r="528" spans="1:16" ht="15" customHeight="1">
      <c r="A528" s="485">
        <v>319</v>
      </c>
      <c r="B528" s="470" t="s">
        <v>357</v>
      </c>
      <c r="C528" s="479">
        <v>280</v>
      </c>
      <c r="D528" s="481">
        <v>280</v>
      </c>
      <c r="E528" s="481">
        <v>280</v>
      </c>
      <c r="F528" s="481">
        <v>280</v>
      </c>
      <c r="G528" s="481">
        <v>280</v>
      </c>
      <c r="H528" s="481">
        <v>280</v>
      </c>
      <c r="I528" s="481">
        <v>280</v>
      </c>
      <c r="J528" s="481">
        <v>280</v>
      </c>
      <c r="K528" s="481">
        <v>280</v>
      </c>
      <c r="L528" s="481">
        <v>280</v>
      </c>
      <c r="M528" s="481">
        <v>280</v>
      </c>
      <c r="N528" s="481">
        <v>280</v>
      </c>
      <c r="O528" s="491"/>
      <c r="P528" s="476">
        <f>SUM(C528:O529)</f>
        <v>3360</v>
      </c>
    </row>
    <row r="529" spans="1:16">
      <c r="A529" s="468"/>
      <c r="B529" s="471"/>
      <c r="C529" s="480"/>
      <c r="D529" s="482"/>
      <c r="E529" s="482"/>
      <c r="F529" s="482"/>
      <c r="G529" s="482"/>
      <c r="H529" s="482"/>
      <c r="I529" s="482"/>
      <c r="J529" s="482"/>
      <c r="K529" s="482"/>
      <c r="L529" s="482"/>
      <c r="M529" s="482"/>
      <c r="N529" s="482"/>
      <c r="O529" s="492"/>
      <c r="P529" s="445"/>
    </row>
    <row r="530" spans="1:16">
      <c r="A530" s="468"/>
      <c r="B530" s="86" t="s">
        <v>363</v>
      </c>
      <c r="C530" s="97">
        <v>44970</v>
      </c>
      <c r="D530" s="65">
        <v>44994</v>
      </c>
      <c r="E530" s="65">
        <v>45022</v>
      </c>
      <c r="F530" s="65">
        <v>45075</v>
      </c>
      <c r="G530" s="65">
        <v>45089</v>
      </c>
      <c r="H530" s="65">
        <v>45124</v>
      </c>
      <c r="I530" s="65">
        <v>45146</v>
      </c>
      <c r="J530" s="65">
        <v>45180</v>
      </c>
      <c r="K530" s="65">
        <v>45204</v>
      </c>
      <c r="L530" s="65">
        <v>45233</v>
      </c>
      <c r="M530" s="65">
        <v>45630</v>
      </c>
      <c r="N530" s="65">
        <v>45630</v>
      </c>
      <c r="O530" s="54"/>
      <c r="P530" s="101"/>
    </row>
    <row r="531" spans="1:16">
      <c r="A531" s="501"/>
      <c r="B531" s="76" t="s">
        <v>377</v>
      </c>
      <c r="C531" s="73" t="s">
        <v>371</v>
      </c>
      <c r="D531" s="54" t="s">
        <v>1056</v>
      </c>
      <c r="E531" s="54" t="s">
        <v>381</v>
      </c>
      <c r="F531" s="54" t="s">
        <v>368</v>
      </c>
      <c r="G531" s="54" t="s">
        <v>371</v>
      </c>
      <c r="H531" s="54" t="s">
        <v>384</v>
      </c>
      <c r="I531" s="54" t="s">
        <v>373</v>
      </c>
      <c r="J531" s="54" t="s">
        <v>384</v>
      </c>
      <c r="K531" s="54" t="s">
        <v>373</v>
      </c>
      <c r="L531" s="54" t="s">
        <v>384</v>
      </c>
      <c r="M531" s="54" t="s">
        <v>386</v>
      </c>
      <c r="N531" s="54" t="s">
        <v>386</v>
      </c>
      <c r="O531" s="54"/>
      <c r="P531" s="101"/>
    </row>
    <row r="532" spans="1:16" ht="15" customHeight="1">
      <c r="A532" s="467">
        <v>338</v>
      </c>
      <c r="B532" s="470" t="s">
        <v>358</v>
      </c>
      <c r="C532" s="479">
        <v>520</v>
      </c>
      <c r="D532" s="481">
        <v>520</v>
      </c>
      <c r="E532" s="481">
        <v>520</v>
      </c>
      <c r="F532" s="481">
        <v>520</v>
      </c>
      <c r="G532" s="481">
        <v>520</v>
      </c>
      <c r="H532" s="481">
        <v>520</v>
      </c>
      <c r="I532" s="481">
        <v>520</v>
      </c>
      <c r="J532" s="481">
        <v>520</v>
      </c>
      <c r="K532" s="481">
        <v>520</v>
      </c>
      <c r="L532" s="483">
        <v>520</v>
      </c>
      <c r="M532" s="481">
        <v>520</v>
      </c>
      <c r="N532" s="481">
        <v>520</v>
      </c>
      <c r="O532" s="481">
        <v>520</v>
      </c>
      <c r="P532" s="476">
        <f>SUM(C532:O533)</f>
        <v>6760</v>
      </c>
    </row>
    <row r="533" spans="1:16">
      <c r="A533" s="468"/>
      <c r="B533" s="471"/>
      <c r="C533" s="480"/>
      <c r="D533" s="482"/>
      <c r="E533" s="482"/>
      <c r="F533" s="482"/>
      <c r="G533" s="482"/>
      <c r="H533" s="482"/>
      <c r="I533" s="482"/>
      <c r="J533" s="482"/>
      <c r="K533" s="482"/>
      <c r="L533" s="484"/>
      <c r="M533" s="482"/>
      <c r="N533" s="482"/>
      <c r="O533" s="482"/>
      <c r="P533" s="445"/>
    </row>
    <row r="534" spans="1:16">
      <c r="A534" s="468"/>
      <c r="B534" s="86" t="s">
        <v>363</v>
      </c>
      <c r="C534" s="97">
        <v>44974</v>
      </c>
      <c r="D534" s="65">
        <v>45064</v>
      </c>
      <c r="E534" s="65">
        <v>45064</v>
      </c>
      <c r="F534" s="65">
        <v>45064</v>
      </c>
      <c r="G534" s="65">
        <v>45159</v>
      </c>
      <c r="H534" s="64">
        <v>45309</v>
      </c>
      <c r="I534" s="64">
        <v>45309</v>
      </c>
      <c r="J534" s="64">
        <v>45309</v>
      </c>
      <c r="K534" s="64">
        <v>45309</v>
      </c>
      <c r="L534" s="65">
        <v>45644</v>
      </c>
      <c r="M534" s="64">
        <v>45309</v>
      </c>
      <c r="N534" s="64">
        <v>45309</v>
      </c>
      <c r="O534" s="64">
        <v>45309</v>
      </c>
      <c r="P534" s="101"/>
    </row>
    <row r="535" spans="1:16">
      <c r="A535" s="501"/>
      <c r="B535" s="76" t="s">
        <v>377</v>
      </c>
      <c r="C535" s="73" t="s">
        <v>368</v>
      </c>
      <c r="D535" s="54" t="s">
        <v>368</v>
      </c>
      <c r="E535" s="54" t="s">
        <v>368</v>
      </c>
      <c r="F535" s="54" t="s">
        <v>368</v>
      </c>
      <c r="G535" s="54" t="s">
        <v>368</v>
      </c>
      <c r="H535" s="54" t="s">
        <v>1135</v>
      </c>
      <c r="I535" s="54" t="s">
        <v>1135</v>
      </c>
      <c r="J535" s="54" t="s">
        <v>1135</v>
      </c>
      <c r="K535" s="54" t="s">
        <v>1135</v>
      </c>
      <c r="L535" s="54" t="s">
        <v>1135</v>
      </c>
      <c r="M535" s="54" t="s">
        <v>1135</v>
      </c>
      <c r="N535" s="54" t="s">
        <v>1135</v>
      </c>
      <c r="O535" s="54" t="s">
        <v>1135</v>
      </c>
      <c r="P535" s="101"/>
    </row>
    <row r="536" spans="1:16" ht="15" customHeight="1">
      <c r="A536" s="467">
        <v>344</v>
      </c>
      <c r="B536" s="470" t="s">
        <v>273</v>
      </c>
      <c r="C536" s="479">
        <v>450</v>
      </c>
      <c r="D536" s="481">
        <v>450</v>
      </c>
      <c r="E536" s="481">
        <v>450</v>
      </c>
      <c r="F536" s="481">
        <v>450</v>
      </c>
      <c r="G536" s="481">
        <v>450</v>
      </c>
      <c r="H536" s="481">
        <v>450</v>
      </c>
      <c r="I536" s="481">
        <v>450</v>
      </c>
      <c r="J536" s="481">
        <v>450</v>
      </c>
      <c r="K536" s="481">
        <v>450</v>
      </c>
      <c r="L536" s="481">
        <v>450</v>
      </c>
      <c r="M536" s="481">
        <v>450</v>
      </c>
      <c r="N536" s="481">
        <v>450</v>
      </c>
      <c r="O536" s="481">
        <v>450</v>
      </c>
      <c r="P536" s="476">
        <f>SUM(C536:O537)</f>
        <v>5850</v>
      </c>
    </row>
    <row r="537" spans="1:16">
      <c r="A537" s="468"/>
      <c r="B537" s="496"/>
      <c r="C537" s="480"/>
      <c r="D537" s="482"/>
      <c r="E537" s="482"/>
      <c r="F537" s="482"/>
      <c r="G537" s="482"/>
      <c r="H537" s="482"/>
      <c r="I537" s="482"/>
      <c r="J537" s="482"/>
      <c r="K537" s="482"/>
      <c r="L537" s="482"/>
      <c r="M537" s="482"/>
      <c r="N537" s="482"/>
      <c r="O537" s="482"/>
      <c r="P537" s="445"/>
    </row>
    <row r="538" spans="1:16">
      <c r="A538" s="468"/>
      <c r="B538" s="86" t="s">
        <v>363</v>
      </c>
      <c r="C538" s="97">
        <v>44964</v>
      </c>
      <c r="D538" s="65">
        <v>44991</v>
      </c>
      <c r="E538" s="65">
        <v>45020</v>
      </c>
      <c r="F538" s="65">
        <v>45055</v>
      </c>
      <c r="G538" s="65">
        <v>45083</v>
      </c>
      <c r="H538" s="65">
        <v>45114</v>
      </c>
      <c r="I538" s="65">
        <v>45146</v>
      </c>
      <c r="J538" s="65">
        <v>45175</v>
      </c>
      <c r="K538" s="65">
        <v>45208</v>
      </c>
      <c r="L538" s="65">
        <v>45239</v>
      </c>
      <c r="M538" s="65">
        <v>45267</v>
      </c>
      <c r="N538" s="65">
        <v>45267</v>
      </c>
      <c r="O538" s="64">
        <v>45295</v>
      </c>
      <c r="P538" s="101"/>
    </row>
    <row r="539" spans="1:16">
      <c r="A539" s="501"/>
      <c r="B539" s="76" t="s">
        <v>377</v>
      </c>
      <c r="C539" s="73" t="s">
        <v>372</v>
      </c>
      <c r="D539" s="54" t="s">
        <v>371</v>
      </c>
      <c r="E539" s="54" t="s">
        <v>371</v>
      </c>
      <c r="F539" s="54" t="s">
        <v>371</v>
      </c>
      <c r="G539" s="54" t="s">
        <v>371</v>
      </c>
      <c r="H539" s="54" t="s">
        <v>373</v>
      </c>
      <c r="I539" s="54" t="s">
        <v>373</v>
      </c>
      <c r="J539" s="54" t="s">
        <v>384</v>
      </c>
      <c r="K539" s="54" t="s">
        <v>373</v>
      </c>
      <c r="L539" s="54" t="s">
        <v>371</v>
      </c>
      <c r="M539" s="54" t="s">
        <v>384</v>
      </c>
      <c r="N539" s="54" t="s">
        <v>384</v>
      </c>
      <c r="O539" s="54" t="s">
        <v>1135</v>
      </c>
      <c r="P539" s="101"/>
    </row>
    <row r="540" spans="1:16">
      <c r="A540" s="467">
        <v>352</v>
      </c>
      <c r="B540" s="470" t="s">
        <v>359</v>
      </c>
      <c r="C540" s="479">
        <v>1300</v>
      </c>
      <c r="D540" s="481">
        <v>1300</v>
      </c>
      <c r="E540" s="481">
        <v>1300</v>
      </c>
      <c r="F540" s="481">
        <v>1300</v>
      </c>
      <c r="G540" s="481">
        <v>1300</v>
      </c>
      <c r="H540" s="481">
        <v>650</v>
      </c>
      <c r="I540" s="482" t="s">
        <v>998</v>
      </c>
      <c r="J540" s="482" t="s">
        <v>998</v>
      </c>
      <c r="K540" s="482" t="s">
        <v>998</v>
      </c>
      <c r="L540" s="482" t="s">
        <v>998</v>
      </c>
      <c r="M540" s="482" t="s">
        <v>998</v>
      </c>
      <c r="N540" s="482" t="s">
        <v>998</v>
      </c>
      <c r="O540" s="482" t="s">
        <v>998</v>
      </c>
      <c r="P540" s="476">
        <f>SUM(C540:O541)</f>
        <v>7150</v>
      </c>
    </row>
    <row r="541" spans="1:16">
      <c r="A541" s="468"/>
      <c r="B541" s="471"/>
      <c r="C541" s="480"/>
      <c r="D541" s="482"/>
      <c r="E541" s="482"/>
      <c r="F541" s="482"/>
      <c r="G541" s="482"/>
      <c r="H541" s="482"/>
      <c r="I541" s="482"/>
      <c r="J541" s="482"/>
      <c r="K541" s="482"/>
      <c r="L541" s="482"/>
      <c r="M541" s="482"/>
      <c r="N541" s="482"/>
      <c r="O541" s="482"/>
      <c r="P541" s="445"/>
    </row>
    <row r="542" spans="1:16">
      <c r="A542" s="468"/>
      <c r="B542" s="87" t="s">
        <v>363</v>
      </c>
      <c r="C542" s="65">
        <v>44964</v>
      </c>
      <c r="D542" s="65">
        <v>44998</v>
      </c>
      <c r="E542" s="65">
        <v>45021</v>
      </c>
      <c r="F542" s="54" t="s">
        <v>998</v>
      </c>
      <c r="G542" s="65">
        <v>45083</v>
      </c>
      <c r="H542" s="65">
        <v>45106</v>
      </c>
      <c r="I542" s="54" t="s">
        <v>998</v>
      </c>
      <c r="J542" s="54" t="s">
        <v>998</v>
      </c>
      <c r="K542" s="54" t="s">
        <v>998</v>
      </c>
      <c r="L542" s="54" t="s">
        <v>998</v>
      </c>
      <c r="M542" s="54" t="s">
        <v>998</v>
      </c>
      <c r="N542" s="54" t="s">
        <v>998</v>
      </c>
      <c r="O542" s="54" t="s">
        <v>998</v>
      </c>
      <c r="P542" s="101"/>
    </row>
    <row r="543" spans="1:16">
      <c r="A543" s="478"/>
      <c r="B543" s="84" t="s">
        <v>377</v>
      </c>
      <c r="C543" s="54" t="s">
        <v>384</v>
      </c>
      <c r="D543" s="54" t="s">
        <v>371</v>
      </c>
      <c r="E543" s="54" t="s">
        <v>371</v>
      </c>
      <c r="F543" s="54" t="s">
        <v>371</v>
      </c>
      <c r="G543" s="54" t="s">
        <v>384</v>
      </c>
      <c r="H543" s="54" t="s">
        <v>373</v>
      </c>
      <c r="I543" s="54" t="s">
        <v>998</v>
      </c>
      <c r="J543" s="54" t="s">
        <v>998</v>
      </c>
      <c r="K543" s="54" t="s">
        <v>998</v>
      </c>
      <c r="L543" s="54" t="s">
        <v>998</v>
      </c>
      <c r="M543" s="54" t="s">
        <v>998</v>
      </c>
      <c r="N543" s="54" t="s">
        <v>998</v>
      </c>
      <c r="O543" s="54" t="s">
        <v>998</v>
      </c>
      <c r="P543" s="101"/>
    </row>
    <row r="544" spans="1:16" ht="15" customHeight="1">
      <c r="A544" s="485">
        <v>451</v>
      </c>
      <c r="B544" s="470" t="s">
        <v>360</v>
      </c>
      <c r="C544" s="479"/>
      <c r="D544" s="479">
        <v>125</v>
      </c>
      <c r="E544" s="481">
        <v>125</v>
      </c>
      <c r="F544" s="481">
        <v>125</v>
      </c>
      <c r="G544" s="482"/>
      <c r="H544" s="481">
        <v>125</v>
      </c>
      <c r="I544" s="482"/>
      <c r="J544" s="482"/>
      <c r="K544" s="481">
        <v>125</v>
      </c>
      <c r="L544" s="481">
        <v>125</v>
      </c>
      <c r="M544" s="481">
        <v>125</v>
      </c>
      <c r="N544" s="481">
        <v>125</v>
      </c>
      <c r="O544" s="481">
        <v>125</v>
      </c>
      <c r="P544" s="476">
        <f>SUM(C544:O545)</f>
        <v>1125</v>
      </c>
    </row>
    <row r="545" spans="1:16">
      <c r="A545" s="468"/>
      <c r="B545" s="471"/>
      <c r="C545" s="480"/>
      <c r="D545" s="480"/>
      <c r="E545" s="482"/>
      <c r="F545" s="482"/>
      <c r="G545" s="482"/>
      <c r="H545" s="482"/>
      <c r="I545" s="482"/>
      <c r="J545" s="482"/>
      <c r="K545" s="482"/>
      <c r="L545" s="482"/>
      <c r="M545" s="482"/>
      <c r="N545" s="482"/>
      <c r="O545" s="482"/>
      <c r="P545" s="445"/>
    </row>
    <row r="546" spans="1:16">
      <c r="A546" s="468"/>
      <c r="B546" s="76" t="s">
        <v>363</v>
      </c>
      <c r="C546" s="97"/>
      <c r="D546" s="97">
        <v>44959</v>
      </c>
      <c r="E546" s="65">
        <v>45021</v>
      </c>
      <c r="F546" s="65">
        <v>45051</v>
      </c>
      <c r="G546" s="54"/>
      <c r="H546" s="65">
        <v>45111</v>
      </c>
      <c r="I546" s="54"/>
      <c r="J546" s="54"/>
      <c r="K546" s="65">
        <v>45204</v>
      </c>
      <c r="L546" s="65">
        <v>45233</v>
      </c>
      <c r="M546" s="65">
        <v>45257</v>
      </c>
      <c r="N546" s="65">
        <v>45257</v>
      </c>
      <c r="O546" s="65">
        <v>45293</v>
      </c>
      <c r="P546" s="101"/>
    </row>
    <row r="547" spans="1:16">
      <c r="A547" s="478"/>
      <c r="B547" s="77" t="s">
        <v>377</v>
      </c>
      <c r="C547" s="73"/>
      <c r="D547" s="73" t="s">
        <v>368</v>
      </c>
      <c r="E547" s="54" t="s">
        <v>367</v>
      </c>
      <c r="F547" s="54" t="s">
        <v>368</v>
      </c>
      <c r="G547" s="54"/>
      <c r="H547" s="54" t="s">
        <v>368</v>
      </c>
      <c r="I547" s="54"/>
      <c r="J547" s="54"/>
      <c r="K547" s="54" t="s">
        <v>386</v>
      </c>
      <c r="L547" s="54" t="s">
        <v>368</v>
      </c>
      <c r="M547" s="54" t="s">
        <v>386</v>
      </c>
      <c r="N547" s="54" t="s">
        <v>386</v>
      </c>
      <c r="O547" s="54" t="s">
        <v>386</v>
      </c>
      <c r="P547" s="101"/>
    </row>
    <row r="548" spans="1:16" ht="15" customHeight="1">
      <c r="A548" s="470">
        <v>483</v>
      </c>
      <c r="B548" s="470" t="s">
        <v>275</v>
      </c>
      <c r="C548" s="569"/>
      <c r="D548" s="491"/>
      <c r="E548" s="491"/>
      <c r="F548" s="491"/>
      <c r="G548" s="491"/>
      <c r="H548" s="491"/>
      <c r="I548" s="491"/>
      <c r="J548" s="491"/>
      <c r="K548" s="491"/>
      <c r="L548" s="491"/>
      <c r="M548" s="491"/>
      <c r="N548" s="491"/>
      <c r="O548" s="491"/>
      <c r="P548" s="493">
        <f>SUM(C548:O549)</f>
        <v>0</v>
      </c>
    </row>
    <row r="549" spans="1:16">
      <c r="A549" s="496"/>
      <c r="B549" s="471"/>
      <c r="C549" s="570"/>
      <c r="D549" s="492"/>
      <c r="E549" s="492"/>
      <c r="F549" s="492"/>
      <c r="G549" s="492"/>
      <c r="H549" s="492"/>
      <c r="I549" s="492"/>
      <c r="J549" s="492"/>
      <c r="K549" s="492"/>
      <c r="L549" s="492"/>
      <c r="M549" s="492"/>
      <c r="N549" s="492"/>
      <c r="O549" s="492"/>
      <c r="P549" s="494"/>
    </row>
    <row r="550" spans="1:16">
      <c r="A550" s="496"/>
      <c r="B550" s="86" t="s">
        <v>363</v>
      </c>
      <c r="C550" s="73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101"/>
    </row>
    <row r="551" spans="1:16">
      <c r="A551" s="471"/>
      <c r="B551" s="76" t="s">
        <v>377</v>
      </c>
      <c r="C551" s="73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101"/>
    </row>
    <row r="552" spans="1:16" ht="15" customHeight="1">
      <c r="A552" s="470">
        <v>513</v>
      </c>
      <c r="B552" s="470" t="s">
        <v>276</v>
      </c>
      <c r="C552" s="569"/>
      <c r="D552" s="491"/>
      <c r="E552" s="491"/>
      <c r="F552" s="491"/>
      <c r="G552" s="491"/>
      <c r="H552" s="491"/>
      <c r="I552" s="491"/>
      <c r="J552" s="491"/>
      <c r="K552" s="491"/>
      <c r="L552" s="491"/>
      <c r="M552" s="491"/>
      <c r="N552" s="491"/>
      <c r="O552" s="491"/>
      <c r="P552" s="493">
        <f>SUM(C552:O553)</f>
        <v>0</v>
      </c>
    </row>
    <row r="553" spans="1:16">
      <c r="A553" s="496"/>
      <c r="B553" s="471"/>
      <c r="C553" s="570"/>
      <c r="D553" s="492"/>
      <c r="E553" s="492"/>
      <c r="F553" s="492"/>
      <c r="G553" s="492"/>
      <c r="H553" s="492"/>
      <c r="I553" s="492"/>
      <c r="J553" s="492"/>
      <c r="K553" s="492"/>
      <c r="L553" s="492"/>
      <c r="M553" s="492"/>
      <c r="N553" s="492"/>
      <c r="O553" s="492"/>
      <c r="P553" s="494"/>
    </row>
    <row r="554" spans="1:16">
      <c r="A554" s="496"/>
      <c r="B554" s="86" t="s">
        <v>363</v>
      </c>
      <c r="C554" s="73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101"/>
    </row>
    <row r="555" spans="1:16">
      <c r="A555" s="485"/>
      <c r="B555" s="76" t="s">
        <v>377</v>
      </c>
      <c r="C555" s="73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101"/>
    </row>
    <row r="556" spans="1:16" ht="15" customHeight="1">
      <c r="A556" s="468">
        <v>605</v>
      </c>
      <c r="B556" s="470" t="s">
        <v>361</v>
      </c>
      <c r="C556" s="479">
        <v>240</v>
      </c>
      <c r="D556" s="482"/>
      <c r="E556" s="481">
        <v>240</v>
      </c>
      <c r="F556" s="481">
        <v>240</v>
      </c>
      <c r="G556" s="481">
        <v>240</v>
      </c>
      <c r="H556" s="481">
        <v>240</v>
      </c>
      <c r="I556" s="481">
        <v>240</v>
      </c>
      <c r="J556" s="481">
        <v>240</v>
      </c>
      <c r="K556" s="481">
        <v>240</v>
      </c>
      <c r="L556" s="481">
        <v>240</v>
      </c>
      <c r="M556" s="482"/>
      <c r="N556" s="482"/>
      <c r="O556" s="481">
        <v>240</v>
      </c>
      <c r="P556" s="476">
        <f>SUM(C556:O557)</f>
        <v>2400</v>
      </c>
    </row>
    <row r="557" spans="1:16">
      <c r="A557" s="468"/>
      <c r="B557" s="471"/>
      <c r="C557" s="480"/>
      <c r="D557" s="482"/>
      <c r="E557" s="482"/>
      <c r="F557" s="482"/>
      <c r="G557" s="482"/>
      <c r="H557" s="482"/>
      <c r="I557" s="482"/>
      <c r="J557" s="482"/>
      <c r="K557" s="482"/>
      <c r="L557" s="482"/>
      <c r="M557" s="482"/>
      <c r="N557" s="482"/>
      <c r="O557" s="482"/>
      <c r="P557" s="445"/>
    </row>
    <row r="558" spans="1:16">
      <c r="A558" s="468"/>
      <c r="B558" s="86" t="s">
        <v>363</v>
      </c>
      <c r="C558" s="97">
        <v>44985</v>
      </c>
      <c r="D558" s="54"/>
      <c r="E558" s="65">
        <v>45027</v>
      </c>
      <c r="F558" s="65">
        <v>45050</v>
      </c>
      <c r="G558" s="65">
        <v>45092</v>
      </c>
      <c r="H558" s="65">
        <v>45111</v>
      </c>
      <c r="I558" s="65">
        <v>45154</v>
      </c>
      <c r="J558" s="65">
        <v>45182</v>
      </c>
      <c r="K558" s="65">
        <v>45209</v>
      </c>
      <c r="L558" s="65">
        <v>45251</v>
      </c>
      <c r="M558" s="54"/>
      <c r="N558" s="54"/>
      <c r="O558" s="65">
        <v>45295</v>
      </c>
      <c r="P558" s="101"/>
    </row>
    <row r="559" spans="1:16">
      <c r="A559" s="478"/>
      <c r="B559" s="76" t="s">
        <v>377</v>
      </c>
      <c r="C559" s="73" t="s">
        <v>365</v>
      </c>
      <c r="D559" s="54"/>
      <c r="E559" s="54" t="s">
        <v>368</v>
      </c>
      <c r="F559" s="54" t="s">
        <v>368</v>
      </c>
      <c r="G559" s="54" t="s">
        <v>368</v>
      </c>
      <c r="H559" s="54" t="s">
        <v>373</v>
      </c>
      <c r="I559" s="54" t="s">
        <v>1135</v>
      </c>
      <c r="J559" s="54" t="s">
        <v>373</v>
      </c>
      <c r="K559" s="54" t="s">
        <v>373</v>
      </c>
      <c r="L559" s="54" t="s">
        <v>374</v>
      </c>
      <c r="M559" s="54"/>
      <c r="N559" s="54"/>
      <c r="O559" s="54" t="s">
        <v>1135</v>
      </c>
      <c r="P559" s="101"/>
    </row>
    <row r="560" spans="1:16" s="101" customFormat="1" ht="47.25" customHeight="1">
      <c r="A560" s="470" t="s">
        <v>405</v>
      </c>
      <c r="B560" s="302" t="s">
        <v>369</v>
      </c>
      <c r="C560" s="301">
        <v>120</v>
      </c>
      <c r="D560" s="103">
        <v>120</v>
      </c>
      <c r="E560" s="129">
        <v>120</v>
      </c>
      <c r="F560" s="129">
        <v>120</v>
      </c>
      <c r="G560" s="129">
        <v>120</v>
      </c>
      <c r="H560" s="129">
        <v>120</v>
      </c>
      <c r="I560" s="129">
        <v>120</v>
      </c>
      <c r="J560" s="129">
        <v>120</v>
      </c>
      <c r="K560" s="129">
        <v>120</v>
      </c>
      <c r="L560" s="100"/>
      <c r="M560" s="100"/>
      <c r="N560" s="100"/>
      <c r="O560" s="100"/>
      <c r="P560" s="344">
        <f>SUM(C560:O560)</f>
        <v>1080</v>
      </c>
    </row>
    <row r="561" spans="1:16">
      <c r="A561" s="496"/>
      <c r="B561" s="76" t="s">
        <v>363</v>
      </c>
      <c r="C561" s="102">
        <v>44964</v>
      </c>
      <c r="D561" s="105">
        <v>44991</v>
      </c>
      <c r="E561" s="105">
        <v>45015</v>
      </c>
      <c r="F561" s="105">
        <v>45049</v>
      </c>
      <c r="G561" s="105">
        <v>45089</v>
      </c>
      <c r="H561" s="105">
        <v>45112</v>
      </c>
      <c r="I561" s="105">
        <v>45145</v>
      </c>
      <c r="J561" s="105">
        <v>45170</v>
      </c>
      <c r="K561" s="105">
        <v>45203</v>
      </c>
      <c r="L561" s="99"/>
      <c r="M561" s="99"/>
      <c r="N561" s="99"/>
      <c r="O561" s="99"/>
    </row>
    <row r="562" spans="1:16">
      <c r="A562" s="471"/>
      <c r="B562" s="92" t="s">
        <v>377</v>
      </c>
      <c r="C562" s="73" t="s">
        <v>368</v>
      </c>
      <c r="D562" s="54" t="s">
        <v>368</v>
      </c>
      <c r="E562" s="54" t="s">
        <v>368</v>
      </c>
      <c r="F562" s="54" t="s">
        <v>368</v>
      </c>
      <c r="G562" s="54" t="s">
        <v>368</v>
      </c>
      <c r="H562" s="54" t="s">
        <v>373</v>
      </c>
      <c r="I562" s="54" t="s">
        <v>368</v>
      </c>
      <c r="J562" s="54" t="s">
        <v>373</v>
      </c>
      <c r="K562" s="54" t="s">
        <v>1135</v>
      </c>
      <c r="L562" s="54"/>
      <c r="M562" s="54"/>
      <c r="N562" s="54"/>
      <c r="O562" s="54"/>
    </row>
    <row r="563" spans="1:16" ht="15" customHeight="1">
      <c r="A563" s="467">
        <v>740</v>
      </c>
      <c r="B563" s="470" t="s">
        <v>136</v>
      </c>
      <c r="C563" s="479">
        <v>130</v>
      </c>
      <c r="D563" s="481">
        <v>130</v>
      </c>
      <c r="E563" s="479">
        <v>130</v>
      </c>
      <c r="F563" s="481">
        <v>130</v>
      </c>
      <c r="G563" s="479">
        <v>130</v>
      </c>
      <c r="H563" s="481">
        <v>130</v>
      </c>
      <c r="I563" s="479">
        <v>130</v>
      </c>
      <c r="J563" s="481">
        <v>130</v>
      </c>
      <c r="K563" s="479">
        <v>130</v>
      </c>
      <c r="L563" s="481">
        <v>130</v>
      </c>
      <c r="M563" s="479">
        <v>130</v>
      </c>
      <c r="N563" s="479">
        <v>130</v>
      </c>
      <c r="O563" s="483">
        <v>130</v>
      </c>
      <c r="P563" s="477">
        <f>SUM(C563:O564)</f>
        <v>1690</v>
      </c>
    </row>
    <row r="564" spans="1:16">
      <c r="A564" s="468"/>
      <c r="B564" s="471"/>
      <c r="C564" s="480"/>
      <c r="D564" s="482"/>
      <c r="E564" s="480"/>
      <c r="F564" s="482"/>
      <c r="G564" s="480"/>
      <c r="H564" s="482"/>
      <c r="I564" s="480"/>
      <c r="J564" s="482"/>
      <c r="K564" s="480"/>
      <c r="L564" s="482"/>
      <c r="M564" s="480"/>
      <c r="N564" s="480"/>
      <c r="O564" s="484"/>
      <c r="P564" s="477"/>
    </row>
    <row r="565" spans="1:16">
      <c r="A565" s="468"/>
      <c r="B565" s="76" t="s">
        <v>363</v>
      </c>
      <c r="C565" s="97">
        <v>45145</v>
      </c>
      <c r="D565" s="65">
        <v>45145</v>
      </c>
      <c r="E565" s="97">
        <v>45145</v>
      </c>
      <c r="F565" s="65">
        <v>45145</v>
      </c>
      <c r="G565" s="97">
        <v>45145</v>
      </c>
      <c r="H565" s="65">
        <v>45145</v>
      </c>
      <c r="I565" s="97">
        <v>45145</v>
      </c>
      <c r="J565" s="65">
        <v>45145</v>
      </c>
      <c r="K565" s="97">
        <v>45145</v>
      </c>
      <c r="L565" s="65">
        <v>45145</v>
      </c>
      <c r="M565" s="97">
        <v>45145</v>
      </c>
      <c r="N565" s="97">
        <v>45145</v>
      </c>
      <c r="O565" s="65">
        <v>45145</v>
      </c>
      <c r="P565" s="101"/>
    </row>
    <row r="566" spans="1:16">
      <c r="A566" s="478"/>
      <c r="B566" s="76" t="s">
        <v>377</v>
      </c>
      <c r="C566" s="73" t="s">
        <v>368</v>
      </c>
      <c r="D566" s="54" t="s">
        <v>368</v>
      </c>
      <c r="E566" s="73" t="s">
        <v>368</v>
      </c>
      <c r="F566" s="54" t="s">
        <v>368</v>
      </c>
      <c r="G566" s="73" t="s">
        <v>368</v>
      </c>
      <c r="H566" s="54" t="s">
        <v>368</v>
      </c>
      <c r="I566" s="73" t="s">
        <v>368</v>
      </c>
      <c r="J566" s="54" t="s">
        <v>368</v>
      </c>
      <c r="K566" s="73" t="s">
        <v>368</v>
      </c>
      <c r="L566" s="54" t="s">
        <v>368</v>
      </c>
      <c r="M566" s="73" t="s">
        <v>368</v>
      </c>
      <c r="N566" s="73" t="s">
        <v>368</v>
      </c>
      <c r="O566" s="54" t="s">
        <v>368</v>
      </c>
      <c r="P566" s="101"/>
    </row>
    <row r="567" spans="1:16">
      <c r="A567" s="467"/>
      <c r="B567" s="467" t="s">
        <v>134</v>
      </c>
      <c r="C567" s="479">
        <v>650</v>
      </c>
      <c r="D567" s="481">
        <v>650</v>
      </c>
      <c r="E567" s="481">
        <v>650</v>
      </c>
      <c r="F567" s="481">
        <v>650</v>
      </c>
      <c r="G567" s="481">
        <v>650</v>
      </c>
      <c r="H567" s="481">
        <v>650</v>
      </c>
      <c r="I567" s="482"/>
      <c r="J567" s="482"/>
      <c r="K567" s="481">
        <v>650</v>
      </c>
      <c r="L567" s="481">
        <v>650</v>
      </c>
      <c r="M567" s="481">
        <v>650</v>
      </c>
      <c r="N567" s="481">
        <v>650</v>
      </c>
      <c r="O567" s="481">
        <v>650</v>
      </c>
      <c r="P567" s="477">
        <f>SUM(C567:O568)</f>
        <v>7150</v>
      </c>
    </row>
    <row r="568" spans="1:16">
      <c r="A568" s="468"/>
      <c r="B568" s="478"/>
      <c r="C568" s="480"/>
      <c r="D568" s="482"/>
      <c r="E568" s="482"/>
      <c r="F568" s="482"/>
      <c r="G568" s="482"/>
      <c r="H568" s="482"/>
      <c r="I568" s="482"/>
      <c r="J568" s="482"/>
      <c r="K568" s="482"/>
      <c r="L568" s="482"/>
      <c r="M568" s="482"/>
      <c r="N568" s="482"/>
      <c r="O568" s="482"/>
      <c r="P568" s="477"/>
    </row>
    <row r="569" spans="1:16">
      <c r="A569" s="468"/>
      <c r="B569" s="86" t="s">
        <v>363</v>
      </c>
      <c r="C569" s="97">
        <v>44973</v>
      </c>
      <c r="D569" s="65">
        <v>45008</v>
      </c>
      <c r="E569" s="65">
        <v>45055</v>
      </c>
      <c r="F569" s="65">
        <v>45055</v>
      </c>
      <c r="G569" s="65">
        <v>45184</v>
      </c>
      <c r="H569" s="65">
        <v>45184</v>
      </c>
      <c r="I569" s="54"/>
      <c r="J569" s="54"/>
      <c r="K569" s="65">
        <v>45644</v>
      </c>
      <c r="L569" s="65">
        <v>45644</v>
      </c>
      <c r="M569" s="65">
        <v>45644</v>
      </c>
      <c r="N569" s="65">
        <v>45644</v>
      </c>
      <c r="O569" s="65">
        <v>45342</v>
      </c>
      <c r="P569" s="101"/>
    </row>
    <row r="570" spans="1:16">
      <c r="A570" s="478"/>
      <c r="B570" s="86" t="s">
        <v>377</v>
      </c>
      <c r="C570" s="98" t="s">
        <v>368</v>
      </c>
      <c r="D570" s="118" t="s">
        <v>368</v>
      </c>
      <c r="E570" s="118" t="s">
        <v>384</v>
      </c>
      <c r="F570" s="118" t="s">
        <v>384</v>
      </c>
      <c r="G570" s="118" t="s">
        <v>368</v>
      </c>
      <c r="H570" s="118" t="s">
        <v>368</v>
      </c>
      <c r="I570" s="118"/>
      <c r="J570" s="118"/>
      <c r="K570" s="118" t="s">
        <v>368</v>
      </c>
      <c r="L570" s="118" t="s">
        <v>367</v>
      </c>
      <c r="M570" s="118" t="s">
        <v>386</v>
      </c>
      <c r="N570" s="118" t="s">
        <v>386</v>
      </c>
      <c r="O570" s="118" t="s">
        <v>386</v>
      </c>
      <c r="P570" s="101"/>
    </row>
    <row r="571" spans="1:16" s="122" customFormat="1" ht="15" customHeight="1" thickBot="1">
      <c r="A571" s="511"/>
      <c r="B571" s="511"/>
      <c r="C571" s="514" t="s">
        <v>387</v>
      </c>
      <c r="D571" s="515"/>
      <c r="E571" s="515"/>
      <c r="F571" s="516"/>
      <c r="G571" s="523"/>
      <c r="H571" s="523"/>
      <c r="I571" s="523"/>
      <c r="J571" s="523"/>
      <c r="K571" s="523"/>
      <c r="L571" s="523"/>
      <c r="M571" s="523"/>
      <c r="N571" s="523"/>
      <c r="O571" s="525"/>
      <c r="P571" s="527">
        <f>SUM(C571:O572)</f>
        <v>0</v>
      </c>
    </row>
    <row r="572" spans="1:16" s="119" customFormat="1" ht="15.75" customHeight="1" thickBot="1">
      <c r="A572" s="512"/>
      <c r="B572" s="512"/>
      <c r="C572" s="517"/>
      <c r="D572" s="518"/>
      <c r="E572" s="518"/>
      <c r="F572" s="519"/>
      <c r="G572" s="524"/>
      <c r="H572" s="524"/>
      <c r="I572" s="524"/>
      <c r="J572" s="524"/>
      <c r="K572" s="524"/>
      <c r="L572" s="524"/>
      <c r="M572" s="524"/>
      <c r="N572" s="524"/>
      <c r="O572" s="526"/>
      <c r="P572" s="527"/>
    </row>
    <row r="573" spans="1:16" s="119" customFormat="1" ht="15.75" customHeight="1" thickBot="1">
      <c r="A573" s="512"/>
      <c r="B573" s="120"/>
      <c r="C573" s="517"/>
      <c r="D573" s="518"/>
      <c r="E573" s="518"/>
      <c r="F573" s="519"/>
      <c r="G573" s="121"/>
      <c r="H573" s="121"/>
      <c r="I573" s="121"/>
      <c r="J573" s="121"/>
      <c r="K573" s="121"/>
      <c r="L573" s="121"/>
      <c r="M573" s="121"/>
      <c r="N573" s="121"/>
      <c r="O573" s="242"/>
      <c r="P573" s="243"/>
    </row>
    <row r="574" spans="1:16" s="125" customFormat="1" ht="3.75" customHeight="1">
      <c r="A574" s="513"/>
      <c r="B574" s="123"/>
      <c r="C574" s="520"/>
      <c r="D574" s="521"/>
      <c r="E574" s="521"/>
      <c r="F574" s="522"/>
      <c r="G574" s="124"/>
      <c r="H574" s="124"/>
      <c r="I574" s="124"/>
      <c r="J574" s="124"/>
      <c r="K574" s="124"/>
      <c r="L574" s="124"/>
      <c r="M574" s="124"/>
      <c r="N574" s="124"/>
      <c r="O574" s="244"/>
      <c r="P574" s="243"/>
    </row>
    <row r="575" spans="1:16" ht="15" customHeight="1">
      <c r="A575" s="467"/>
      <c r="B575" s="506" t="s">
        <v>388</v>
      </c>
      <c r="C575" s="508">
        <v>300</v>
      </c>
      <c r="D575" s="502">
        <v>350</v>
      </c>
      <c r="E575" s="502"/>
      <c r="F575" s="502"/>
      <c r="G575" s="502"/>
      <c r="H575" s="502"/>
      <c r="I575" s="502"/>
      <c r="J575" s="502"/>
      <c r="K575" s="502"/>
      <c r="L575" s="502"/>
      <c r="M575" s="502"/>
      <c r="N575" s="502"/>
      <c r="O575" s="510"/>
      <c r="P575" s="477">
        <f>SUM(C575:O576)</f>
        <v>650</v>
      </c>
    </row>
    <row r="576" spans="1:16">
      <c r="A576" s="468"/>
      <c r="B576" s="507"/>
      <c r="C576" s="509"/>
      <c r="D576" s="503"/>
      <c r="E576" s="503"/>
      <c r="F576" s="503"/>
      <c r="G576" s="503"/>
      <c r="H576" s="503"/>
      <c r="I576" s="503"/>
      <c r="J576" s="503"/>
      <c r="K576" s="503"/>
      <c r="L576" s="503"/>
      <c r="M576" s="503"/>
      <c r="N576" s="503"/>
      <c r="O576" s="502"/>
      <c r="P576" s="477"/>
    </row>
    <row r="577" spans="1:16">
      <c r="A577" s="468"/>
      <c r="B577" s="81" t="s">
        <v>363</v>
      </c>
      <c r="C577" s="72">
        <v>45064</v>
      </c>
      <c r="D577" s="65">
        <v>45504</v>
      </c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101"/>
    </row>
    <row r="578" spans="1:16">
      <c r="A578" s="478"/>
      <c r="B578" s="76" t="s">
        <v>377</v>
      </c>
      <c r="C578" s="73" t="s">
        <v>368</v>
      </c>
      <c r="D578" s="54" t="s">
        <v>368</v>
      </c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101"/>
    </row>
    <row r="579" spans="1:16" ht="17.25" customHeight="1">
      <c r="A579" s="485">
        <v>719</v>
      </c>
      <c r="B579" s="470" t="s">
        <v>996</v>
      </c>
      <c r="C579" s="480">
        <v>300</v>
      </c>
      <c r="D579" s="482"/>
      <c r="E579" s="482"/>
      <c r="F579" s="482"/>
      <c r="G579" s="482"/>
      <c r="H579" s="482"/>
      <c r="I579" s="482"/>
      <c r="J579" s="482"/>
      <c r="K579" s="482"/>
      <c r="L579" s="482"/>
      <c r="M579" s="482"/>
      <c r="N579" s="482"/>
      <c r="O579" s="491"/>
      <c r="P579" s="477">
        <f>SUM(C579:O580)</f>
        <v>300</v>
      </c>
    </row>
    <row r="580" spans="1:16">
      <c r="A580" s="468"/>
      <c r="B580" s="471"/>
      <c r="C580" s="480"/>
      <c r="D580" s="482"/>
      <c r="E580" s="482"/>
      <c r="F580" s="482"/>
      <c r="G580" s="482"/>
      <c r="H580" s="482"/>
      <c r="I580" s="482"/>
      <c r="J580" s="482"/>
      <c r="K580" s="482"/>
      <c r="L580" s="482"/>
      <c r="M580" s="482"/>
      <c r="N580" s="482"/>
      <c r="O580" s="492"/>
      <c r="P580" s="477"/>
    </row>
    <row r="581" spans="1:16">
      <c r="A581" s="468"/>
      <c r="B581" s="76" t="s">
        <v>363</v>
      </c>
      <c r="C581" s="97">
        <v>45107</v>
      </c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101"/>
    </row>
    <row r="582" spans="1:16">
      <c r="A582" s="501"/>
      <c r="B582" s="92" t="s">
        <v>377</v>
      </c>
      <c r="C582" s="98" t="s">
        <v>368</v>
      </c>
      <c r="D582" s="118"/>
      <c r="E582" s="118"/>
      <c r="F582" s="118"/>
      <c r="G582" s="118"/>
      <c r="H582" s="118"/>
      <c r="I582" s="118"/>
      <c r="J582" s="118"/>
      <c r="K582" s="118"/>
      <c r="L582" s="118"/>
      <c r="M582" s="118"/>
      <c r="N582" s="118"/>
      <c r="O582" s="118"/>
      <c r="P582" s="101"/>
    </row>
    <row r="583" spans="1:16" ht="15" customHeight="1">
      <c r="A583" s="470">
        <v>904</v>
      </c>
      <c r="B583" s="489" t="s">
        <v>997</v>
      </c>
      <c r="C583" s="480">
        <v>300</v>
      </c>
      <c r="D583" s="482"/>
      <c r="E583" s="482"/>
      <c r="F583" s="482"/>
      <c r="G583" s="482"/>
      <c r="H583" s="482"/>
      <c r="I583" s="482"/>
      <c r="J583" s="482"/>
      <c r="K583" s="482"/>
      <c r="L583" s="482"/>
      <c r="M583" s="482"/>
      <c r="N583" s="482"/>
      <c r="O583" s="491"/>
      <c r="P583" s="477">
        <f>SUM(C583:O584)</f>
        <v>300</v>
      </c>
    </row>
    <row r="584" spans="1:16">
      <c r="A584" s="496"/>
      <c r="B584" s="490"/>
      <c r="C584" s="480"/>
      <c r="D584" s="482"/>
      <c r="E584" s="482"/>
      <c r="F584" s="482"/>
      <c r="G584" s="482"/>
      <c r="H584" s="482"/>
      <c r="I584" s="482"/>
      <c r="J584" s="482"/>
      <c r="K584" s="482"/>
      <c r="L584" s="482"/>
      <c r="M584" s="482"/>
      <c r="N584" s="482"/>
      <c r="O584" s="492"/>
      <c r="P584" s="477"/>
    </row>
    <row r="585" spans="1:16">
      <c r="A585" s="496"/>
      <c r="B585" s="78" t="s">
        <v>363</v>
      </c>
      <c r="C585" s="97">
        <v>45110</v>
      </c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101"/>
    </row>
    <row r="586" spans="1:16">
      <c r="A586" s="471"/>
      <c r="B586" s="80" t="s">
        <v>377</v>
      </c>
      <c r="C586" s="98" t="s">
        <v>368</v>
      </c>
      <c r="D586" s="118"/>
      <c r="E586" s="118"/>
      <c r="F586" s="118"/>
      <c r="G586" s="118"/>
      <c r="H586" s="118"/>
      <c r="I586" s="118"/>
      <c r="J586" s="118"/>
      <c r="K586" s="118"/>
      <c r="L586" s="118"/>
      <c r="M586" s="118"/>
      <c r="N586" s="118"/>
      <c r="O586" s="118"/>
      <c r="P586" s="101"/>
    </row>
    <row r="587" spans="1:16" ht="15" customHeight="1">
      <c r="A587" s="470">
        <v>239</v>
      </c>
      <c r="B587" s="489" t="s">
        <v>1021</v>
      </c>
      <c r="C587" s="480">
        <v>300</v>
      </c>
      <c r="D587" s="482"/>
      <c r="E587" s="482"/>
      <c r="F587" s="482"/>
      <c r="G587" s="482"/>
      <c r="H587" s="482"/>
      <c r="I587" s="482"/>
      <c r="J587" s="482"/>
      <c r="K587" s="482"/>
      <c r="L587" s="482"/>
      <c r="M587" s="482"/>
      <c r="N587" s="482"/>
      <c r="O587" s="491"/>
      <c r="P587" s="477">
        <f>SUM(C587:O588)</f>
        <v>300</v>
      </c>
    </row>
    <row r="588" spans="1:16">
      <c r="A588" s="496"/>
      <c r="B588" s="490"/>
      <c r="C588" s="480"/>
      <c r="D588" s="482"/>
      <c r="E588" s="482"/>
      <c r="F588" s="482"/>
      <c r="G588" s="482"/>
      <c r="H588" s="482"/>
      <c r="I588" s="482"/>
      <c r="J588" s="482"/>
      <c r="K588" s="482"/>
      <c r="L588" s="482"/>
      <c r="M588" s="482"/>
      <c r="N588" s="482"/>
      <c r="O588" s="492"/>
      <c r="P588" s="477"/>
    </row>
    <row r="589" spans="1:16">
      <c r="A589" s="496"/>
      <c r="B589" s="78" t="s">
        <v>363</v>
      </c>
      <c r="C589" s="97">
        <v>45117</v>
      </c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101"/>
    </row>
    <row r="590" spans="1:16">
      <c r="A590" s="471"/>
      <c r="B590" s="80" t="s">
        <v>377</v>
      </c>
      <c r="C590" s="98" t="s">
        <v>368</v>
      </c>
      <c r="D590" s="118"/>
      <c r="E590" s="118"/>
      <c r="F590" s="118"/>
      <c r="G590" s="118"/>
      <c r="H590" s="118"/>
      <c r="I590" s="118"/>
      <c r="J590" s="118"/>
      <c r="K590" s="118"/>
      <c r="L590" s="118"/>
      <c r="M590" s="118"/>
      <c r="N590" s="118"/>
      <c r="O590" s="118"/>
      <c r="P590" s="101"/>
    </row>
    <row r="591" spans="1:16" ht="15" customHeight="1">
      <c r="A591" s="470"/>
      <c r="B591" s="489" t="s">
        <v>1078</v>
      </c>
      <c r="C591" s="480">
        <v>300</v>
      </c>
      <c r="D591" s="482">
        <v>350</v>
      </c>
      <c r="E591" s="482"/>
      <c r="F591" s="482"/>
      <c r="G591" s="482"/>
      <c r="H591" s="482"/>
      <c r="I591" s="482"/>
      <c r="J591" s="482"/>
      <c r="K591" s="482"/>
      <c r="L591" s="482"/>
      <c r="M591" s="482"/>
      <c r="N591" s="482"/>
      <c r="O591" s="491"/>
      <c r="P591" s="477">
        <f>SUM(C591:O592)</f>
        <v>650</v>
      </c>
    </row>
    <row r="592" spans="1:16">
      <c r="A592" s="496"/>
      <c r="B592" s="490"/>
      <c r="C592" s="480"/>
      <c r="D592" s="482"/>
      <c r="E592" s="482"/>
      <c r="F592" s="482"/>
      <c r="G592" s="482"/>
      <c r="H592" s="482"/>
      <c r="I592" s="482"/>
      <c r="J592" s="482"/>
      <c r="K592" s="482"/>
      <c r="L592" s="482"/>
      <c r="M592" s="482"/>
      <c r="N592" s="482"/>
      <c r="O592" s="492"/>
      <c r="P592" s="477"/>
    </row>
    <row r="593" spans="1:16">
      <c r="A593" s="496"/>
      <c r="B593" s="78" t="s">
        <v>363</v>
      </c>
      <c r="C593" s="97">
        <v>45119</v>
      </c>
      <c r="D593" s="64">
        <v>45504</v>
      </c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101"/>
    </row>
    <row r="594" spans="1:16">
      <c r="A594" s="471"/>
      <c r="B594" s="80" t="s">
        <v>377</v>
      </c>
      <c r="C594" s="98" t="s">
        <v>372</v>
      </c>
      <c r="D594" s="118" t="s">
        <v>384</v>
      </c>
      <c r="E594" s="118"/>
      <c r="F594" s="118"/>
      <c r="G594" s="118"/>
      <c r="H594" s="118"/>
      <c r="I594" s="118"/>
      <c r="J594" s="118"/>
      <c r="K594" s="118"/>
      <c r="L594" s="118"/>
      <c r="M594" s="118"/>
      <c r="N594" s="118"/>
      <c r="O594" s="118"/>
      <c r="P594" s="101"/>
    </row>
    <row r="595" spans="1:16" ht="15" customHeight="1">
      <c r="A595" s="470"/>
      <c r="B595" s="489" t="s">
        <v>1099</v>
      </c>
      <c r="C595" s="480">
        <v>300</v>
      </c>
      <c r="D595" s="482"/>
      <c r="E595" s="482"/>
      <c r="F595" s="482"/>
      <c r="G595" s="482"/>
      <c r="H595" s="482"/>
      <c r="I595" s="482"/>
      <c r="J595" s="482"/>
      <c r="K595" s="482"/>
      <c r="L595" s="482"/>
      <c r="M595" s="482"/>
      <c r="N595" s="482"/>
      <c r="O595" s="491"/>
      <c r="P595" s="477">
        <f>SUM(C595:O596)</f>
        <v>300</v>
      </c>
    </row>
    <row r="596" spans="1:16">
      <c r="A596" s="496"/>
      <c r="B596" s="490"/>
      <c r="C596" s="480"/>
      <c r="D596" s="482"/>
      <c r="E596" s="482"/>
      <c r="F596" s="482"/>
      <c r="G596" s="482"/>
      <c r="H596" s="482"/>
      <c r="I596" s="482"/>
      <c r="J596" s="482"/>
      <c r="K596" s="482"/>
      <c r="L596" s="482"/>
      <c r="M596" s="482"/>
      <c r="N596" s="482"/>
      <c r="O596" s="492"/>
      <c r="P596" s="477"/>
    </row>
    <row r="597" spans="1:16">
      <c r="A597" s="496"/>
      <c r="B597" s="78" t="s">
        <v>363</v>
      </c>
      <c r="C597" s="97">
        <v>45139</v>
      </c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101"/>
    </row>
    <row r="598" spans="1:16">
      <c r="A598" s="471"/>
      <c r="B598" s="80" t="s">
        <v>377</v>
      </c>
      <c r="C598" s="98" t="s">
        <v>368</v>
      </c>
      <c r="D598" s="118"/>
      <c r="E598" s="118"/>
      <c r="F598" s="118"/>
      <c r="G598" s="118"/>
      <c r="H598" s="118"/>
      <c r="I598" s="118"/>
      <c r="J598" s="118"/>
      <c r="K598" s="118"/>
      <c r="L598" s="118"/>
      <c r="M598" s="118"/>
      <c r="N598" s="118"/>
      <c r="O598" s="118"/>
      <c r="P598" s="101"/>
    </row>
    <row r="599" spans="1:16" ht="15" customHeight="1">
      <c r="A599" s="467"/>
      <c r="B599" s="506" t="s">
        <v>1007</v>
      </c>
      <c r="C599" s="508">
        <v>300</v>
      </c>
      <c r="D599" s="502"/>
      <c r="E599" s="502"/>
      <c r="F599" s="502"/>
      <c r="G599" s="502"/>
      <c r="H599" s="502">
        <v>350</v>
      </c>
      <c r="I599" s="502"/>
      <c r="J599" s="502"/>
      <c r="K599" s="502"/>
      <c r="L599" s="502"/>
      <c r="M599" s="502"/>
      <c r="N599" s="502"/>
      <c r="O599" s="505"/>
      <c r="P599" s="477">
        <f>SUM(C599:O600)</f>
        <v>650</v>
      </c>
    </row>
    <row r="600" spans="1:16">
      <c r="A600" s="468"/>
      <c r="B600" s="507"/>
      <c r="C600" s="509"/>
      <c r="D600" s="503"/>
      <c r="E600" s="503"/>
      <c r="F600" s="503"/>
      <c r="G600" s="503"/>
      <c r="H600" s="503"/>
      <c r="I600" s="503"/>
      <c r="J600" s="503"/>
      <c r="K600" s="503"/>
      <c r="L600" s="503"/>
      <c r="M600" s="503"/>
      <c r="N600" s="503"/>
      <c r="O600" s="502"/>
      <c r="P600" s="477"/>
    </row>
    <row r="601" spans="1:16">
      <c r="A601" s="468"/>
      <c r="B601" s="81" t="s">
        <v>363</v>
      </c>
      <c r="C601" s="72">
        <v>45140</v>
      </c>
      <c r="D601" s="54"/>
      <c r="E601" s="54"/>
      <c r="F601" s="54"/>
      <c r="G601" s="54"/>
      <c r="H601" s="65">
        <v>45510</v>
      </c>
      <c r="I601" s="54"/>
      <c r="J601" s="54"/>
      <c r="K601" s="54"/>
      <c r="L601" s="54"/>
      <c r="M601" s="54"/>
      <c r="N601" s="54"/>
      <c r="O601" s="54"/>
      <c r="P601" s="101"/>
    </row>
    <row r="602" spans="1:16">
      <c r="A602" s="478"/>
      <c r="B602" s="76" t="s">
        <v>377</v>
      </c>
      <c r="C602" s="73" t="s">
        <v>368</v>
      </c>
      <c r="D602" s="54"/>
      <c r="E602" s="54"/>
      <c r="F602" s="54"/>
      <c r="G602" s="54"/>
      <c r="H602" s="54" t="s">
        <v>386</v>
      </c>
      <c r="I602" s="54"/>
      <c r="J602" s="54"/>
      <c r="K602" s="54"/>
      <c r="L602" s="54"/>
      <c r="M602" s="54"/>
      <c r="N602" s="54"/>
      <c r="O602" s="54"/>
      <c r="P602" s="101"/>
    </row>
    <row r="603" spans="1:16" ht="15" customHeight="1">
      <c r="A603" s="467">
        <v>715</v>
      </c>
      <c r="B603" s="506" t="s">
        <v>362</v>
      </c>
      <c r="C603" s="508">
        <v>300</v>
      </c>
      <c r="D603" s="502"/>
      <c r="E603" s="502"/>
      <c r="F603" s="502"/>
      <c r="G603" s="502"/>
      <c r="H603" s="502"/>
      <c r="I603" s="502"/>
      <c r="J603" s="502"/>
      <c r="K603" s="502"/>
      <c r="L603" s="502"/>
      <c r="M603" s="502"/>
      <c r="N603" s="502"/>
      <c r="O603" s="504"/>
      <c r="P603" s="477">
        <f>SUM(C603:O604)</f>
        <v>300</v>
      </c>
    </row>
    <row r="604" spans="1:16">
      <c r="A604" s="468"/>
      <c r="B604" s="507"/>
      <c r="C604" s="509"/>
      <c r="D604" s="503"/>
      <c r="E604" s="503"/>
      <c r="F604" s="503"/>
      <c r="G604" s="503"/>
      <c r="H604" s="503"/>
      <c r="I604" s="503"/>
      <c r="J604" s="503"/>
      <c r="K604" s="503"/>
      <c r="L604" s="503"/>
      <c r="M604" s="503"/>
      <c r="N604" s="503"/>
      <c r="O604" s="502"/>
      <c r="P604" s="477"/>
    </row>
    <row r="605" spans="1:16">
      <c r="A605" s="468"/>
      <c r="B605" s="81" t="s">
        <v>363</v>
      </c>
      <c r="C605" s="72">
        <v>45155</v>
      </c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101"/>
    </row>
    <row r="606" spans="1:16">
      <c r="A606" s="478"/>
      <c r="B606" s="76" t="s">
        <v>377</v>
      </c>
      <c r="C606" s="73" t="s">
        <v>368</v>
      </c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101"/>
    </row>
    <row r="617" spans="1:16" ht="15" customHeight="1">
      <c r="B617" s="543" t="s">
        <v>349</v>
      </c>
      <c r="C617" s="482"/>
      <c r="D617" s="482"/>
      <c r="E617" s="482"/>
      <c r="F617" s="482"/>
      <c r="G617" s="482"/>
      <c r="H617" s="482"/>
      <c r="I617" s="482"/>
      <c r="J617" s="482"/>
      <c r="K617" s="482"/>
      <c r="L617" s="482"/>
      <c r="M617" s="482"/>
      <c r="N617" s="482"/>
      <c r="O617" s="491"/>
      <c r="P617" s="476">
        <f>SUM(C617:O618)</f>
        <v>0</v>
      </c>
    </row>
    <row r="618" spans="1:16">
      <c r="B618" s="533"/>
      <c r="C618" s="482"/>
      <c r="D618" s="482"/>
      <c r="E618" s="482"/>
      <c r="F618" s="482"/>
      <c r="G618" s="482"/>
      <c r="H618" s="482"/>
      <c r="I618" s="482"/>
      <c r="J618" s="482"/>
      <c r="K618" s="482"/>
      <c r="L618" s="482"/>
      <c r="M618" s="482"/>
      <c r="N618" s="482"/>
      <c r="O618" s="492"/>
      <c r="P618" s="445"/>
    </row>
    <row r="619" spans="1:16">
      <c r="B619" s="82" t="s">
        <v>363</v>
      </c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101"/>
    </row>
    <row r="620" spans="1:16">
      <c r="A620" s="467">
        <v>248</v>
      </c>
      <c r="B620" s="543" t="s">
        <v>349</v>
      </c>
      <c r="C620" s="482"/>
      <c r="D620" s="482"/>
      <c r="E620" s="482"/>
      <c r="F620" s="482"/>
      <c r="G620" s="482"/>
      <c r="H620" s="482"/>
      <c r="I620" s="482"/>
      <c r="J620" s="482"/>
      <c r="K620" s="482"/>
      <c r="L620" s="482"/>
      <c r="M620" s="482"/>
      <c r="N620" s="482"/>
      <c r="O620" s="491"/>
      <c r="P620" s="476">
        <f>SUM(C620:O621)</f>
        <v>0</v>
      </c>
    </row>
    <row r="621" spans="1:16">
      <c r="A621" s="468"/>
      <c r="B621" s="533"/>
      <c r="C621" s="482"/>
      <c r="D621" s="482"/>
      <c r="E621" s="482"/>
      <c r="F621" s="482"/>
      <c r="G621" s="482"/>
      <c r="H621" s="482"/>
      <c r="I621" s="482"/>
      <c r="J621" s="482"/>
      <c r="K621" s="482"/>
      <c r="L621" s="482"/>
      <c r="M621" s="482"/>
      <c r="N621" s="482"/>
      <c r="O621" s="492"/>
      <c r="P621" s="445"/>
    </row>
    <row r="622" spans="1:16">
      <c r="A622" s="468"/>
      <c r="B622" s="82" t="s">
        <v>363</v>
      </c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101"/>
    </row>
    <row r="623" spans="1:16">
      <c r="A623" s="501"/>
      <c r="B623" s="84" t="s">
        <v>377</v>
      </c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101"/>
    </row>
  </sheetData>
  <mergeCells count="2430">
    <mergeCell ref="E179:E180"/>
    <mergeCell ref="F179:F180"/>
    <mergeCell ref="G179:G180"/>
    <mergeCell ref="H179:H180"/>
    <mergeCell ref="I179:I180"/>
    <mergeCell ref="J179:J180"/>
    <mergeCell ref="K179:K180"/>
    <mergeCell ref="L179:L180"/>
    <mergeCell ref="M179:M180"/>
    <mergeCell ref="N179:N180"/>
    <mergeCell ref="O179:O180"/>
    <mergeCell ref="P179:P180"/>
    <mergeCell ref="O175:O176"/>
    <mergeCell ref="C175:C176"/>
    <mergeCell ref="O19:O20"/>
    <mergeCell ref="O11:O12"/>
    <mergeCell ref="F19:F20"/>
    <mergeCell ref="C95:C96"/>
    <mergeCell ref="D95:D96"/>
    <mergeCell ref="E95:E96"/>
    <mergeCell ref="F95:F96"/>
    <mergeCell ref="G95:G96"/>
    <mergeCell ref="H95:H96"/>
    <mergeCell ref="I95:I96"/>
    <mergeCell ref="J95:J96"/>
    <mergeCell ref="K95:K96"/>
    <mergeCell ref="L95:L96"/>
    <mergeCell ref="M95:M96"/>
    <mergeCell ref="N95:N96"/>
    <mergeCell ref="O95:O96"/>
    <mergeCell ref="P95:P96"/>
    <mergeCell ref="K27:K28"/>
    <mergeCell ref="N7:N8"/>
    <mergeCell ref="O7:O8"/>
    <mergeCell ref="B75:B76"/>
    <mergeCell ref="A59:A62"/>
    <mergeCell ref="A63:A66"/>
    <mergeCell ref="A43:A46"/>
    <mergeCell ref="A47:A50"/>
    <mergeCell ref="A51:A54"/>
    <mergeCell ref="B43:B44"/>
    <mergeCell ref="A31:A34"/>
    <mergeCell ref="A35:A38"/>
    <mergeCell ref="I27:I28"/>
    <mergeCell ref="O27:O28"/>
    <mergeCell ref="C39:C40"/>
    <mergeCell ref="P39:P40"/>
    <mergeCell ref="P7:P8"/>
    <mergeCell ref="C27:C28"/>
    <mergeCell ref="D27:D28"/>
    <mergeCell ref="E27:E28"/>
    <mergeCell ref="F27:F28"/>
    <mergeCell ref="G27:G28"/>
    <mergeCell ref="H27:H28"/>
    <mergeCell ref="I23:I24"/>
    <mergeCell ref="J23:J24"/>
    <mergeCell ref="K23:K24"/>
    <mergeCell ref="L23:L24"/>
    <mergeCell ref="M23:M24"/>
    <mergeCell ref="O23:O24"/>
    <mergeCell ref="C23:C24"/>
    <mergeCell ref="D23:D24"/>
    <mergeCell ref="E23:E24"/>
    <mergeCell ref="J19:J20"/>
    <mergeCell ref="A263:A266"/>
    <mergeCell ref="A267:A270"/>
    <mergeCell ref="B263:B264"/>
    <mergeCell ref="H291:H292"/>
    <mergeCell ref="A7:A10"/>
    <mergeCell ref="B7:B8"/>
    <mergeCell ref="C7:C8"/>
    <mergeCell ref="D7:D8"/>
    <mergeCell ref="E7:E8"/>
    <mergeCell ref="F7:F8"/>
    <mergeCell ref="G7:G8"/>
    <mergeCell ref="H7:H8"/>
    <mergeCell ref="I7:I8"/>
    <mergeCell ref="J7:J8"/>
    <mergeCell ref="K7:K8"/>
    <mergeCell ref="L7:L8"/>
    <mergeCell ref="M7:M8"/>
    <mergeCell ref="K19:K20"/>
    <mergeCell ref="C19:C20"/>
    <mergeCell ref="D19:D20"/>
    <mergeCell ref="E19:E20"/>
    <mergeCell ref="C35:C36"/>
    <mergeCell ref="D35:D36"/>
    <mergeCell ref="E35:E36"/>
    <mergeCell ref="G35:G36"/>
    <mergeCell ref="G23:G24"/>
    <mergeCell ref="H23:H24"/>
    <mergeCell ref="J27:J28"/>
    <mergeCell ref="A179:A182"/>
    <mergeCell ref="B179:B180"/>
    <mergeCell ref="C179:C180"/>
    <mergeCell ref="D179:D180"/>
    <mergeCell ref="P335:P336"/>
    <mergeCell ref="C307:C308"/>
    <mergeCell ref="D307:D308"/>
    <mergeCell ref="E307:E308"/>
    <mergeCell ref="F307:F308"/>
    <mergeCell ref="G307:G308"/>
    <mergeCell ref="H307:H308"/>
    <mergeCell ref="O279:O280"/>
    <mergeCell ref="P279:P280"/>
    <mergeCell ref="O283:O284"/>
    <mergeCell ref="G287:G288"/>
    <mergeCell ref="H287:H288"/>
    <mergeCell ref="I283:I284"/>
    <mergeCell ref="J311:J312"/>
    <mergeCell ref="K311:K312"/>
    <mergeCell ref="L311:L312"/>
    <mergeCell ref="I295:I296"/>
    <mergeCell ref="J295:J296"/>
    <mergeCell ref="K295:K296"/>
    <mergeCell ref="L295:L296"/>
    <mergeCell ref="M295:M296"/>
    <mergeCell ref="O295:O296"/>
    <mergeCell ref="C295:C296"/>
    <mergeCell ref="K307:K308"/>
    <mergeCell ref="L307:L308"/>
    <mergeCell ref="J283:J284"/>
    <mergeCell ref="C279:C280"/>
    <mergeCell ref="D279:D280"/>
    <mergeCell ref="E279:E280"/>
    <mergeCell ref="F279:F280"/>
    <mergeCell ref="L279:L280"/>
    <mergeCell ref="L303:L304"/>
    <mergeCell ref="L183:L184"/>
    <mergeCell ref="M183:M184"/>
    <mergeCell ref="L243:L244"/>
    <mergeCell ref="K243:K244"/>
    <mergeCell ref="L207:L208"/>
    <mergeCell ref="M207:M208"/>
    <mergeCell ref="L239:L240"/>
    <mergeCell ref="M203:M204"/>
    <mergeCell ref="M219:M220"/>
    <mergeCell ref="K195:K196"/>
    <mergeCell ref="I119:I120"/>
    <mergeCell ref="J119:J120"/>
    <mergeCell ref="K119:K120"/>
    <mergeCell ref="L119:L120"/>
    <mergeCell ref="M119:M120"/>
    <mergeCell ref="I127:I128"/>
    <mergeCell ref="J127:J128"/>
    <mergeCell ref="K127:K128"/>
    <mergeCell ref="L127:L128"/>
    <mergeCell ref="M127:M128"/>
    <mergeCell ref="I135:I136"/>
    <mergeCell ref="J135:J136"/>
    <mergeCell ref="K135:K136"/>
    <mergeCell ref="L135:L136"/>
    <mergeCell ref="M135:M136"/>
    <mergeCell ref="I143:I144"/>
    <mergeCell ref="J143:J144"/>
    <mergeCell ref="K143:K144"/>
    <mergeCell ref="L143:L144"/>
    <mergeCell ref="M143:M144"/>
    <mergeCell ref="I151:I152"/>
    <mergeCell ref="J151:J152"/>
    <mergeCell ref="A335:A338"/>
    <mergeCell ref="C315:C316"/>
    <mergeCell ref="D315:D316"/>
    <mergeCell ref="E315:E316"/>
    <mergeCell ref="F315:F316"/>
    <mergeCell ref="G315:G316"/>
    <mergeCell ref="H315:H316"/>
    <mergeCell ref="I311:I312"/>
    <mergeCell ref="G335:G336"/>
    <mergeCell ref="H335:H336"/>
    <mergeCell ref="I335:I336"/>
    <mergeCell ref="J335:J336"/>
    <mergeCell ref="K335:K336"/>
    <mergeCell ref="L335:L336"/>
    <mergeCell ref="M335:M336"/>
    <mergeCell ref="I251:I252"/>
    <mergeCell ref="J251:J252"/>
    <mergeCell ref="K251:K252"/>
    <mergeCell ref="L251:L252"/>
    <mergeCell ref="M251:M252"/>
    <mergeCell ref="A315:A318"/>
    <mergeCell ref="G295:G296"/>
    <mergeCell ref="H295:H296"/>
    <mergeCell ref="K299:K300"/>
    <mergeCell ref="L299:L300"/>
    <mergeCell ref="M299:M300"/>
    <mergeCell ref="C299:C300"/>
    <mergeCell ref="D299:D300"/>
    <mergeCell ref="E299:E300"/>
    <mergeCell ref="F299:F300"/>
    <mergeCell ref="G299:G300"/>
    <mergeCell ref="H299:H300"/>
    <mergeCell ref="H591:H592"/>
    <mergeCell ref="D575:D576"/>
    <mergeCell ref="E575:E576"/>
    <mergeCell ref="C540:C541"/>
    <mergeCell ref="D540:D541"/>
    <mergeCell ref="E540:E541"/>
    <mergeCell ref="F540:F541"/>
    <mergeCell ref="C259:C260"/>
    <mergeCell ref="D259:D260"/>
    <mergeCell ref="E259:E260"/>
    <mergeCell ref="G291:G292"/>
    <mergeCell ref="K347:K348"/>
    <mergeCell ref="L347:L348"/>
    <mergeCell ref="M347:M348"/>
    <mergeCell ref="N347:N348"/>
    <mergeCell ref="J307:J308"/>
    <mergeCell ref="C347:C348"/>
    <mergeCell ref="D347:D348"/>
    <mergeCell ref="G311:G312"/>
    <mergeCell ref="H311:H312"/>
    <mergeCell ref="I319:I320"/>
    <mergeCell ref="J319:J320"/>
    <mergeCell ref="N259:N260"/>
    <mergeCell ref="N263:N264"/>
    <mergeCell ref="G279:G280"/>
    <mergeCell ref="H279:H280"/>
    <mergeCell ref="K319:K320"/>
    <mergeCell ref="L319:L320"/>
    <mergeCell ref="M319:M320"/>
    <mergeCell ref="M311:M312"/>
    <mergeCell ref="E319:E320"/>
    <mergeCell ref="F319:F320"/>
    <mergeCell ref="N620:N621"/>
    <mergeCell ref="N516:N517"/>
    <mergeCell ref="N520:N521"/>
    <mergeCell ref="N524:N525"/>
    <mergeCell ref="N528:N529"/>
    <mergeCell ref="N532:N533"/>
    <mergeCell ref="N536:N537"/>
    <mergeCell ref="N540:N541"/>
    <mergeCell ref="N544:N545"/>
    <mergeCell ref="N548:N549"/>
    <mergeCell ref="N552:N553"/>
    <mergeCell ref="N556:N557"/>
    <mergeCell ref="N563:N564"/>
    <mergeCell ref="N567:N568"/>
    <mergeCell ref="N571:N572"/>
    <mergeCell ref="N575:N576"/>
    <mergeCell ref="N595:N596"/>
    <mergeCell ref="N599:N600"/>
    <mergeCell ref="N603:N604"/>
    <mergeCell ref="N587:N588"/>
    <mergeCell ref="N583:N584"/>
    <mergeCell ref="L27:L28"/>
    <mergeCell ref="L35:L36"/>
    <mergeCell ref="L47:L48"/>
    <mergeCell ref="L175:L176"/>
    <mergeCell ref="M175:M176"/>
    <mergeCell ref="N239:N240"/>
    <mergeCell ref="N235:N236"/>
    <mergeCell ref="N617:N618"/>
    <mergeCell ref="N420:N421"/>
    <mergeCell ref="N424:N425"/>
    <mergeCell ref="N428:N429"/>
    <mergeCell ref="N432:N433"/>
    <mergeCell ref="N436:N437"/>
    <mergeCell ref="N444:N445"/>
    <mergeCell ref="N448:N449"/>
    <mergeCell ref="N452:N453"/>
    <mergeCell ref="N456:N457"/>
    <mergeCell ref="N460:N461"/>
    <mergeCell ref="N464:N465"/>
    <mergeCell ref="N468:N469"/>
    <mergeCell ref="N472:N473"/>
    <mergeCell ref="N267:N268"/>
    <mergeCell ref="N247:N248"/>
    <mergeCell ref="N351:N352"/>
    <mergeCell ref="N251:N252"/>
    <mergeCell ref="N255:N256"/>
    <mergeCell ref="N335:N336"/>
    <mergeCell ref="N319:N320"/>
    <mergeCell ref="N323:N324"/>
    <mergeCell ref="N343:N344"/>
    <mergeCell ref="N496:N497"/>
    <mergeCell ref="L235:L236"/>
    <mergeCell ref="H31:H32"/>
    <mergeCell ref="J35:J36"/>
    <mergeCell ref="I35:I36"/>
    <mergeCell ref="N175:N176"/>
    <mergeCell ref="N183:N184"/>
    <mergeCell ref="N187:N188"/>
    <mergeCell ref="N191:N192"/>
    <mergeCell ref="N195:N196"/>
    <mergeCell ref="N199:N200"/>
    <mergeCell ref="N203:N204"/>
    <mergeCell ref="N207:N208"/>
    <mergeCell ref="N219:N220"/>
    <mergeCell ref="L87:L88"/>
    <mergeCell ref="M87:M88"/>
    <mergeCell ref="K203:K204"/>
    <mergeCell ref="L79:L80"/>
    <mergeCell ref="M79:M80"/>
    <mergeCell ref="L91:L92"/>
    <mergeCell ref="M91:M92"/>
    <mergeCell ref="I187:I188"/>
    <mergeCell ref="J187:J188"/>
    <mergeCell ref="K175:K176"/>
    <mergeCell ref="I103:I104"/>
    <mergeCell ref="J103:J104"/>
    <mergeCell ref="K103:K104"/>
    <mergeCell ref="L103:L104"/>
    <mergeCell ref="M103:M104"/>
    <mergeCell ref="I111:I112"/>
    <mergeCell ref="J111:J112"/>
    <mergeCell ref="K111:K112"/>
    <mergeCell ref="L111:L112"/>
    <mergeCell ref="M111:M112"/>
    <mergeCell ref="B63:B64"/>
    <mergeCell ref="N3:N4"/>
    <mergeCell ref="N11:N12"/>
    <mergeCell ref="N19:N20"/>
    <mergeCell ref="N23:N24"/>
    <mergeCell ref="N27:N28"/>
    <mergeCell ref="N31:N32"/>
    <mergeCell ref="N35:N36"/>
    <mergeCell ref="N43:N44"/>
    <mergeCell ref="N47:N48"/>
    <mergeCell ref="N51:N52"/>
    <mergeCell ref="N39:N40"/>
    <mergeCell ref="K39:K40"/>
    <mergeCell ref="L39:L40"/>
    <mergeCell ref="M39:M40"/>
    <mergeCell ref="L19:L20"/>
    <mergeCell ref="F39:F40"/>
    <mergeCell ref="G39:G40"/>
    <mergeCell ref="H39:H40"/>
    <mergeCell ref="M19:M20"/>
    <mergeCell ref="I11:I12"/>
    <mergeCell ref="J11:J12"/>
    <mergeCell ref="K11:K12"/>
    <mergeCell ref="L11:L12"/>
    <mergeCell ref="M11:M12"/>
    <mergeCell ref="B31:B32"/>
    <mergeCell ref="F23:F24"/>
    <mergeCell ref="G19:G20"/>
    <mergeCell ref="H19:H20"/>
    <mergeCell ref="I19:I20"/>
    <mergeCell ref="F31:F32"/>
    <mergeCell ref="G31:G32"/>
    <mergeCell ref="D39:D40"/>
    <mergeCell ref="I163:I164"/>
    <mergeCell ref="J163:J164"/>
    <mergeCell ref="J171:J172"/>
    <mergeCell ref="K171:K172"/>
    <mergeCell ref="L171:L172"/>
    <mergeCell ref="B47:B48"/>
    <mergeCell ref="J87:J88"/>
    <mergeCell ref="K87:K88"/>
    <mergeCell ref="C31:C32"/>
    <mergeCell ref="D31:D32"/>
    <mergeCell ref="E31:E32"/>
    <mergeCell ref="B55:B56"/>
    <mergeCell ref="B59:B60"/>
    <mergeCell ref="K91:K92"/>
    <mergeCell ref="L71:L72"/>
    <mergeCell ref="L55:L56"/>
    <mergeCell ref="G43:G44"/>
    <mergeCell ref="H43:H44"/>
    <mergeCell ref="K47:K48"/>
    <mergeCell ref="G47:G48"/>
    <mergeCell ref="H47:H48"/>
    <mergeCell ref="I47:I48"/>
    <mergeCell ref="E39:E40"/>
    <mergeCell ref="C55:C56"/>
    <mergeCell ref="D55:D56"/>
    <mergeCell ref="E55:E56"/>
    <mergeCell ref="L51:L52"/>
    <mergeCell ref="C63:C64"/>
    <mergeCell ref="D63:D64"/>
    <mergeCell ref="E63:E64"/>
    <mergeCell ref="F63:F64"/>
    <mergeCell ref="A591:A594"/>
    <mergeCell ref="B591:B592"/>
    <mergeCell ref="C591:C592"/>
    <mergeCell ref="D591:D592"/>
    <mergeCell ref="E591:E592"/>
    <mergeCell ref="I591:I592"/>
    <mergeCell ref="J591:J592"/>
    <mergeCell ref="K591:K592"/>
    <mergeCell ref="L591:L592"/>
    <mergeCell ref="M591:M592"/>
    <mergeCell ref="C275:C276"/>
    <mergeCell ref="D275:D276"/>
    <mergeCell ref="K283:K284"/>
    <mergeCell ref="L283:L284"/>
    <mergeCell ref="M283:M284"/>
    <mergeCell ref="G283:G284"/>
    <mergeCell ref="H283:H284"/>
    <mergeCell ref="C283:C284"/>
    <mergeCell ref="D283:D284"/>
    <mergeCell ref="E283:E284"/>
    <mergeCell ref="F283:F284"/>
    <mergeCell ref="A363:A366"/>
    <mergeCell ref="B363:B364"/>
    <mergeCell ref="I363:I364"/>
    <mergeCell ref="J363:J364"/>
    <mergeCell ref="K363:K364"/>
    <mergeCell ref="G347:G348"/>
    <mergeCell ref="H347:H348"/>
    <mergeCell ref="I347:I348"/>
    <mergeCell ref="J347:J348"/>
    <mergeCell ref="G591:G592"/>
    <mergeCell ref="A416:A419"/>
    <mergeCell ref="O591:O592"/>
    <mergeCell ref="K287:K288"/>
    <mergeCell ref="L287:L288"/>
    <mergeCell ref="M287:M288"/>
    <mergeCell ref="O287:O288"/>
    <mergeCell ref="A307:A310"/>
    <mergeCell ref="B520:B521"/>
    <mergeCell ref="C520:C521"/>
    <mergeCell ref="D520:D521"/>
    <mergeCell ref="E520:E521"/>
    <mergeCell ref="C303:C304"/>
    <mergeCell ref="D303:D304"/>
    <mergeCell ref="E303:E304"/>
    <mergeCell ref="F303:F304"/>
    <mergeCell ref="G303:G304"/>
    <mergeCell ref="H303:H304"/>
    <mergeCell ref="J299:J300"/>
    <mergeCell ref="N291:N292"/>
    <mergeCell ref="N295:N296"/>
    <mergeCell ref="N299:N300"/>
    <mergeCell ref="N303:N304"/>
    <mergeCell ref="N307:N308"/>
    <mergeCell ref="B351:B352"/>
    <mergeCell ref="I307:I308"/>
    <mergeCell ref="F347:F348"/>
    <mergeCell ref="B383:B384"/>
    <mergeCell ref="N579:N580"/>
    <mergeCell ref="N591:N592"/>
    <mergeCell ref="B396:B397"/>
    <mergeCell ref="N311:N312"/>
    <mergeCell ref="O347:O348"/>
    <mergeCell ref="F591:F592"/>
    <mergeCell ref="B343:B344"/>
    <mergeCell ref="O255:O256"/>
    <mergeCell ref="C255:C256"/>
    <mergeCell ref="D255:D256"/>
    <mergeCell ref="K263:K264"/>
    <mergeCell ref="L263:L264"/>
    <mergeCell ref="M263:M264"/>
    <mergeCell ref="O263:O264"/>
    <mergeCell ref="J255:J256"/>
    <mergeCell ref="E263:E264"/>
    <mergeCell ref="F263:F264"/>
    <mergeCell ref="G263:G264"/>
    <mergeCell ref="H263:H264"/>
    <mergeCell ref="I259:I260"/>
    <mergeCell ref="K259:K260"/>
    <mergeCell ref="L259:L260"/>
    <mergeCell ref="M259:M260"/>
    <mergeCell ref="I263:I264"/>
    <mergeCell ref="G319:G320"/>
    <mergeCell ref="H319:H320"/>
    <mergeCell ref="E323:E324"/>
    <mergeCell ref="F323:F324"/>
    <mergeCell ref="G323:G324"/>
    <mergeCell ref="M271:M272"/>
    <mergeCell ref="C271:C272"/>
    <mergeCell ref="D271:D272"/>
    <mergeCell ref="E271:E272"/>
    <mergeCell ref="F271:F272"/>
    <mergeCell ref="H271:H272"/>
    <mergeCell ref="K275:K276"/>
    <mergeCell ref="O259:O260"/>
    <mergeCell ref="C263:C264"/>
    <mergeCell ref="A560:A562"/>
    <mergeCell ref="I267:I268"/>
    <mergeCell ref="I299:I300"/>
    <mergeCell ref="B436:B437"/>
    <mergeCell ref="A420:A423"/>
    <mergeCell ref="A424:A427"/>
    <mergeCell ref="A428:A431"/>
    <mergeCell ref="A412:A415"/>
    <mergeCell ref="I255:I256"/>
    <mergeCell ref="A404:A407"/>
    <mergeCell ref="B400:B401"/>
    <mergeCell ref="I275:I276"/>
    <mergeCell ref="A524:A527"/>
    <mergeCell ref="A528:A531"/>
    <mergeCell ref="A532:A535"/>
    <mergeCell ref="B528:B529"/>
    <mergeCell ref="B532:B533"/>
    <mergeCell ref="B387:B389"/>
    <mergeCell ref="B335:B336"/>
    <mergeCell ref="C335:C336"/>
    <mergeCell ref="D335:D336"/>
    <mergeCell ref="E335:E336"/>
    <mergeCell ref="F335:F336"/>
    <mergeCell ref="A504:A507"/>
    <mergeCell ref="A520:A523"/>
    <mergeCell ref="A347:A350"/>
    <mergeCell ref="B347:B348"/>
    <mergeCell ref="A323:A326"/>
    <mergeCell ref="G520:G521"/>
    <mergeCell ref="F520:F521"/>
    <mergeCell ref="B355:B356"/>
    <mergeCell ref="A311:A314"/>
    <mergeCell ref="D175:D176"/>
    <mergeCell ref="E175:E176"/>
    <mergeCell ref="F175:F176"/>
    <mergeCell ref="G175:G176"/>
    <mergeCell ref="H175:H176"/>
    <mergeCell ref="A243:A246"/>
    <mergeCell ref="A227:A230"/>
    <mergeCell ref="A231:A234"/>
    <mergeCell ref="A235:A238"/>
    <mergeCell ref="B227:B228"/>
    <mergeCell ref="L195:L196"/>
    <mergeCell ref="M195:M196"/>
    <mergeCell ref="I203:I204"/>
    <mergeCell ref="J203:J204"/>
    <mergeCell ref="L187:L188"/>
    <mergeCell ref="M187:M188"/>
    <mergeCell ref="O187:O188"/>
    <mergeCell ref="C187:C188"/>
    <mergeCell ref="D187:D188"/>
    <mergeCell ref="E187:E188"/>
    <mergeCell ref="F187:F188"/>
    <mergeCell ref="G187:G188"/>
    <mergeCell ref="O191:O192"/>
    <mergeCell ref="K199:K200"/>
    <mergeCell ref="F191:F192"/>
    <mergeCell ref="G191:G192"/>
    <mergeCell ref="E191:E192"/>
    <mergeCell ref="K183:K184"/>
    <mergeCell ref="H183:H184"/>
    <mergeCell ref="B175:B176"/>
    <mergeCell ref="H191:H192"/>
    <mergeCell ref="I183:I184"/>
    <mergeCell ref="O163:O164"/>
    <mergeCell ref="N163:N164"/>
    <mergeCell ref="N167:N168"/>
    <mergeCell ref="N171:N172"/>
    <mergeCell ref="I171:I172"/>
    <mergeCell ref="K163:K164"/>
    <mergeCell ref="L163:L164"/>
    <mergeCell ref="M163:M164"/>
    <mergeCell ref="C163:C164"/>
    <mergeCell ref="D163:D164"/>
    <mergeCell ref="M171:M172"/>
    <mergeCell ref="F163:F164"/>
    <mergeCell ref="G163:G164"/>
    <mergeCell ref="F171:F172"/>
    <mergeCell ref="G171:G172"/>
    <mergeCell ref="H171:H172"/>
    <mergeCell ref="I167:I168"/>
    <mergeCell ref="J167:J168"/>
    <mergeCell ref="K167:K168"/>
    <mergeCell ref="E163:E164"/>
    <mergeCell ref="H163:H164"/>
    <mergeCell ref="O171:O172"/>
    <mergeCell ref="C171:C172"/>
    <mergeCell ref="D171:D172"/>
    <mergeCell ref="E171:E172"/>
    <mergeCell ref="L167:L168"/>
    <mergeCell ref="M167:M168"/>
    <mergeCell ref="O183:O184"/>
    <mergeCell ref="D183:D184"/>
    <mergeCell ref="H187:H188"/>
    <mergeCell ref="K191:K192"/>
    <mergeCell ref="L191:L192"/>
    <mergeCell ref="M191:M192"/>
    <mergeCell ref="K187:K188"/>
    <mergeCell ref="A351:A354"/>
    <mergeCell ref="B412:B413"/>
    <mergeCell ref="A396:A399"/>
    <mergeCell ref="A400:A403"/>
    <mergeCell ref="E347:E348"/>
    <mergeCell ref="B275:B276"/>
    <mergeCell ref="B283:B284"/>
    <mergeCell ref="E255:E256"/>
    <mergeCell ref="D263:D264"/>
    <mergeCell ref="C191:C192"/>
    <mergeCell ref="D191:D192"/>
    <mergeCell ref="I303:I304"/>
    <mergeCell ref="J303:J304"/>
    <mergeCell ref="K303:K304"/>
    <mergeCell ref="B307:B308"/>
    <mergeCell ref="M303:M304"/>
    <mergeCell ref="H267:H268"/>
    <mergeCell ref="F255:F256"/>
    <mergeCell ref="O219:O220"/>
    <mergeCell ref="M215:M216"/>
    <mergeCell ref="O215:O216"/>
    <mergeCell ref="C215:C216"/>
    <mergeCell ref="E207:E208"/>
    <mergeCell ref="B295:B296"/>
    <mergeCell ref="B339:B340"/>
    <mergeCell ref="O203:O204"/>
    <mergeCell ref="C203:C204"/>
    <mergeCell ref="D203:D204"/>
    <mergeCell ref="E203:E204"/>
    <mergeCell ref="F203:F204"/>
    <mergeCell ref="G203:G204"/>
    <mergeCell ref="H203:H204"/>
    <mergeCell ref="O167:O168"/>
    <mergeCell ref="C167:C168"/>
    <mergeCell ref="D167:D168"/>
    <mergeCell ref="E167:E168"/>
    <mergeCell ref="F167:F168"/>
    <mergeCell ref="G167:G168"/>
    <mergeCell ref="H167:H168"/>
    <mergeCell ref="G183:G184"/>
    <mergeCell ref="I175:I176"/>
    <mergeCell ref="J175:J176"/>
    <mergeCell ref="E183:E184"/>
    <mergeCell ref="F183:F184"/>
    <mergeCell ref="I191:I192"/>
    <mergeCell ref="J191:J192"/>
    <mergeCell ref="E199:E200"/>
    <mergeCell ref="F199:F200"/>
    <mergeCell ref="H195:H196"/>
    <mergeCell ref="J199:J200"/>
    <mergeCell ref="O195:O196"/>
    <mergeCell ref="C195:C196"/>
    <mergeCell ref="D195:D196"/>
    <mergeCell ref="E195:E196"/>
    <mergeCell ref="F195:F196"/>
    <mergeCell ref="J183:J184"/>
    <mergeCell ref="I199:I200"/>
    <mergeCell ref="B251:B252"/>
    <mergeCell ref="D223:D224"/>
    <mergeCell ref="B235:B236"/>
    <mergeCell ref="M239:M240"/>
    <mergeCell ref="K239:K240"/>
    <mergeCell ref="F239:F240"/>
    <mergeCell ref="I243:I244"/>
    <mergeCell ref="J243:J244"/>
    <mergeCell ref="C223:C224"/>
    <mergeCell ref="J231:J232"/>
    <mergeCell ref="L203:L204"/>
    <mergeCell ref="L215:L216"/>
    <mergeCell ref="C243:C244"/>
    <mergeCell ref="D243:D244"/>
    <mergeCell ref="E243:E244"/>
    <mergeCell ref="K227:K228"/>
    <mergeCell ref="I239:I240"/>
    <mergeCell ref="D207:D208"/>
    <mergeCell ref="J239:J240"/>
    <mergeCell ref="J223:J224"/>
    <mergeCell ref="M235:M236"/>
    <mergeCell ref="C239:C240"/>
    <mergeCell ref="D239:D240"/>
    <mergeCell ref="G251:G252"/>
    <mergeCell ref="H251:H252"/>
    <mergeCell ref="E211:E212"/>
    <mergeCell ref="F211:F212"/>
    <mergeCell ref="G211:G212"/>
    <mergeCell ref="H211:H212"/>
    <mergeCell ref="I215:I216"/>
    <mergeCell ref="J215:J216"/>
    <mergeCell ref="I227:I228"/>
    <mergeCell ref="G195:G196"/>
    <mergeCell ref="G199:G200"/>
    <mergeCell ref="H199:H200"/>
    <mergeCell ref="I195:I196"/>
    <mergeCell ref="J195:J196"/>
    <mergeCell ref="I223:I224"/>
    <mergeCell ref="K223:K224"/>
    <mergeCell ref="L223:L224"/>
    <mergeCell ref="M223:M224"/>
    <mergeCell ref="K231:K232"/>
    <mergeCell ref="L199:L200"/>
    <mergeCell ref="M199:M200"/>
    <mergeCell ref="O199:O200"/>
    <mergeCell ref="C199:C200"/>
    <mergeCell ref="D199:D200"/>
    <mergeCell ref="K207:K208"/>
    <mergeCell ref="K219:K220"/>
    <mergeCell ref="K215:K216"/>
    <mergeCell ref="F215:F216"/>
    <mergeCell ref="G215:G216"/>
    <mergeCell ref="H215:H216"/>
    <mergeCell ref="I211:I212"/>
    <mergeCell ref="J211:J212"/>
    <mergeCell ref="K211:K212"/>
    <mergeCell ref="L211:L212"/>
    <mergeCell ref="M211:M212"/>
    <mergeCell ref="O211:O212"/>
    <mergeCell ref="C211:C212"/>
    <mergeCell ref="D211:D212"/>
    <mergeCell ref="N211:N212"/>
    <mergeCell ref="N215:N216"/>
    <mergeCell ref="E223:E224"/>
    <mergeCell ref="O235:O236"/>
    <mergeCell ref="C235:C236"/>
    <mergeCell ref="D235:D236"/>
    <mergeCell ref="D231:D232"/>
    <mergeCell ref="E231:E232"/>
    <mergeCell ref="F231:F232"/>
    <mergeCell ref="D215:D216"/>
    <mergeCell ref="C343:C344"/>
    <mergeCell ref="D343:D344"/>
    <mergeCell ref="E343:E344"/>
    <mergeCell ref="F343:F344"/>
    <mergeCell ref="G343:G344"/>
    <mergeCell ref="H343:H344"/>
    <mergeCell ref="C375:C376"/>
    <mergeCell ref="A251:A254"/>
    <mergeCell ref="F243:F244"/>
    <mergeCell ref="G243:G244"/>
    <mergeCell ref="H243:H244"/>
    <mergeCell ref="C267:C268"/>
    <mergeCell ref="D267:D268"/>
    <mergeCell ref="E267:E268"/>
    <mergeCell ref="F267:F268"/>
    <mergeCell ref="G267:G268"/>
    <mergeCell ref="E247:E248"/>
    <mergeCell ref="F247:F248"/>
    <mergeCell ref="G247:G248"/>
    <mergeCell ref="H247:H248"/>
    <mergeCell ref="A303:A306"/>
    <mergeCell ref="C251:C252"/>
    <mergeCell ref="D251:D252"/>
    <mergeCell ref="E251:E252"/>
    <mergeCell ref="F251:F252"/>
    <mergeCell ref="A327:A330"/>
    <mergeCell ref="A339:A342"/>
    <mergeCell ref="D295:D296"/>
    <mergeCell ref="E295:E296"/>
    <mergeCell ref="F295:F296"/>
    <mergeCell ref="A476:A479"/>
    <mergeCell ref="A379:A382"/>
    <mergeCell ref="A383:A386"/>
    <mergeCell ref="A387:A391"/>
    <mergeCell ref="B404:B405"/>
    <mergeCell ref="B379:B380"/>
    <mergeCell ref="A452:A455"/>
    <mergeCell ref="A484:A487"/>
    <mergeCell ref="A468:A471"/>
    <mergeCell ref="A472:A475"/>
    <mergeCell ref="B468:B469"/>
    <mergeCell ref="A464:A467"/>
    <mergeCell ref="B464:B465"/>
    <mergeCell ref="A448:A451"/>
    <mergeCell ref="A456:A459"/>
    <mergeCell ref="A436:A439"/>
    <mergeCell ref="A355:A358"/>
    <mergeCell ref="A359:A362"/>
    <mergeCell ref="C331:C332"/>
    <mergeCell ref="D331:D332"/>
    <mergeCell ref="E331:E332"/>
    <mergeCell ref="F331:F332"/>
    <mergeCell ref="C339:C340"/>
    <mergeCell ref="D339:D340"/>
    <mergeCell ref="E339:E340"/>
    <mergeCell ref="F339:F340"/>
    <mergeCell ref="C355:C356"/>
    <mergeCell ref="A239:A242"/>
    <mergeCell ref="A480:A483"/>
    <mergeCell ref="B271:B272"/>
    <mergeCell ref="A215:A218"/>
    <mergeCell ref="B267:B268"/>
    <mergeCell ref="B239:B240"/>
    <mergeCell ref="B243:B244"/>
    <mergeCell ref="A247:A250"/>
    <mergeCell ref="A279:A282"/>
    <mergeCell ref="A255:A258"/>
    <mergeCell ref="A259:A262"/>
    <mergeCell ref="B255:B256"/>
    <mergeCell ref="B323:B324"/>
    <mergeCell ref="B303:B304"/>
    <mergeCell ref="A508:A511"/>
    <mergeCell ref="A512:A515"/>
    <mergeCell ref="A516:A519"/>
    <mergeCell ref="A496:A499"/>
    <mergeCell ref="A500:A503"/>
    <mergeCell ref="A343:A346"/>
    <mergeCell ref="B359:B360"/>
    <mergeCell ref="B287:B288"/>
    <mergeCell ref="B416:B417"/>
    <mergeCell ref="B279:B280"/>
    <mergeCell ref="B259:B260"/>
    <mergeCell ref="B291:B292"/>
    <mergeCell ref="B496:B497"/>
    <mergeCell ref="A488:A491"/>
    <mergeCell ref="A492:A495"/>
    <mergeCell ref="B392:B393"/>
    <mergeCell ref="A392:A395"/>
    <mergeCell ref="B456:B457"/>
    <mergeCell ref="A203:A206"/>
    <mergeCell ref="A219:A222"/>
    <mergeCell ref="A223:A226"/>
    <mergeCell ref="B223:B224"/>
    <mergeCell ref="B199:B200"/>
    <mergeCell ref="B203:B204"/>
    <mergeCell ref="B195:B196"/>
    <mergeCell ref="B211:B212"/>
    <mergeCell ref="B191:B192"/>
    <mergeCell ref="A163:A166"/>
    <mergeCell ref="B163:B164"/>
    <mergeCell ref="A83:A86"/>
    <mergeCell ref="B315:B316"/>
    <mergeCell ref="B319:B320"/>
    <mergeCell ref="B327:B328"/>
    <mergeCell ref="A331:A334"/>
    <mergeCell ref="B331:B332"/>
    <mergeCell ref="B247:B248"/>
    <mergeCell ref="A287:A290"/>
    <mergeCell ref="A291:A294"/>
    <mergeCell ref="B299:B300"/>
    <mergeCell ref="B207:B208"/>
    <mergeCell ref="A319:A322"/>
    <mergeCell ref="B311:B312"/>
    <mergeCell ref="A295:A298"/>
    <mergeCell ref="A299:A302"/>
    <mergeCell ref="B215:B216"/>
    <mergeCell ref="B219:B220"/>
    <mergeCell ref="A207:A210"/>
    <mergeCell ref="A283:A286"/>
    <mergeCell ref="A271:A274"/>
    <mergeCell ref="A275:A278"/>
    <mergeCell ref="B3:B4"/>
    <mergeCell ref="B35:B36"/>
    <mergeCell ref="B23:B24"/>
    <mergeCell ref="B27:B28"/>
    <mergeCell ref="B11:B12"/>
    <mergeCell ref="A55:A58"/>
    <mergeCell ref="A39:A42"/>
    <mergeCell ref="B39:B40"/>
    <mergeCell ref="B167:B168"/>
    <mergeCell ref="B171:B172"/>
    <mergeCell ref="A151:A154"/>
    <mergeCell ref="A155:A158"/>
    <mergeCell ref="B151:B152"/>
    <mergeCell ref="A139:A142"/>
    <mergeCell ref="A143:A146"/>
    <mergeCell ref="A147:A150"/>
    <mergeCell ref="B147:B148"/>
    <mergeCell ref="A127:A130"/>
    <mergeCell ref="A131:A134"/>
    <mergeCell ref="A135:A138"/>
    <mergeCell ref="A159:A162"/>
    <mergeCell ref="A167:A170"/>
    <mergeCell ref="A171:A174"/>
    <mergeCell ref="B135:B136"/>
    <mergeCell ref="B139:B140"/>
    <mergeCell ref="B143:B144"/>
    <mergeCell ref="A15:A18"/>
    <mergeCell ref="B15:B16"/>
    <mergeCell ref="B19:B20"/>
    <mergeCell ref="A115:A118"/>
    <mergeCell ref="A119:A122"/>
    <mergeCell ref="B51:B52"/>
    <mergeCell ref="A79:A82"/>
    <mergeCell ref="A67:A70"/>
    <mergeCell ref="B71:B72"/>
    <mergeCell ref="B79:B80"/>
    <mergeCell ref="B83:B84"/>
    <mergeCell ref="B67:B68"/>
    <mergeCell ref="A87:A90"/>
    <mergeCell ref="B87:B88"/>
    <mergeCell ref="B155:B156"/>
    <mergeCell ref="B159:B160"/>
    <mergeCell ref="B127:B128"/>
    <mergeCell ref="B131:B132"/>
    <mergeCell ref="A107:A110"/>
    <mergeCell ref="A111:A114"/>
    <mergeCell ref="A199:A202"/>
    <mergeCell ref="B119:B120"/>
    <mergeCell ref="A91:A94"/>
    <mergeCell ref="A99:A102"/>
    <mergeCell ref="A71:A74"/>
    <mergeCell ref="A75:A78"/>
    <mergeCell ref="A187:A190"/>
    <mergeCell ref="B187:B188"/>
    <mergeCell ref="B91:B92"/>
    <mergeCell ref="B99:B100"/>
    <mergeCell ref="B103:B104"/>
    <mergeCell ref="B107:B108"/>
    <mergeCell ref="B111:B112"/>
    <mergeCell ref="B115:B116"/>
    <mergeCell ref="A103:A106"/>
    <mergeCell ref="B183:B184"/>
    <mergeCell ref="A95:A98"/>
    <mergeCell ref="B95:B96"/>
    <mergeCell ref="A211:A214"/>
    <mergeCell ref="B231:B232"/>
    <mergeCell ref="A191:A194"/>
    <mergeCell ref="A195:A198"/>
    <mergeCell ref="A460:A463"/>
    <mergeCell ref="A440:A443"/>
    <mergeCell ref="B440:B441"/>
    <mergeCell ref="A432:A435"/>
    <mergeCell ref="K35:K36"/>
    <mergeCell ref="J47:J48"/>
    <mergeCell ref="A3:A6"/>
    <mergeCell ref="A11:A14"/>
    <mergeCell ref="A19:A22"/>
    <mergeCell ref="A23:A26"/>
    <mergeCell ref="A27:A30"/>
    <mergeCell ref="C183:C184"/>
    <mergeCell ref="A375:A378"/>
    <mergeCell ref="A408:A411"/>
    <mergeCell ref="B408:B409"/>
    <mergeCell ref="B367:B368"/>
    <mergeCell ref="B371:B372"/>
    <mergeCell ref="B375:B376"/>
    <mergeCell ref="A123:A126"/>
    <mergeCell ref="A175:A178"/>
    <mergeCell ref="A183:A186"/>
    <mergeCell ref="B123:B124"/>
    <mergeCell ref="A367:A370"/>
    <mergeCell ref="A371:A374"/>
    <mergeCell ref="C43:C44"/>
    <mergeCell ref="D43:D44"/>
    <mergeCell ref="E43:E44"/>
    <mergeCell ref="F43:F44"/>
    <mergeCell ref="I39:I40"/>
    <mergeCell ref="M27:M28"/>
    <mergeCell ref="M35:M36"/>
    <mergeCell ref="O35:O36"/>
    <mergeCell ref="F35:F36"/>
    <mergeCell ref="J39:J40"/>
    <mergeCell ref="H35:H36"/>
    <mergeCell ref="I31:I32"/>
    <mergeCell ref="J31:J32"/>
    <mergeCell ref="K31:K32"/>
    <mergeCell ref="N59:N60"/>
    <mergeCell ref="N63:N64"/>
    <mergeCell ref="M31:M32"/>
    <mergeCell ref="O31:O32"/>
    <mergeCell ref="O55:O56"/>
    <mergeCell ref="O63:O64"/>
    <mergeCell ref="O71:O72"/>
    <mergeCell ref="L31:L32"/>
    <mergeCell ref="M47:M48"/>
    <mergeCell ref="O47:O48"/>
    <mergeCell ref="O39:O40"/>
    <mergeCell ref="O43:O44"/>
    <mergeCell ref="M55:M56"/>
    <mergeCell ref="F55:F56"/>
    <mergeCell ref="G55:G56"/>
    <mergeCell ref="H55:H56"/>
    <mergeCell ref="I51:I52"/>
    <mergeCell ref="J51:J52"/>
    <mergeCell ref="K51:K52"/>
    <mergeCell ref="M51:M52"/>
    <mergeCell ref="O51:O52"/>
    <mergeCell ref="G63:G64"/>
    <mergeCell ref="C51:C52"/>
    <mergeCell ref="D51:D52"/>
    <mergeCell ref="E51:E52"/>
    <mergeCell ref="F51:F52"/>
    <mergeCell ref="G51:G52"/>
    <mergeCell ref="H51:H52"/>
    <mergeCell ref="J55:J56"/>
    <mergeCell ref="K55:K56"/>
    <mergeCell ref="I55:I56"/>
    <mergeCell ref="N55:N56"/>
    <mergeCell ref="C47:C48"/>
    <mergeCell ref="D47:D48"/>
    <mergeCell ref="E47:E48"/>
    <mergeCell ref="F47:F48"/>
    <mergeCell ref="I43:I44"/>
    <mergeCell ref="J43:J44"/>
    <mergeCell ref="K43:K44"/>
    <mergeCell ref="L43:L44"/>
    <mergeCell ref="M43:M44"/>
    <mergeCell ref="H63:H64"/>
    <mergeCell ref="I59:I60"/>
    <mergeCell ref="J59:J60"/>
    <mergeCell ref="K59:K60"/>
    <mergeCell ref="L59:L60"/>
    <mergeCell ref="M59:M60"/>
    <mergeCell ref="O59:O60"/>
    <mergeCell ref="C59:C60"/>
    <mergeCell ref="D59:D60"/>
    <mergeCell ref="E59:E60"/>
    <mergeCell ref="F59:F60"/>
    <mergeCell ref="G59:G60"/>
    <mergeCell ref="H59:H60"/>
    <mergeCell ref="L63:L64"/>
    <mergeCell ref="J63:J64"/>
    <mergeCell ref="K63:K64"/>
    <mergeCell ref="I63:I64"/>
    <mergeCell ref="M63:M64"/>
    <mergeCell ref="C71:C72"/>
    <mergeCell ref="D71:D72"/>
    <mergeCell ref="E71:E72"/>
    <mergeCell ref="F71:F72"/>
    <mergeCell ref="G71:G72"/>
    <mergeCell ref="H71:H72"/>
    <mergeCell ref="I67:I68"/>
    <mergeCell ref="J67:J68"/>
    <mergeCell ref="K67:K68"/>
    <mergeCell ref="L67:L68"/>
    <mergeCell ref="M67:M68"/>
    <mergeCell ref="O67:O68"/>
    <mergeCell ref="C67:C68"/>
    <mergeCell ref="D67:D68"/>
    <mergeCell ref="E67:E68"/>
    <mergeCell ref="F67:F68"/>
    <mergeCell ref="G67:G68"/>
    <mergeCell ref="H67:H68"/>
    <mergeCell ref="J71:J72"/>
    <mergeCell ref="K71:K72"/>
    <mergeCell ref="I71:I72"/>
    <mergeCell ref="N67:N68"/>
    <mergeCell ref="N71:N72"/>
    <mergeCell ref="M71:M72"/>
    <mergeCell ref="C79:C80"/>
    <mergeCell ref="D79:D80"/>
    <mergeCell ref="E79:E80"/>
    <mergeCell ref="F79:F80"/>
    <mergeCell ref="G79:G80"/>
    <mergeCell ref="H79:H80"/>
    <mergeCell ref="I75:I76"/>
    <mergeCell ref="J75:J76"/>
    <mergeCell ref="K75:K76"/>
    <mergeCell ref="L75:L76"/>
    <mergeCell ref="M75:M76"/>
    <mergeCell ref="O75:O76"/>
    <mergeCell ref="C75:C76"/>
    <mergeCell ref="D75:D76"/>
    <mergeCell ref="E75:E76"/>
    <mergeCell ref="F75:F76"/>
    <mergeCell ref="G75:G76"/>
    <mergeCell ref="H75:H76"/>
    <mergeCell ref="I79:I80"/>
    <mergeCell ref="J79:J80"/>
    <mergeCell ref="K79:K80"/>
    <mergeCell ref="N75:N76"/>
    <mergeCell ref="N79:N80"/>
    <mergeCell ref="O79:O80"/>
    <mergeCell ref="O91:O92"/>
    <mergeCell ref="C91:C92"/>
    <mergeCell ref="D91:D92"/>
    <mergeCell ref="E91:E92"/>
    <mergeCell ref="F91:F92"/>
    <mergeCell ref="G91:G92"/>
    <mergeCell ref="H91:H92"/>
    <mergeCell ref="I83:I84"/>
    <mergeCell ref="J83:J84"/>
    <mergeCell ref="K83:K84"/>
    <mergeCell ref="L83:L84"/>
    <mergeCell ref="M83:M84"/>
    <mergeCell ref="O83:O84"/>
    <mergeCell ref="C83:C84"/>
    <mergeCell ref="D83:D84"/>
    <mergeCell ref="E83:E84"/>
    <mergeCell ref="F83:F84"/>
    <mergeCell ref="G83:G84"/>
    <mergeCell ref="H83:H84"/>
    <mergeCell ref="C87:C88"/>
    <mergeCell ref="D87:D88"/>
    <mergeCell ref="E87:E88"/>
    <mergeCell ref="F87:F88"/>
    <mergeCell ref="G87:G88"/>
    <mergeCell ref="H87:H88"/>
    <mergeCell ref="I87:I88"/>
    <mergeCell ref="N83:N84"/>
    <mergeCell ref="N91:N92"/>
    <mergeCell ref="I91:I92"/>
    <mergeCell ref="J91:J92"/>
    <mergeCell ref="N87:N88"/>
    <mergeCell ref="O87:O88"/>
    <mergeCell ref="O103:O104"/>
    <mergeCell ref="C103:C104"/>
    <mergeCell ref="D103:D104"/>
    <mergeCell ref="E103:E104"/>
    <mergeCell ref="F103:F104"/>
    <mergeCell ref="G103:G104"/>
    <mergeCell ref="H103:H104"/>
    <mergeCell ref="I99:I100"/>
    <mergeCell ref="J99:J100"/>
    <mergeCell ref="K99:K100"/>
    <mergeCell ref="L99:L100"/>
    <mergeCell ref="M99:M100"/>
    <mergeCell ref="O99:O100"/>
    <mergeCell ref="C99:C100"/>
    <mergeCell ref="D99:D100"/>
    <mergeCell ref="E99:E100"/>
    <mergeCell ref="F99:F100"/>
    <mergeCell ref="G99:G100"/>
    <mergeCell ref="H99:H100"/>
    <mergeCell ref="N99:N100"/>
    <mergeCell ref="N103:N104"/>
    <mergeCell ref="O111:O112"/>
    <mergeCell ref="C111:C112"/>
    <mergeCell ref="D111:D112"/>
    <mergeCell ref="E111:E112"/>
    <mergeCell ref="F111:F112"/>
    <mergeCell ref="G111:G112"/>
    <mergeCell ref="H111:H112"/>
    <mergeCell ref="I107:I108"/>
    <mergeCell ref="J107:J108"/>
    <mergeCell ref="K107:K108"/>
    <mergeCell ref="L107:L108"/>
    <mergeCell ref="M107:M108"/>
    <mergeCell ref="O107:O108"/>
    <mergeCell ref="C107:C108"/>
    <mergeCell ref="D107:D108"/>
    <mergeCell ref="E107:E108"/>
    <mergeCell ref="F107:F108"/>
    <mergeCell ref="G107:G108"/>
    <mergeCell ref="H107:H108"/>
    <mergeCell ref="N107:N108"/>
    <mergeCell ref="N111:N112"/>
    <mergeCell ref="O119:O120"/>
    <mergeCell ref="C119:C120"/>
    <mergeCell ref="D119:D120"/>
    <mergeCell ref="E119:E120"/>
    <mergeCell ref="F119:F120"/>
    <mergeCell ref="G119:G120"/>
    <mergeCell ref="H119:H120"/>
    <mergeCell ref="I115:I116"/>
    <mergeCell ref="J115:J116"/>
    <mergeCell ref="K115:K116"/>
    <mergeCell ref="L115:L116"/>
    <mergeCell ref="M115:M116"/>
    <mergeCell ref="O115:O116"/>
    <mergeCell ref="C115:C116"/>
    <mergeCell ref="D115:D116"/>
    <mergeCell ref="E115:E116"/>
    <mergeCell ref="F115:F116"/>
    <mergeCell ref="G115:G116"/>
    <mergeCell ref="H115:H116"/>
    <mergeCell ref="N115:N116"/>
    <mergeCell ref="N119:N120"/>
    <mergeCell ref="O127:O128"/>
    <mergeCell ref="C127:C128"/>
    <mergeCell ref="D127:D128"/>
    <mergeCell ref="E127:E128"/>
    <mergeCell ref="F127:F128"/>
    <mergeCell ref="G127:G128"/>
    <mergeCell ref="H127:H128"/>
    <mergeCell ref="I123:I124"/>
    <mergeCell ref="J123:J124"/>
    <mergeCell ref="K123:K124"/>
    <mergeCell ref="L123:L124"/>
    <mergeCell ref="M123:M124"/>
    <mergeCell ref="O123:O124"/>
    <mergeCell ref="C123:C124"/>
    <mergeCell ref="D123:D124"/>
    <mergeCell ref="E123:E124"/>
    <mergeCell ref="F123:F124"/>
    <mergeCell ref="G123:G124"/>
    <mergeCell ref="H123:H124"/>
    <mergeCell ref="N127:N128"/>
    <mergeCell ref="N123:N124"/>
    <mergeCell ref="O135:O136"/>
    <mergeCell ref="C135:C136"/>
    <mergeCell ref="D135:D136"/>
    <mergeCell ref="E135:E136"/>
    <mergeCell ref="F135:F136"/>
    <mergeCell ref="G135:G136"/>
    <mergeCell ref="H135:H136"/>
    <mergeCell ref="I131:I132"/>
    <mergeCell ref="J131:J132"/>
    <mergeCell ref="K131:K132"/>
    <mergeCell ref="L131:L132"/>
    <mergeCell ref="M131:M132"/>
    <mergeCell ref="O131:O132"/>
    <mergeCell ref="C131:C132"/>
    <mergeCell ref="D131:D132"/>
    <mergeCell ref="E131:E132"/>
    <mergeCell ref="F131:F132"/>
    <mergeCell ref="G131:G132"/>
    <mergeCell ref="H131:H132"/>
    <mergeCell ref="N131:N132"/>
    <mergeCell ref="N135:N136"/>
    <mergeCell ref="O143:O144"/>
    <mergeCell ref="C143:C144"/>
    <mergeCell ref="D143:D144"/>
    <mergeCell ref="E143:E144"/>
    <mergeCell ref="F143:F144"/>
    <mergeCell ref="G143:G144"/>
    <mergeCell ref="H143:H144"/>
    <mergeCell ref="I139:I140"/>
    <mergeCell ref="J139:J140"/>
    <mergeCell ref="K139:K140"/>
    <mergeCell ref="L139:L140"/>
    <mergeCell ref="M139:M140"/>
    <mergeCell ref="O139:O140"/>
    <mergeCell ref="C139:C140"/>
    <mergeCell ref="D139:D140"/>
    <mergeCell ref="E139:E140"/>
    <mergeCell ref="F139:F140"/>
    <mergeCell ref="G139:G140"/>
    <mergeCell ref="H139:H140"/>
    <mergeCell ref="N139:N140"/>
    <mergeCell ref="N143:N144"/>
    <mergeCell ref="K151:K152"/>
    <mergeCell ref="L151:L152"/>
    <mergeCell ref="M151:M152"/>
    <mergeCell ref="O151:O152"/>
    <mergeCell ref="C151:C152"/>
    <mergeCell ref="D151:D152"/>
    <mergeCell ref="E151:E152"/>
    <mergeCell ref="F151:F152"/>
    <mergeCell ref="G151:G152"/>
    <mergeCell ref="H151:H152"/>
    <mergeCell ref="I147:I148"/>
    <mergeCell ref="J147:J148"/>
    <mergeCell ref="K147:K148"/>
    <mergeCell ref="L147:L148"/>
    <mergeCell ref="M147:M148"/>
    <mergeCell ref="O147:O148"/>
    <mergeCell ref="C147:C148"/>
    <mergeCell ref="D147:D148"/>
    <mergeCell ref="E147:E148"/>
    <mergeCell ref="F147:F148"/>
    <mergeCell ref="G147:G148"/>
    <mergeCell ref="H147:H148"/>
    <mergeCell ref="N147:N148"/>
    <mergeCell ref="N151:N152"/>
    <mergeCell ref="I159:I160"/>
    <mergeCell ref="J159:J160"/>
    <mergeCell ref="K159:K160"/>
    <mergeCell ref="L159:L160"/>
    <mergeCell ref="M159:M160"/>
    <mergeCell ref="O159:O160"/>
    <mergeCell ref="C159:C160"/>
    <mergeCell ref="D159:D160"/>
    <mergeCell ref="E159:E160"/>
    <mergeCell ref="F159:F160"/>
    <mergeCell ref="G159:G160"/>
    <mergeCell ref="H159:H160"/>
    <mergeCell ref="I155:I156"/>
    <mergeCell ref="J155:J156"/>
    <mergeCell ref="K155:K156"/>
    <mergeCell ref="L155:L156"/>
    <mergeCell ref="M155:M156"/>
    <mergeCell ref="O155:O156"/>
    <mergeCell ref="C155:C156"/>
    <mergeCell ref="D155:D156"/>
    <mergeCell ref="E155:E156"/>
    <mergeCell ref="F155:F156"/>
    <mergeCell ref="G155:G156"/>
    <mergeCell ref="H155:H156"/>
    <mergeCell ref="N155:N156"/>
    <mergeCell ref="N159:N160"/>
    <mergeCell ref="C219:C220"/>
    <mergeCell ref="D219:D220"/>
    <mergeCell ref="E219:E220"/>
    <mergeCell ref="F219:F220"/>
    <mergeCell ref="G219:G220"/>
    <mergeCell ref="H219:H220"/>
    <mergeCell ref="C231:C232"/>
    <mergeCell ref="O207:O208"/>
    <mergeCell ref="C207:C208"/>
    <mergeCell ref="M227:M228"/>
    <mergeCell ref="O227:O228"/>
    <mergeCell ref="C227:C228"/>
    <mergeCell ref="D227:D228"/>
    <mergeCell ref="E227:E228"/>
    <mergeCell ref="F227:F228"/>
    <mergeCell ref="G227:G228"/>
    <mergeCell ref="H227:H228"/>
    <mergeCell ref="N227:N228"/>
    <mergeCell ref="N231:N232"/>
    <mergeCell ref="L231:L232"/>
    <mergeCell ref="M231:M232"/>
    <mergeCell ref="L227:L228"/>
    <mergeCell ref="I207:I208"/>
    <mergeCell ref="J207:J208"/>
    <mergeCell ref="L219:L220"/>
    <mergeCell ref="H207:H208"/>
    <mergeCell ref="J219:J220"/>
    <mergeCell ref="E215:E216"/>
    <mergeCell ref="J227:J228"/>
    <mergeCell ref="F207:F208"/>
    <mergeCell ref="G207:G208"/>
    <mergeCell ref="F223:F224"/>
    <mergeCell ref="M243:M244"/>
    <mergeCell ref="I291:I292"/>
    <mergeCell ref="J291:J292"/>
    <mergeCell ref="K291:K292"/>
    <mergeCell ref="L291:L292"/>
    <mergeCell ref="M291:M292"/>
    <mergeCell ref="O291:O292"/>
    <mergeCell ref="C291:C292"/>
    <mergeCell ref="D291:D292"/>
    <mergeCell ref="E291:E292"/>
    <mergeCell ref="F291:F292"/>
    <mergeCell ref="E275:E276"/>
    <mergeCell ref="F275:F276"/>
    <mergeCell ref="G275:G276"/>
    <mergeCell ref="H275:H276"/>
    <mergeCell ref="I271:I272"/>
    <mergeCell ref="K247:K248"/>
    <mergeCell ref="L247:L248"/>
    <mergeCell ref="M247:M248"/>
    <mergeCell ref="O247:O248"/>
    <mergeCell ref="C247:C248"/>
    <mergeCell ref="D247:D248"/>
    <mergeCell ref="N243:N244"/>
    <mergeCell ref="C287:C288"/>
    <mergeCell ref="G271:G272"/>
    <mergeCell ref="D287:D288"/>
    <mergeCell ref="E287:E288"/>
    <mergeCell ref="F287:F288"/>
    <mergeCell ref="M275:M276"/>
    <mergeCell ref="N279:N280"/>
    <mergeCell ref="N283:N284"/>
    <mergeCell ref="N287:N288"/>
    <mergeCell ref="H235:H236"/>
    <mergeCell ref="I247:I248"/>
    <mergeCell ref="J247:J248"/>
    <mergeCell ref="J259:J260"/>
    <mergeCell ref="J263:J264"/>
    <mergeCell ref="E239:E240"/>
    <mergeCell ref="H239:H240"/>
    <mergeCell ref="I231:I232"/>
    <mergeCell ref="G239:G240"/>
    <mergeCell ref="K255:K256"/>
    <mergeCell ref="L255:L256"/>
    <mergeCell ref="E235:E236"/>
    <mergeCell ref="F235:F236"/>
    <mergeCell ref="G235:G236"/>
    <mergeCell ref="G223:G224"/>
    <mergeCell ref="H223:H224"/>
    <mergeCell ref="I219:I220"/>
    <mergeCell ref="I235:I236"/>
    <mergeCell ref="J235:J236"/>
    <mergeCell ref="G231:G232"/>
    <mergeCell ref="H231:H232"/>
    <mergeCell ref="K235:K236"/>
    <mergeCell ref="N271:N272"/>
    <mergeCell ref="N275:N276"/>
    <mergeCell ref="K279:K280"/>
    <mergeCell ref="I279:I280"/>
    <mergeCell ref="J279:J280"/>
    <mergeCell ref="J271:J272"/>
    <mergeCell ref="K271:K272"/>
    <mergeCell ref="L271:L272"/>
    <mergeCell ref="M255:M256"/>
    <mergeCell ref="J267:J268"/>
    <mergeCell ref="K267:K268"/>
    <mergeCell ref="L267:L268"/>
    <mergeCell ref="M267:M268"/>
    <mergeCell ref="F259:F260"/>
    <mergeCell ref="G259:G260"/>
    <mergeCell ref="H259:H260"/>
    <mergeCell ref="G255:G256"/>
    <mergeCell ref="H255:H256"/>
    <mergeCell ref="O303:O304"/>
    <mergeCell ref="L275:L276"/>
    <mergeCell ref="J275:J276"/>
    <mergeCell ref="I287:I288"/>
    <mergeCell ref="J287:J288"/>
    <mergeCell ref="M279:M280"/>
    <mergeCell ref="O299:O300"/>
    <mergeCell ref="C323:C324"/>
    <mergeCell ref="D323:D324"/>
    <mergeCell ref="M323:M324"/>
    <mergeCell ref="L315:L316"/>
    <mergeCell ref="M315:M316"/>
    <mergeCell ref="O315:O316"/>
    <mergeCell ref="N315:N316"/>
    <mergeCell ref="M307:M308"/>
    <mergeCell ref="J327:J328"/>
    <mergeCell ref="K327:K328"/>
    <mergeCell ref="L327:L328"/>
    <mergeCell ref="M327:M328"/>
    <mergeCell ref="O327:O328"/>
    <mergeCell ref="C327:C328"/>
    <mergeCell ref="D327:D328"/>
    <mergeCell ref="E327:E328"/>
    <mergeCell ref="F327:F328"/>
    <mergeCell ref="G327:G328"/>
    <mergeCell ref="H327:H328"/>
    <mergeCell ref="O319:O320"/>
    <mergeCell ref="C319:C320"/>
    <mergeCell ref="D319:D320"/>
    <mergeCell ref="O311:O312"/>
    <mergeCell ref="C311:C312"/>
    <mergeCell ref="D311:D312"/>
    <mergeCell ref="E311:E312"/>
    <mergeCell ref="F311:F312"/>
    <mergeCell ref="K323:K324"/>
    <mergeCell ref="I315:I316"/>
    <mergeCell ref="J315:J316"/>
    <mergeCell ref="K315:K316"/>
    <mergeCell ref="J323:J324"/>
    <mergeCell ref="G331:G332"/>
    <mergeCell ref="H331:H332"/>
    <mergeCell ref="I331:I332"/>
    <mergeCell ref="J331:J332"/>
    <mergeCell ref="N327:N328"/>
    <mergeCell ref="N331:N332"/>
    <mergeCell ref="K331:K332"/>
    <mergeCell ref="L331:L332"/>
    <mergeCell ref="M331:M332"/>
    <mergeCell ref="H323:H324"/>
    <mergeCell ref="I323:I324"/>
    <mergeCell ref="I339:I340"/>
    <mergeCell ref="J339:J340"/>
    <mergeCell ref="K339:K340"/>
    <mergeCell ref="L339:L340"/>
    <mergeCell ref="M339:M340"/>
    <mergeCell ref="O339:O340"/>
    <mergeCell ref="G339:G340"/>
    <mergeCell ref="H339:H340"/>
    <mergeCell ref="N339:N340"/>
    <mergeCell ref="L323:L324"/>
    <mergeCell ref="D355:D356"/>
    <mergeCell ref="E355:E356"/>
    <mergeCell ref="F355:F356"/>
    <mergeCell ref="G355:G356"/>
    <mergeCell ref="H355:H356"/>
    <mergeCell ref="I351:I352"/>
    <mergeCell ref="J351:J352"/>
    <mergeCell ref="K351:K352"/>
    <mergeCell ref="L351:L352"/>
    <mergeCell ref="M351:M352"/>
    <mergeCell ref="O351:O352"/>
    <mergeCell ref="O335:O336"/>
    <mergeCell ref="C351:C352"/>
    <mergeCell ref="D351:D352"/>
    <mergeCell ref="E351:E352"/>
    <mergeCell ref="F351:F352"/>
    <mergeCell ref="G351:G352"/>
    <mergeCell ref="H351:H352"/>
    <mergeCell ref="C359:C360"/>
    <mergeCell ref="D359:D360"/>
    <mergeCell ref="E359:E360"/>
    <mergeCell ref="F359:F360"/>
    <mergeCell ref="G359:G360"/>
    <mergeCell ref="H359:H360"/>
    <mergeCell ref="N359:N360"/>
    <mergeCell ref="N367:N368"/>
    <mergeCell ref="C363:C364"/>
    <mergeCell ref="D363:D364"/>
    <mergeCell ref="E363:E364"/>
    <mergeCell ref="F363:F364"/>
    <mergeCell ref="G363:G364"/>
    <mergeCell ref="H363:H364"/>
    <mergeCell ref="D375:D376"/>
    <mergeCell ref="E375:E376"/>
    <mergeCell ref="F375:F376"/>
    <mergeCell ref="G375:G376"/>
    <mergeCell ref="H375:H376"/>
    <mergeCell ref="O371:O372"/>
    <mergeCell ref="C371:C372"/>
    <mergeCell ref="D371:D372"/>
    <mergeCell ref="E371:E372"/>
    <mergeCell ref="F371:F372"/>
    <mergeCell ref="G371:G372"/>
    <mergeCell ref="H371:H372"/>
    <mergeCell ref="N371:N372"/>
    <mergeCell ref="N375:N376"/>
    <mergeCell ref="I367:I368"/>
    <mergeCell ref="J367:J368"/>
    <mergeCell ref="K367:K368"/>
    <mergeCell ref="L367:L368"/>
    <mergeCell ref="M367:M368"/>
    <mergeCell ref="O367:O368"/>
    <mergeCell ref="C367:C368"/>
    <mergeCell ref="D367:D368"/>
    <mergeCell ref="E367:E368"/>
    <mergeCell ref="F367:F368"/>
    <mergeCell ref="G367:G368"/>
    <mergeCell ref="H367:H368"/>
    <mergeCell ref="L375:L376"/>
    <mergeCell ref="M375:M376"/>
    <mergeCell ref="C383:C384"/>
    <mergeCell ref="D383:D384"/>
    <mergeCell ref="E383:E384"/>
    <mergeCell ref="F383:F384"/>
    <mergeCell ref="G383:G384"/>
    <mergeCell ref="H383:H384"/>
    <mergeCell ref="N387:N389"/>
    <mergeCell ref="I379:I380"/>
    <mergeCell ref="J379:J380"/>
    <mergeCell ref="K379:K380"/>
    <mergeCell ref="L379:L380"/>
    <mergeCell ref="M379:M380"/>
    <mergeCell ref="O379:O380"/>
    <mergeCell ref="C379:C380"/>
    <mergeCell ref="D379:D380"/>
    <mergeCell ref="E379:E380"/>
    <mergeCell ref="F379:F380"/>
    <mergeCell ref="G379:G380"/>
    <mergeCell ref="H379:H380"/>
    <mergeCell ref="N379:N380"/>
    <mergeCell ref="N383:N384"/>
    <mergeCell ref="C400:C401"/>
    <mergeCell ref="D400:D401"/>
    <mergeCell ref="E400:E401"/>
    <mergeCell ref="F400:F401"/>
    <mergeCell ref="G400:G401"/>
    <mergeCell ref="H400:H401"/>
    <mergeCell ref="N400:N401"/>
    <mergeCell ref="I387:I389"/>
    <mergeCell ref="J387:J389"/>
    <mergeCell ref="K387:K389"/>
    <mergeCell ref="L387:L389"/>
    <mergeCell ref="M387:M389"/>
    <mergeCell ref="O387:O389"/>
    <mergeCell ref="C387:C389"/>
    <mergeCell ref="D387:D389"/>
    <mergeCell ref="E387:E389"/>
    <mergeCell ref="F387:F389"/>
    <mergeCell ref="G387:G389"/>
    <mergeCell ref="H387:H389"/>
    <mergeCell ref="H396:H397"/>
    <mergeCell ref="G396:G397"/>
    <mergeCell ref="F396:F397"/>
    <mergeCell ref="E396:E397"/>
    <mergeCell ref="D396:D397"/>
    <mergeCell ref="C396:C397"/>
    <mergeCell ref="K396:K397"/>
    <mergeCell ref="J396:J397"/>
    <mergeCell ref="I396:I397"/>
    <mergeCell ref="C392:C393"/>
    <mergeCell ref="D392:D393"/>
    <mergeCell ref="E392:E393"/>
    <mergeCell ref="F392:F393"/>
    <mergeCell ref="C404:C405"/>
    <mergeCell ref="D404:D405"/>
    <mergeCell ref="E404:E405"/>
    <mergeCell ref="F404:F405"/>
    <mergeCell ref="G404:G405"/>
    <mergeCell ref="H404:H405"/>
    <mergeCell ref="K408:K409"/>
    <mergeCell ref="L408:L409"/>
    <mergeCell ref="M408:M409"/>
    <mergeCell ref="O408:O409"/>
    <mergeCell ref="J408:J409"/>
    <mergeCell ref="C408:C409"/>
    <mergeCell ref="D408:D409"/>
    <mergeCell ref="E408:E409"/>
    <mergeCell ref="N404:N405"/>
    <mergeCell ref="N408:N409"/>
    <mergeCell ref="F408:F409"/>
    <mergeCell ref="G408:G409"/>
    <mergeCell ref="H408:H409"/>
    <mergeCell ref="I408:I409"/>
    <mergeCell ref="L404:L405"/>
    <mergeCell ref="M404:M405"/>
    <mergeCell ref="O404:O405"/>
    <mergeCell ref="C416:C417"/>
    <mergeCell ref="D416:D417"/>
    <mergeCell ref="E416:E417"/>
    <mergeCell ref="F416:F417"/>
    <mergeCell ref="G416:G417"/>
    <mergeCell ref="H416:H417"/>
    <mergeCell ref="I412:I413"/>
    <mergeCell ref="J412:J413"/>
    <mergeCell ref="K412:K413"/>
    <mergeCell ref="L412:L413"/>
    <mergeCell ref="M412:M413"/>
    <mergeCell ref="O412:O413"/>
    <mergeCell ref="C412:C413"/>
    <mergeCell ref="D412:D413"/>
    <mergeCell ref="E412:E413"/>
    <mergeCell ref="F412:F413"/>
    <mergeCell ref="G412:G413"/>
    <mergeCell ref="H412:H413"/>
    <mergeCell ref="N412:N413"/>
    <mergeCell ref="N416:N417"/>
    <mergeCell ref="I416:I417"/>
    <mergeCell ref="J416:J417"/>
    <mergeCell ref="K416:K417"/>
    <mergeCell ref="L416:L417"/>
    <mergeCell ref="M416:M417"/>
    <mergeCell ref="M428:M429"/>
    <mergeCell ref="O428:O429"/>
    <mergeCell ref="C428:C429"/>
    <mergeCell ref="D428:D429"/>
    <mergeCell ref="E428:E429"/>
    <mergeCell ref="F428:F429"/>
    <mergeCell ref="G428:G429"/>
    <mergeCell ref="H428:H429"/>
    <mergeCell ref="I424:I425"/>
    <mergeCell ref="J424:J425"/>
    <mergeCell ref="K424:K425"/>
    <mergeCell ref="L424:L425"/>
    <mergeCell ref="M424:M425"/>
    <mergeCell ref="O424:O425"/>
    <mergeCell ref="C424:C425"/>
    <mergeCell ref="D424:D425"/>
    <mergeCell ref="E424:E425"/>
    <mergeCell ref="F424:F425"/>
    <mergeCell ref="G424:G425"/>
    <mergeCell ref="H424:H425"/>
    <mergeCell ref="I428:I429"/>
    <mergeCell ref="J428:J429"/>
    <mergeCell ref="K428:K429"/>
    <mergeCell ref="L436:L437"/>
    <mergeCell ref="M436:M437"/>
    <mergeCell ref="O436:O437"/>
    <mergeCell ref="C436:C437"/>
    <mergeCell ref="D436:D437"/>
    <mergeCell ref="E436:E437"/>
    <mergeCell ref="F436:F437"/>
    <mergeCell ref="G436:G437"/>
    <mergeCell ref="H436:H437"/>
    <mergeCell ref="I432:I433"/>
    <mergeCell ref="J432:J433"/>
    <mergeCell ref="K432:K433"/>
    <mergeCell ref="L432:L433"/>
    <mergeCell ref="M432:M433"/>
    <mergeCell ref="O432:O433"/>
    <mergeCell ref="C432:C433"/>
    <mergeCell ref="D432:D433"/>
    <mergeCell ref="E432:E433"/>
    <mergeCell ref="F432:F433"/>
    <mergeCell ref="G432:G433"/>
    <mergeCell ref="H432:H433"/>
    <mergeCell ref="I436:I437"/>
    <mergeCell ref="J436:J437"/>
    <mergeCell ref="K436:K437"/>
    <mergeCell ref="E448:E449"/>
    <mergeCell ref="F448:F449"/>
    <mergeCell ref="G448:G449"/>
    <mergeCell ref="H448:H449"/>
    <mergeCell ref="E452:E453"/>
    <mergeCell ref="F452:F453"/>
    <mergeCell ref="G452:G453"/>
    <mergeCell ref="H452:H453"/>
    <mergeCell ref="J452:J453"/>
    <mergeCell ref="K452:K453"/>
    <mergeCell ref="L452:L453"/>
    <mergeCell ref="N440:N441"/>
    <mergeCell ref="L440:L441"/>
    <mergeCell ref="M440:M441"/>
    <mergeCell ref="O440:O441"/>
    <mergeCell ref="C440:C441"/>
    <mergeCell ref="D440:D441"/>
    <mergeCell ref="H440:H441"/>
    <mergeCell ref="I440:I441"/>
    <mergeCell ref="J440:J441"/>
    <mergeCell ref="K440:K441"/>
    <mergeCell ref="E440:E441"/>
    <mergeCell ref="F440:F441"/>
    <mergeCell ref="G440:G441"/>
    <mergeCell ref="C468:C469"/>
    <mergeCell ref="D468:D469"/>
    <mergeCell ref="E468:E469"/>
    <mergeCell ref="F468:F469"/>
    <mergeCell ref="G468:G469"/>
    <mergeCell ref="H468:H469"/>
    <mergeCell ref="C464:C465"/>
    <mergeCell ref="D464:D465"/>
    <mergeCell ref="E464:E465"/>
    <mergeCell ref="F464:F465"/>
    <mergeCell ref="G464:G465"/>
    <mergeCell ref="H464:H465"/>
    <mergeCell ref="M460:M461"/>
    <mergeCell ref="O460:O461"/>
    <mergeCell ref="C460:C461"/>
    <mergeCell ref="D460:D461"/>
    <mergeCell ref="E460:E461"/>
    <mergeCell ref="F460:F461"/>
    <mergeCell ref="G460:G461"/>
    <mergeCell ref="H460:H461"/>
    <mergeCell ref="I464:I465"/>
    <mergeCell ref="J464:J465"/>
    <mergeCell ref="K464:K465"/>
    <mergeCell ref="L464:L465"/>
    <mergeCell ref="M464:M465"/>
    <mergeCell ref="O464:O465"/>
    <mergeCell ref="I460:I461"/>
    <mergeCell ref="J460:J461"/>
    <mergeCell ref="K460:K461"/>
    <mergeCell ref="L460:L461"/>
    <mergeCell ref="G488:G489"/>
    <mergeCell ref="H488:H489"/>
    <mergeCell ref="C476:C477"/>
    <mergeCell ref="D476:D477"/>
    <mergeCell ref="E476:E477"/>
    <mergeCell ref="F476:F477"/>
    <mergeCell ref="G476:G477"/>
    <mergeCell ref="H476:H477"/>
    <mergeCell ref="N476:N477"/>
    <mergeCell ref="N480:N481"/>
    <mergeCell ref="C472:C473"/>
    <mergeCell ref="D472:D473"/>
    <mergeCell ref="E472:E473"/>
    <mergeCell ref="F472:F473"/>
    <mergeCell ref="G472:G473"/>
    <mergeCell ref="H472:H473"/>
    <mergeCell ref="K476:K477"/>
    <mergeCell ref="L476:L477"/>
    <mergeCell ref="M476:M477"/>
    <mergeCell ref="M504:M505"/>
    <mergeCell ref="C500:C501"/>
    <mergeCell ref="D500:D501"/>
    <mergeCell ref="E500:E501"/>
    <mergeCell ref="F500:F501"/>
    <mergeCell ref="C484:C485"/>
    <mergeCell ref="D484:D485"/>
    <mergeCell ref="E484:E485"/>
    <mergeCell ref="F484:F485"/>
    <mergeCell ref="G484:G485"/>
    <mergeCell ref="H484:H485"/>
    <mergeCell ref="N484:N485"/>
    <mergeCell ref="N488:N489"/>
    <mergeCell ref="I480:I481"/>
    <mergeCell ref="J480:J481"/>
    <mergeCell ref="K480:K481"/>
    <mergeCell ref="L480:L481"/>
    <mergeCell ref="M480:M481"/>
    <mergeCell ref="C480:C481"/>
    <mergeCell ref="D480:D481"/>
    <mergeCell ref="E480:E481"/>
    <mergeCell ref="F480:F481"/>
    <mergeCell ref="G480:G481"/>
    <mergeCell ref="H480:H481"/>
    <mergeCell ref="I488:I489"/>
    <mergeCell ref="J488:J489"/>
    <mergeCell ref="K488:K489"/>
    <mergeCell ref="L488:L489"/>
    <mergeCell ref="C488:C489"/>
    <mergeCell ref="D488:D489"/>
    <mergeCell ref="E488:E489"/>
    <mergeCell ref="F488:F489"/>
    <mergeCell ref="P19:P20"/>
    <mergeCell ref="P23:P24"/>
    <mergeCell ref="P27:P28"/>
    <mergeCell ref="P31:P32"/>
    <mergeCell ref="P35:P36"/>
    <mergeCell ref="P43:P44"/>
    <mergeCell ref="P47:P48"/>
    <mergeCell ref="P51:P52"/>
    <mergeCell ref="P55:P56"/>
    <mergeCell ref="P59:P60"/>
    <mergeCell ref="P63:P64"/>
    <mergeCell ref="P67:P68"/>
    <mergeCell ref="P71:P72"/>
    <mergeCell ref="P75:P76"/>
    <mergeCell ref="P147:P148"/>
    <mergeCell ref="P79:P80"/>
    <mergeCell ref="J496:J497"/>
    <mergeCell ref="L496:L497"/>
    <mergeCell ref="M496:M497"/>
    <mergeCell ref="O496:O497"/>
    <mergeCell ref="J484:J485"/>
    <mergeCell ref="K484:K485"/>
    <mergeCell ref="L484:L485"/>
    <mergeCell ref="M484:M485"/>
    <mergeCell ref="O484:O485"/>
    <mergeCell ref="J476:J477"/>
    <mergeCell ref="J492:J493"/>
    <mergeCell ref="K492:K493"/>
    <mergeCell ref="L492:L493"/>
    <mergeCell ref="M492:M493"/>
    <mergeCell ref="O492:O493"/>
    <mergeCell ref="N492:N493"/>
    <mergeCell ref="P183:P184"/>
    <mergeCell ref="P307:P308"/>
    <mergeCell ref="P347:P348"/>
    <mergeCell ref="P251:P252"/>
    <mergeCell ref="P311:P312"/>
    <mergeCell ref="M396:M397"/>
    <mergeCell ref="L396:L397"/>
    <mergeCell ref="P223:P224"/>
    <mergeCell ref="P227:P228"/>
    <mergeCell ref="P231:P232"/>
    <mergeCell ref="P235:P236"/>
    <mergeCell ref="P239:P240"/>
    <mergeCell ref="I496:I497"/>
    <mergeCell ref="G500:G501"/>
    <mergeCell ref="H500:H501"/>
    <mergeCell ref="N500:N501"/>
    <mergeCell ref="N504:N505"/>
    <mergeCell ref="I492:I493"/>
    <mergeCell ref="G492:G493"/>
    <mergeCell ref="H492:H493"/>
    <mergeCell ref="G496:G497"/>
    <mergeCell ref="H496:H497"/>
    <mergeCell ref="J504:J505"/>
    <mergeCell ref="K504:K505"/>
    <mergeCell ref="O480:O481"/>
    <mergeCell ref="O488:O489"/>
    <mergeCell ref="I468:I469"/>
    <mergeCell ref="J468:J469"/>
    <mergeCell ref="K468:K469"/>
    <mergeCell ref="L468:L469"/>
    <mergeCell ref="M468:M469"/>
    <mergeCell ref="O468:O469"/>
    <mergeCell ref="P83:P84"/>
    <mergeCell ref="P87:P88"/>
    <mergeCell ref="P91:P92"/>
    <mergeCell ref="P99:P100"/>
    <mergeCell ref="P103:P104"/>
    <mergeCell ref="P107:P108"/>
    <mergeCell ref="P111:P112"/>
    <mergeCell ref="P115:P116"/>
    <mergeCell ref="P119:P120"/>
    <mergeCell ref="P123:P124"/>
    <mergeCell ref="P127:P128"/>
    <mergeCell ref="P131:P132"/>
    <mergeCell ref="P135:P136"/>
    <mergeCell ref="P139:P140"/>
    <mergeCell ref="P143:P144"/>
    <mergeCell ref="P171:P172"/>
    <mergeCell ref="P175:P176"/>
    <mergeCell ref="A544:A547"/>
    <mergeCell ref="B536:B537"/>
    <mergeCell ref="B460:B461"/>
    <mergeCell ref="B420:B421"/>
    <mergeCell ref="I456:I457"/>
    <mergeCell ref="J456:J457"/>
    <mergeCell ref="K456:K457"/>
    <mergeCell ref="L456:L457"/>
    <mergeCell ref="P452:P453"/>
    <mergeCell ref="A536:A539"/>
    <mergeCell ref="B448:B449"/>
    <mergeCell ref="G536:G537"/>
    <mergeCell ref="H536:H537"/>
    <mergeCell ref="O532:O533"/>
    <mergeCell ref="G532:G533"/>
    <mergeCell ref="H532:H533"/>
    <mergeCell ref="M512:M513"/>
    <mergeCell ref="I504:I505"/>
    <mergeCell ref="I528:I529"/>
    <mergeCell ref="D528:D529"/>
    <mergeCell ref="E528:E529"/>
    <mergeCell ref="F528:F529"/>
    <mergeCell ref="G528:G529"/>
    <mergeCell ref="K496:K497"/>
    <mergeCell ref="M488:M489"/>
    <mergeCell ref="C516:C517"/>
    <mergeCell ref="D516:D517"/>
    <mergeCell ref="C528:C529"/>
    <mergeCell ref="J536:J537"/>
    <mergeCell ref="K536:K537"/>
    <mergeCell ref="L536:L537"/>
    <mergeCell ref="M536:M537"/>
    <mergeCell ref="A540:A543"/>
    <mergeCell ref="P359:P360"/>
    <mergeCell ref="P187:P188"/>
    <mergeCell ref="P191:P192"/>
    <mergeCell ref="P195:P196"/>
    <mergeCell ref="P199:P200"/>
    <mergeCell ref="P203:P204"/>
    <mergeCell ref="P207:P208"/>
    <mergeCell ref="P211:P212"/>
    <mergeCell ref="P215:P216"/>
    <mergeCell ref="P219:P220"/>
    <mergeCell ref="I532:I533"/>
    <mergeCell ref="J532:J533"/>
    <mergeCell ref="K532:K533"/>
    <mergeCell ref="L532:L533"/>
    <mergeCell ref="M532:M533"/>
    <mergeCell ref="I536:I537"/>
    <mergeCell ref="M540:M541"/>
    <mergeCell ref="J520:J521"/>
    <mergeCell ref="K520:K521"/>
    <mergeCell ref="L520:L521"/>
    <mergeCell ref="M520:M521"/>
    <mergeCell ref="I343:I344"/>
    <mergeCell ref="J343:J344"/>
    <mergeCell ref="K343:K344"/>
    <mergeCell ref="E516:E517"/>
    <mergeCell ref="F516:F517"/>
    <mergeCell ref="O476:O477"/>
    <mergeCell ref="J472:J473"/>
    <mergeCell ref="K472:K473"/>
    <mergeCell ref="C504:C505"/>
    <mergeCell ref="E512:E513"/>
    <mergeCell ref="O579:O580"/>
    <mergeCell ref="B480:B481"/>
    <mergeCell ref="B484:B485"/>
    <mergeCell ref="P151:P152"/>
    <mergeCell ref="P155:P156"/>
    <mergeCell ref="P159:P160"/>
    <mergeCell ref="P163:P164"/>
    <mergeCell ref="P167:P168"/>
    <mergeCell ref="I371:I372"/>
    <mergeCell ref="J371:J372"/>
    <mergeCell ref="K371:K372"/>
    <mergeCell ref="L371:L372"/>
    <mergeCell ref="M371:M372"/>
    <mergeCell ref="O556:O557"/>
    <mergeCell ref="I556:I557"/>
    <mergeCell ref="J556:J557"/>
    <mergeCell ref="K556:K557"/>
    <mergeCell ref="L556:L557"/>
    <mergeCell ref="J548:J549"/>
    <mergeCell ref="P275:P276"/>
    <mergeCell ref="P283:P284"/>
    <mergeCell ref="P287:P288"/>
    <mergeCell ref="P291:P292"/>
    <mergeCell ref="P295:P296"/>
    <mergeCell ref="P299:P300"/>
    <mergeCell ref="P303:P304"/>
    <mergeCell ref="I404:I405"/>
    <mergeCell ref="J404:J405"/>
    <mergeCell ref="K404:K405"/>
    <mergeCell ref="G567:G568"/>
    <mergeCell ref="B492:B493"/>
    <mergeCell ref="B472:B473"/>
    <mergeCell ref="O508:O509"/>
    <mergeCell ref="B516:B517"/>
    <mergeCell ref="B524:B525"/>
    <mergeCell ref="B476:B477"/>
    <mergeCell ref="C532:C533"/>
    <mergeCell ref="I500:I501"/>
    <mergeCell ref="J500:J501"/>
    <mergeCell ref="H528:H529"/>
    <mergeCell ref="J528:J529"/>
    <mergeCell ref="K528:K529"/>
    <mergeCell ref="I516:I517"/>
    <mergeCell ref="H520:H521"/>
    <mergeCell ref="I520:I521"/>
    <mergeCell ref="H524:H525"/>
    <mergeCell ref="I524:I525"/>
    <mergeCell ref="K524:K525"/>
    <mergeCell ref="L524:L525"/>
    <mergeCell ref="M524:M525"/>
    <mergeCell ref="K500:K501"/>
    <mergeCell ref="B504:B505"/>
    <mergeCell ref="B508:B509"/>
    <mergeCell ref="B512:B513"/>
    <mergeCell ref="I508:I509"/>
    <mergeCell ref="J508:J509"/>
    <mergeCell ref="B488:B489"/>
    <mergeCell ref="F512:F513"/>
    <mergeCell ref="C492:C493"/>
    <mergeCell ref="D492:D493"/>
    <mergeCell ref="E492:E493"/>
    <mergeCell ref="G508:G509"/>
    <mergeCell ref="H508:H509"/>
    <mergeCell ref="L504:L505"/>
    <mergeCell ref="C420:C421"/>
    <mergeCell ref="D420:D421"/>
    <mergeCell ref="P456:P457"/>
    <mergeCell ref="P375:P376"/>
    <mergeCell ref="P383:P384"/>
    <mergeCell ref="P387:P389"/>
    <mergeCell ref="P396:P397"/>
    <mergeCell ref="P400:P401"/>
    <mergeCell ref="P404:P405"/>
    <mergeCell ref="I400:I401"/>
    <mergeCell ref="J400:J401"/>
    <mergeCell ref="K400:K401"/>
    <mergeCell ref="I452:I453"/>
    <mergeCell ref="C456:C457"/>
    <mergeCell ref="D456:D457"/>
    <mergeCell ref="E456:E457"/>
    <mergeCell ref="F456:F457"/>
    <mergeCell ref="G456:G457"/>
    <mergeCell ref="H456:H457"/>
    <mergeCell ref="M456:M457"/>
    <mergeCell ref="O456:O457"/>
    <mergeCell ref="I448:I449"/>
    <mergeCell ref="J448:J449"/>
    <mergeCell ref="K448:K449"/>
    <mergeCell ref="L448:L449"/>
    <mergeCell ref="M448:M449"/>
    <mergeCell ref="O448:O449"/>
    <mergeCell ref="C448:C449"/>
    <mergeCell ref="D448:D449"/>
    <mergeCell ref="P416:P417"/>
    <mergeCell ref="P436:P437"/>
    <mergeCell ref="P440:P441"/>
    <mergeCell ref="P243:P244"/>
    <mergeCell ref="N396:N397"/>
    <mergeCell ref="O396:O397"/>
    <mergeCell ref="O416:O417"/>
    <mergeCell ref="O375:O376"/>
    <mergeCell ref="O275:O276"/>
    <mergeCell ref="O243:O244"/>
    <mergeCell ref="O239:O240"/>
    <mergeCell ref="O231:O232"/>
    <mergeCell ref="O223:O224"/>
    <mergeCell ref="O267:O268"/>
    <mergeCell ref="O307:O308"/>
    <mergeCell ref="P392:P393"/>
    <mergeCell ref="P247:P248"/>
    <mergeCell ref="P255:P256"/>
    <mergeCell ref="P259:P260"/>
    <mergeCell ref="P263:P264"/>
    <mergeCell ref="P315:P316"/>
    <mergeCell ref="P319:P320"/>
    <mergeCell ref="O400:O401"/>
    <mergeCell ref="N355:N356"/>
    <mergeCell ref="O323:O324"/>
    <mergeCell ref="P408:P409"/>
    <mergeCell ref="O271:O272"/>
    <mergeCell ref="O251:O252"/>
    <mergeCell ref="P363:P364"/>
    <mergeCell ref="N223:N224"/>
    <mergeCell ref="P379:P380"/>
    <mergeCell ref="P412:P413"/>
    <mergeCell ref="P267:P268"/>
    <mergeCell ref="P271:P272"/>
    <mergeCell ref="P331:P332"/>
    <mergeCell ref="P448:P449"/>
    <mergeCell ref="L500:L501"/>
    <mergeCell ref="N508:N509"/>
    <mergeCell ref="I484:I485"/>
    <mergeCell ref="I476:I477"/>
    <mergeCell ref="I472:I473"/>
    <mergeCell ref="L472:L473"/>
    <mergeCell ref="M472:M473"/>
    <mergeCell ref="O472:O473"/>
    <mergeCell ref="O512:O513"/>
    <mergeCell ref="C512:C513"/>
    <mergeCell ref="D512:D513"/>
    <mergeCell ref="O504:O505"/>
    <mergeCell ref="M500:M501"/>
    <mergeCell ref="O500:O501"/>
    <mergeCell ref="D504:D505"/>
    <mergeCell ref="E504:E505"/>
    <mergeCell ref="P512:P513"/>
    <mergeCell ref="G512:G513"/>
    <mergeCell ref="H512:H513"/>
    <mergeCell ref="C508:C509"/>
    <mergeCell ref="D508:D509"/>
    <mergeCell ref="E508:E509"/>
    <mergeCell ref="P500:P501"/>
    <mergeCell ref="P504:P505"/>
    <mergeCell ref="P496:P497"/>
    <mergeCell ref="F492:F493"/>
    <mergeCell ref="C496:C497"/>
    <mergeCell ref="D496:D497"/>
    <mergeCell ref="E496:E497"/>
    <mergeCell ref="F496:F497"/>
    <mergeCell ref="F508:F509"/>
    <mergeCell ref="J512:J513"/>
    <mergeCell ref="N512:N513"/>
    <mergeCell ref="I512:I513"/>
    <mergeCell ref="K508:K509"/>
    <mergeCell ref="L508:L509"/>
    <mergeCell ref="M508:M509"/>
    <mergeCell ref="P460:P461"/>
    <mergeCell ref="I420:I421"/>
    <mergeCell ref="J420:J421"/>
    <mergeCell ref="P420:P421"/>
    <mergeCell ref="P424:P425"/>
    <mergeCell ref="P428:P429"/>
    <mergeCell ref="P432:P433"/>
    <mergeCell ref="O548:O549"/>
    <mergeCell ref="P508:P509"/>
    <mergeCell ref="D544:D545"/>
    <mergeCell ref="E544:E545"/>
    <mergeCell ref="F544:F545"/>
    <mergeCell ref="G544:G545"/>
    <mergeCell ref="H544:H545"/>
    <mergeCell ref="O540:O541"/>
    <mergeCell ref="G540:G541"/>
    <mergeCell ref="H540:H541"/>
    <mergeCell ref="J544:J545"/>
    <mergeCell ref="K544:K545"/>
    <mergeCell ref="L544:L545"/>
    <mergeCell ref="P516:P517"/>
    <mergeCell ref="P520:P521"/>
    <mergeCell ref="P524:P525"/>
    <mergeCell ref="P528:P529"/>
    <mergeCell ref="P532:P533"/>
    <mergeCell ref="P536:P537"/>
    <mergeCell ref="P540:P541"/>
    <mergeCell ref="P544:P545"/>
    <mergeCell ref="P548:P549"/>
    <mergeCell ref="J524:J525"/>
    <mergeCell ref="K512:K513"/>
    <mergeCell ref="L512:L513"/>
    <mergeCell ref="L516:L517"/>
    <mergeCell ref="D548:D549"/>
    <mergeCell ref="E548:E549"/>
    <mergeCell ref="F548:F549"/>
    <mergeCell ref="C556:C557"/>
    <mergeCell ref="D556:D557"/>
    <mergeCell ref="E556:E557"/>
    <mergeCell ref="O552:O553"/>
    <mergeCell ref="L563:L564"/>
    <mergeCell ref="M563:M564"/>
    <mergeCell ref="O563:O564"/>
    <mergeCell ref="G563:G564"/>
    <mergeCell ref="D536:D537"/>
    <mergeCell ref="E536:E537"/>
    <mergeCell ref="F536:F537"/>
    <mergeCell ref="O520:O521"/>
    <mergeCell ref="J516:J517"/>
    <mergeCell ref="K516:K517"/>
    <mergeCell ref="D532:D533"/>
    <mergeCell ref="E532:E533"/>
    <mergeCell ref="L528:L529"/>
    <mergeCell ref="M528:M529"/>
    <mergeCell ref="O528:O529"/>
    <mergeCell ref="F532:F533"/>
    <mergeCell ref="G516:G517"/>
    <mergeCell ref="H516:H517"/>
    <mergeCell ref="M516:M517"/>
    <mergeCell ref="O516:O517"/>
    <mergeCell ref="O536:O537"/>
    <mergeCell ref="C536:C537"/>
    <mergeCell ref="O524:O525"/>
    <mergeCell ref="C524:C525"/>
    <mergeCell ref="D524:D525"/>
    <mergeCell ref="L540:L541"/>
    <mergeCell ref="I548:I549"/>
    <mergeCell ref="I544:I545"/>
    <mergeCell ref="I552:I553"/>
    <mergeCell ref="J552:J553"/>
    <mergeCell ref="M556:M557"/>
    <mergeCell ref="K552:K553"/>
    <mergeCell ref="L552:L553"/>
    <mergeCell ref="M552:M553"/>
    <mergeCell ref="M548:M549"/>
    <mergeCell ref="H548:H549"/>
    <mergeCell ref="E524:E525"/>
    <mergeCell ref="F524:F525"/>
    <mergeCell ref="G524:G525"/>
    <mergeCell ref="M571:M572"/>
    <mergeCell ref="I567:I568"/>
    <mergeCell ref="J567:J568"/>
    <mergeCell ref="K567:K568"/>
    <mergeCell ref="L567:L568"/>
    <mergeCell ref="M567:M568"/>
    <mergeCell ref="H563:H564"/>
    <mergeCell ref="L548:L549"/>
    <mergeCell ref="K548:K549"/>
    <mergeCell ref="M544:M545"/>
    <mergeCell ref="B540:B541"/>
    <mergeCell ref="B544:B545"/>
    <mergeCell ref="B548:B549"/>
    <mergeCell ref="B552:B553"/>
    <mergeCell ref="B556:B557"/>
    <mergeCell ref="H556:H557"/>
    <mergeCell ref="C552:C553"/>
    <mergeCell ref="D552:D553"/>
    <mergeCell ref="E552:E553"/>
    <mergeCell ref="F552:F553"/>
    <mergeCell ref="C548:C549"/>
    <mergeCell ref="K575:K576"/>
    <mergeCell ref="I575:I576"/>
    <mergeCell ref="J575:J576"/>
    <mergeCell ref="H567:H568"/>
    <mergeCell ref="I563:I564"/>
    <mergeCell ref="J563:J564"/>
    <mergeCell ref="C544:C545"/>
    <mergeCell ref="K571:K572"/>
    <mergeCell ref="H571:H572"/>
    <mergeCell ref="I571:I572"/>
    <mergeCell ref="J571:J572"/>
    <mergeCell ref="I540:I541"/>
    <mergeCell ref="J540:J541"/>
    <mergeCell ref="K540:K541"/>
    <mergeCell ref="F556:F557"/>
    <mergeCell ref="G556:G557"/>
    <mergeCell ref="H552:H553"/>
    <mergeCell ref="G552:G553"/>
    <mergeCell ref="G548:G549"/>
    <mergeCell ref="F575:F576"/>
    <mergeCell ref="F567:F568"/>
    <mergeCell ref="J599:J600"/>
    <mergeCell ref="K599:K600"/>
    <mergeCell ref="B617:B618"/>
    <mergeCell ref="C617:C618"/>
    <mergeCell ref="D617:D618"/>
    <mergeCell ref="E617:E618"/>
    <mergeCell ref="F617:F618"/>
    <mergeCell ref="G617:G618"/>
    <mergeCell ref="H617:H618"/>
    <mergeCell ref="I617:I618"/>
    <mergeCell ref="J617:J618"/>
    <mergeCell ref="H603:H604"/>
    <mergeCell ref="I603:I604"/>
    <mergeCell ref="J603:J604"/>
    <mergeCell ref="K603:K604"/>
    <mergeCell ref="A595:A598"/>
    <mergeCell ref="B595:B596"/>
    <mergeCell ref="C595:C596"/>
    <mergeCell ref="D595:D596"/>
    <mergeCell ref="E595:E596"/>
    <mergeCell ref="F595:F596"/>
    <mergeCell ref="G595:G596"/>
    <mergeCell ref="H595:H596"/>
    <mergeCell ref="I595:I596"/>
    <mergeCell ref="J595:J596"/>
    <mergeCell ref="K595:K596"/>
    <mergeCell ref="H599:H600"/>
    <mergeCell ref="I599:I600"/>
    <mergeCell ref="A620:A623"/>
    <mergeCell ref="B620:B621"/>
    <mergeCell ref="C620:C621"/>
    <mergeCell ref="D620:D621"/>
    <mergeCell ref="E620:E621"/>
    <mergeCell ref="F620:F621"/>
    <mergeCell ref="G620:G621"/>
    <mergeCell ref="H620:H621"/>
    <mergeCell ref="I620:I621"/>
    <mergeCell ref="J620:J621"/>
    <mergeCell ref="K620:K621"/>
    <mergeCell ref="A603:A606"/>
    <mergeCell ref="M599:M600"/>
    <mergeCell ref="O599:O600"/>
    <mergeCell ref="P599:P600"/>
    <mergeCell ref="H583:H584"/>
    <mergeCell ref="I583:I584"/>
    <mergeCell ref="L620:L621"/>
    <mergeCell ref="M620:M621"/>
    <mergeCell ref="O620:O621"/>
    <mergeCell ref="P620:P621"/>
    <mergeCell ref="B603:B604"/>
    <mergeCell ref="C603:C604"/>
    <mergeCell ref="D603:D604"/>
    <mergeCell ref="E603:E604"/>
    <mergeCell ref="F603:F604"/>
    <mergeCell ref="G603:G604"/>
    <mergeCell ref="K617:K618"/>
    <mergeCell ref="L617:L618"/>
    <mergeCell ref="M617:M618"/>
    <mergeCell ref="O617:O618"/>
    <mergeCell ref="A599:A602"/>
    <mergeCell ref="O595:O596"/>
    <mergeCell ref="P595:P596"/>
    <mergeCell ref="M452:M453"/>
    <mergeCell ref="P552:P553"/>
    <mergeCell ref="P556:P557"/>
    <mergeCell ref="L583:L584"/>
    <mergeCell ref="M583:M584"/>
    <mergeCell ref="O583:O584"/>
    <mergeCell ref="L587:L588"/>
    <mergeCell ref="M587:M588"/>
    <mergeCell ref="O587:O588"/>
    <mergeCell ref="P587:P588"/>
    <mergeCell ref="P563:P564"/>
    <mergeCell ref="P567:P568"/>
    <mergeCell ref="P571:P572"/>
    <mergeCell ref="P575:P576"/>
    <mergeCell ref="P579:P580"/>
    <mergeCell ref="P583:P584"/>
    <mergeCell ref="O452:O453"/>
    <mergeCell ref="O544:O545"/>
    <mergeCell ref="P591:P592"/>
    <mergeCell ref="L575:L576"/>
    <mergeCell ref="P464:P465"/>
    <mergeCell ref="P468:P469"/>
    <mergeCell ref="P472:P473"/>
    <mergeCell ref="P476:P477"/>
    <mergeCell ref="P480:P481"/>
    <mergeCell ref="P484:P485"/>
    <mergeCell ref="P488:P489"/>
    <mergeCell ref="P492:P493"/>
    <mergeCell ref="O567:O568"/>
    <mergeCell ref="O571:O572"/>
    <mergeCell ref="P617:P618"/>
    <mergeCell ref="B444:B445"/>
    <mergeCell ref="C444:C445"/>
    <mergeCell ref="D444:D445"/>
    <mergeCell ref="E444:E445"/>
    <mergeCell ref="F444:F445"/>
    <mergeCell ref="G444:G445"/>
    <mergeCell ref="H444:H445"/>
    <mergeCell ref="I444:I445"/>
    <mergeCell ref="J444:J445"/>
    <mergeCell ref="K444:K445"/>
    <mergeCell ref="L444:L445"/>
    <mergeCell ref="M444:M445"/>
    <mergeCell ref="O444:O445"/>
    <mergeCell ref="P444:P445"/>
    <mergeCell ref="B452:B453"/>
    <mergeCell ref="C452:C453"/>
    <mergeCell ref="D452:D453"/>
    <mergeCell ref="B587:B588"/>
    <mergeCell ref="M603:M604"/>
    <mergeCell ref="O603:O604"/>
    <mergeCell ref="P603:P604"/>
    <mergeCell ref="L599:L600"/>
    <mergeCell ref="L603:L604"/>
    <mergeCell ref="B599:B600"/>
    <mergeCell ref="C599:C600"/>
    <mergeCell ref="D599:D600"/>
    <mergeCell ref="E599:E600"/>
    <mergeCell ref="F599:F600"/>
    <mergeCell ref="G599:G600"/>
    <mergeCell ref="L595:L596"/>
    <mergeCell ref="M595:M596"/>
    <mergeCell ref="O575:O576"/>
    <mergeCell ref="C571:F574"/>
    <mergeCell ref="C575:C576"/>
    <mergeCell ref="G575:G576"/>
    <mergeCell ref="H575:H576"/>
    <mergeCell ref="A583:A586"/>
    <mergeCell ref="B583:B584"/>
    <mergeCell ref="C583:C584"/>
    <mergeCell ref="A552:A555"/>
    <mergeCell ref="D583:D584"/>
    <mergeCell ref="E583:E584"/>
    <mergeCell ref="F583:F584"/>
    <mergeCell ref="G583:G584"/>
    <mergeCell ref="B563:B564"/>
    <mergeCell ref="B567:B568"/>
    <mergeCell ref="C567:C568"/>
    <mergeCell ref="D567:D568"/>
    <mergeCell ref="E567:E568"/>
    <mergeCell ref="A579:A582"/>
    <mergeCell ref="B579:B580"/>
    <mergeCell ref="C579:C580"/>
    <mergeCell ref="D579:D580"/>
    <mergeCell ref="H579:H580"/>
    <mergeCell ref="L579:L580"/>
    <mergeCell ref="L571:L572"/>
    <mergeCell ref="M575:M576"/>
    <mergeCell ref="C563:C564"/>
    <mergeCell ref="D563:D564"/>
    <mergeCell ref="E563:E564"/>
    <mergeCell ref="F563:F564"/>
    <mergeCell ref="A556:A559"/>
    <mergeCell ref="M579:M580"/>
    <mergeCell ref="A587:A590"/>
    <mergeCell ref="A444:A447"/>
    <mergeCell ref="C587:C588"/>
    <mergeCell ref="D587:D588"/>
    <mergeCell ref="E587:E588"/>
    <mergeCell ref="F587:F588"/>
    <mergeCell ref="G587:G588"/>
    <mergeCell ref="H587:H588"/>
    <mergeCell ref="I587:I588"/>
    <mergeCell ref="J587:J588"/>
    <mergeCell ref="K587:K588"/>
    <mergeCell ref="J583:J584"/>
    <mergeCell ref="K583:K584"/>
    <mergeCell ref="E579:E580"/>
    <mergeCell ref="F579:F580"/>
    <mergeCell ref="G579:G580"/>
    <mergeCell ref="A563:A566"/>
    <mergeCell ref="A571:A574"/>
    <mergeCell ref="A548:A551"/>
    <mergeCell ref="A575:A578"/>
    <mergeCell ref="B575:B576"/>
    <mergeCell ref="B571:B572"/>
    <mergeCell ref="G571:G572"/>
    <mergeCell ref="A567:A570"/>
    <mergeCell ref="I579:I580"/>
    <mergeCell ref="J579:J580"/>
    <mergeCell ref="K579:K580"/>
    <mergeCell ref="K563:K564"/>
    <mergeCell ref="F504:F505"/>
    <mergeCell ref="G504:G505"/>
    <mergeCell ref="H504:H505"/>
    <mergeCell ref="B500:B501"/>
    <mergeCell ref="P367:P368"/>
    <mergeCell ref="P371:P372"/>
    <mergeCell ref="I383:I384"/>
    <mergeCell ref="J383:J384"/>
    <mergeCell ref="K383:K384"/>
    <mergeCell ref="L383:L384"/>
    <mergeCell ref="M383:M384"/>
    <mergeCell ref="O383:O384"/>
    <mergeCell ref="I375:I376"/>
    <mergeCell ref="J375:J376"/>
    <mergeCell ref="K375:K376"/>
    <mergeCell ref="P323:P324"/>
    <mergeCell ref="P327:P328"/>
    <mergeCell ref="P339:P340"/>
    <mergeCell ref="P343:P344"/>
    <mergeCell ref="P351:P352"/>
    <mergeCell ref="P355:P356"/>
    <mergeCell ref="I355:I356"/>
    <mergeCell ref="J355:J356"/>
    <mergeCell ref="K355:K356"/>
    <mergeCell ref="L355:L356"/>
    <mergeCell ref="M355:M356"/>
    <mergeCell ref="O355:O356"/>
    <mergeCell ref="L343:L344"/>
    <mergeCell ref="M343:M344"/>
    <mergeCell ref="O343:O344"/>
    <mergeCell ref="I327:I328"/>
    <mergeCell ref="O363:O364"/>
    <mergeCell ref="N363:N364"/>
    <mergeCell ref="M363:M364"/>
    <mergeCell ref="L363:L364"/>
    <mergeCell ref="O331:O332"/>
    <mergeCell ref="P15:P16"/>
    <mergeCell ref="A1:B1"/>
    <mergeCell ref="O3:O4"/>
    <mergeCell ref="C11:C12"/>
    <mergeCell ref="D11:D12"/>
    <mergeCell ref="E11:E12"/>
    <mergeCell ref="F11:F12"/>
    <mergeCell ref="G11:G12"/>
    <mergeCell ref="H11:H12"/>
    <mergeCell ref="E3:E4"/>
    <mergeCell ref="F3:F4"/>
    <mergeCell ref="G3:G4"/>
    <mergeCell ref="H3:H4"/>
    <mergeCell ref="I3:I4"/>
    <mergeCell ref="J3:J4"/>
    <mergeCell ref="C3:C4"/>
    <mergeCell ref="D3:D4"/>
    <mergeCell ref="P3:P4"/>
    <mergeCell ref="P11:P12"/>
    <mergeCell ref="K3:K4"/>
    <mergeCell ref="L3:L4"/>
    <mergeCell ref="M3:M4"/>
    <mergeCell ref="C15:C16"/>
    <mergeCell ref="D15:D16"/>
    <mergeCell ref="E15:E16"/>
    <mergeCell ref="F15:F16"/>
    <mergeCell ref="G15:G16"/>
    <mergeCell ref="H15:H16"/>
    <mergeCell ref="I15:I16"/>
    <mergeCell ref="J15:J16"/>
    <mergeCell ref="K15:K16"/>
    <mergeCell ref="L15:L16"/>
    <mergeCell ref="M15:M16"/>
    <mergeCell ref="N15:N16"/>
    <mergeCell ref="O15:O16"/>
    <mergeCell ref="G392:G393"/>
    <mergeCell ref="H392:H393"/>
    <mergeCell ref="I392:I393"/>
    <mergeCell ref="J392:J393"/>
    <mergeCell ref="K392:K393"/>
    <mergeCell ref="L392:L393"/>
    <mergeCell ref="M392:M393"/>
    <mergeCell ref="N392:N393"/>
    <mergeCell ref="O392:O393"/>
    <mergeCell ref="B432:B433"/>
    <mergeCell ref="K420:K421"/>
    <mergeCell ref="L420:L421"/>
    <mergeCell ref="M420:M421"/>
    <mergeCell ref="O420:O421"/>
    <mergeCell ref="E420:E421"/>
    <mergeCell ref="F420:F421"/>
    <mergeCell ref="G420:G421"/>
    <mergeCell ref="H420:H421"/>
    <mergeCell ref="B424:B425"/>
    <mergeCell ref="B428:B429"/>
    <mergeCell ref="L400:L401"/>
    <mergeCell ref="M400:M401"/>
    <mergeCell ref="I359:I360"/>
    <mergeCell ref="J359:J360"/>
    <mergeCell ref="K359:K360"/>
    <mergeCell ref="L359:L360"/>
    <mergeCell ref="M359:M360"/>
    <mergeCell ref="O359:O360"/>
    <mergeCell ref="L428:L429"/>
  </mergeCells>
  <conditionalFormatting sqref="C560 C520:E520 C591:M612 O591:O612 O561:O566 O2:O6 O167:O170 C189:O190 C43:O46 O617:O1048576 C617:M1048576 C396:M407 O396:O407 O339:O346 C87:I87 K87:O87 O13:O14 G520:M520 C327:M334 C11:M14 O21:O22 O327:O334 C339:M346 C351:M362 C561:M570 O47:O70 O412:O419 O193:O210 O285:O314 C476:O477 O317:O322 O422:O423 O213:O218 C137:O138 C135:N136 O544:O559 C540:O543 C73:M86 O73:O78 C71:O72 C89:M94 O89:O94 C183:M188 O183:O188 C522:M531 O522:O534 O153:O154 O157 O159:O162 O131:O136 O538:O539 C536:M539 O518:O520 O221:O242 O85:O86 O478:O479 O367:O391 O173:O178 C19:M38 O81:O82 C167:M178 C367:M391 O482:O499 O514:O515 O273:O274 O277:O282 N245:O250 O426:O459 O351:O362 O125:O129 O255:O270 C139:M162 O569:O570 C412:M475 C47:M70 O139:O150 O25:O38 C544:M559 C2:M6 C255:M322 C99:M134 O99:O122 E535:G535 C532:C535 E532:M534 C191:M250 N462:O475 C478:M519 O502:O511">
    <cfRule type="containsText" dxfId="856" priority="881" operator="containsText" text="Cheque">
      <formula>NOT(ISERROR(SEARCH("Cheque",C2)))</formula>
    </cfRule>
    <cfRule type="containsText" dxfId="855" priority="885" operator="containsText" text="Dinheiro">
      <formula>NOT(ISERROR(SEARCH("Dinheiro",C2)))</formula>
    </cfRule>
    <cfRule type="cellIs" dxfId="854" priority="886" operator="greaterThan">
      <formula>0</formula>
    </cfRule>
  </conditionalFormatting>
  <conditionalFormatting sqref="F374">
    <cfRule type="containsText" dxfId="853" priority="884" operator="containsText" text="Cheque">
      <formula>NOT(ISERROR(SEARCH("Cheque",F374)))</formula>
    </cfRule>
  </conditionalFormatting>
  <conditionalFormatting sqref="C362">
    <cfRule type="containsText" dxfId="852" priority="883" operator="containsText" text="Cheque">
      <formula>NOT(ISERROR(SEARCH("Cheque",C362)))</formula>
    </cfRule>
  </conditionalFormatting>
  <conditionalFormatting sqref="E367:E368">
    <cfRule type="containsText" dxfId="851" priority="882" operator="containsText" text="Cheque">
      <formula>NOT(ISERROR(SEARCH("Cheque",E367)))</formula>
    </cfRule>
  </conditionalFormatting>
  <conditionalFormatting sqref="B522:M523 A520:E520 B89:M90 C2:M2 A591:M612 O591:O612 O2:O6 O167:O170 A189:O190 A43:O46 B561:M562 O617:O1048576 A617:M1048576 A396:M407 O396:O407 O339:O346 A87:I87 K87:O87 O13:O14 G520:M520 A327:M334 A11:M14 O21:O22 O327:O334 A339:M346 A351:M362 A563:M570 O47:O70 O412:O419 O193:O210 O285:O314 A476:O477 O317:O322 O422:O423 O213:O218 A137:O138 A135:N136 O544:O566 A540:O543 A73:M86 O73:O78 A71:O72 A91:M94 O89:O94 A183:M188 O183:O188 A524:M531 O522:O534 O153:O154 O157 O159:O162 O131:O136 O538:O539 A536:M539 O518:O520 O221:O242 O85:O86 O478:O479 O367:O391 O173:O178 A19:M38 O81:O82 A167:M178 A367:M391 O482:O499 O514:O515 O273:O274 O277:O282 N245:O250 O426:O459 O351:O362 O125:O129 O255:O270 A139:M162 O569:O570 A412:M475 A47:M70 O139:O150 O25:O38 A544:M560 A3:M6 A255:M322 A99:M134 O99:O122 E535:G535 A532:C535 E532:M534 A191:M250 N462:O475 A478:M519 O502:O511">
    <cfRule type="containsText" dxfId="850" priority="880" operator="containsText" text="Pix">
      <formula>NOT(ISERROR(SEARCH("Pix",A2)))</formula>
    </cfRule>
  </conditionalFormatting>
  <conditionalFormatting sqref="O560 C560:M560">
    <cfRule type="cellIs" dxfId="849" priority="879" operator="greaterThan">
      <formula>0</formula>
    </cfRule>
  </conditionalFormatting>
  <conditionalFormatting sqref="G571:M574 O571:O574">
    <cfRule type="containsText" dxfId="848" priority="876" operator="containsText" text="Cheque">
      <formula>NOT(ISERROR(SEARCH("Cheque",G571)))</formula>
    </cfRule>
    <cfRule type="containsText" dxfId="847" priority="877" operator="containsText" text="Dinheiro">
      <formula>NOT(ISERROR(SEARCH("Dinheiro",G571)))</formula>
    </cfRule>
    <cfRule type="cellIs" dxfId="846" priority="878" operator="greaterThan">
      <formula>0</formula>
    </cfRule>
  </conditionalFormatting>
  <conditionalFormatting sqref="A571:B574 G571:M574 O571:O574">
    <cfRule type="containsText" dxfId="845" priority="875" operator="containsText" text="Pix">
      <formula>NOT(ISERROR(SEARCH("Pix",A571)))</formula>
    </cfRule>
  </conditionalFormatting>
  <conditionalFormatting sqref="C575:M578 O575:O578">
    <cfRule type="containsText" dxfId="844" priority="872" operator="containsText" text="Cheque">
      <formula>NOT(ISERROR(SEARCH("Cheque",C575)))</formula>
    </cfRule>
    <cfRule type="containsText" dxfId="843" priority="873" operator="containsText" text="Dinheiro">
      <formula>NOT(ISERROR(SEARCH("Dinheiro",C575)))</formula>
    </cfRule>
    <cfRule type="cellIs" dxfId="842" priority="874" operator="greaterThan">
      <formula>0</formula>
    </cfRule>
  </conditionalFormatting>
  <conditionalFormatting sqref="A575:M578 O575:O578">
    <cfRule type="containsText" dxfId="841" priority="871" operator="containsText" text="Pix">
      <formula>NOT(ISERROR(SEARCH("Pix",A575)))</formula>
    </cfRule>
  </conditionalFormatting>
  <conditionalFormatting sqref="O163:O166 C163:M166">
    <cfRule type="containsText" dxfId="840" priority="868" operator="containsText" text="Cheque">
      <formula>NOT(ISERROR(SEARCH("Cheque",C163)))</formula>
    </cfRule>
    <cfRule type="containsText" dxfId="839" priority="869" operator="containsText" text="Dinheiro">
      <formula>NOT(ISERROR(SEARCH("Dinheiro",C163)))</formula>
    </cfRule>
    <cfRule type="cellIs" dxfId="838" priority="870" operator="greaterThan">
      <formula>0</formula>
    </cfRule>
  </conditionalFormatting>
  <conditionalFormatting sqref="O163:O166 A163:M166">
    <cfRule type="containsText" dxfId="837" priority="867" operator="containsText" text="Pix">
      <formula>NOT(ISERROR(SEARCH("Pix",A163)))</formula>
    </cfRule>
  </conditionalFormatting>
  <conditionalFormatting sqref="C408:M411 O408:O411">
    <cfRule type="containsText" dxfId="836" priority="864" operator="containsText" text="Cheque">
      <formula>NOT(ISERROR(SEARCH("Cheque",C408)))</formula>
    </cfRule>
    <cfRule type="containsText" dxfId="835" priority="865" operator="containsText" text="Dinheiro">
      <formula>NOT(ISERROR(SEARCH("Dinheiro",C408)))</formula>
    </cfRule>
    <cfRule type="cellIs" dxfId="834" priority="866" operator="greaterThan">
      <formula>0</formula>
    </cfRule>
  </conditionalFormatting>
  <conditionalFormatting sqref="A408:M411 O408:O411">
    <cfRule type="containsText" dxfId="833" priority="863" operator="containsText" text="Pix">
      <formula>NOT(ISERROR(SEARCH("Pix",A408)))</formula>
    </cfRule>
  </conditionalFormatting>
  <conditionalFormatting sqref="C579:M582 O579:O582">
    <cfRule type="containsText" dxfId="832" priority="856" operator="containsText" text="Cheque">
      <formula>NOT(ISERROR(SEARCH("Cheque",C579)))</formula>
    </cfRule>
    <cfRule type="containsText" dxfId="831" priority="857" operator="containsText" text="Dinheiro">
      <formula>NOT(ISERROR(SEARCH("Dinheiro",C579)))</formula>
    </cfRule>
    <cfRule type="cellIs" dxfId="830" priority="858" operator="greaterThan">
      <formula>0</formula>
    </cfRule>
  </conditionalFormatting>
  <conditionalFormatting sqref="A579:M582 O579:O582">
    <cfRule type="containsText" dxfId="829" priority="855" operator="containsText" text="Pix">
      <formula>NOT(ISERROR(SEARCH("Pix",A579)))</formula>
    </cfRule>
  </conditionalFormatting>
  <conditionalFormatting sqref="C583:M586 O583:O586">
    <cfRule type="containsText" dxfId="828" priority="852" operator="containsText" text="Cheque">
      <formula>NOT(ISERROR(SEARCH("Cheque",C583)))</formula>
    </cfRule>
    <cfRule type="containsText" dxfId="827" priority="853" operator="containsText" text="Dinheiro">
      <formula>NOT(ISERROR(SEARCH("Dinheiro",C583)))</formula>
    </cfRule>
    <cfRule type="cellIs" dxfId="826" priority="854" operator="greaterThan">
      <formula>0</formula>
    </cfRule>
  </conditionalFormatting>
  <conditionalFormatting sqref="A583:M586 O583:O586">
    <cfRule type="containsText" dxfId="825" priority="851" operator="containsText" text="Pix">
      <formula>NOT(ISERROR(SEARCH("Pix",A583)))</formula>
    </cfRule>
  </conditionalFormatting>
  <conditionalFormatting sqref="C323:M326 O323:O326">
    <cfRule type="containsText" dxfId="824" priority="848" operator="containsText" text="Cheque">
      <formula>NOT(ISERROR(SEARCH("Cheque",C323)))</formula>
    </cfRule>
    <cfRule type="containsText" dxfId="823" priority="849" operator="containsText" text="Dinheiro">
      <formula>NOT(ISERROR(SEARCH("Dinheiro",C323)))</formula>
    </cfRule>
    <cfRule type="cellIs" dxfId="822" priority="850" operator="greaterThan">
      <formula>0</formula>
    </cfRule>
  </conditionalFormatting>
  <conditionalFormatting sqref="A323:M326 O323:O326">
    <cfRule type="containsText" dxfId="821" priority="847" operator="containsText" text="Pix">
      <formula>NOT(ISERROR(SEARCH("Pix",A323)))</formula>
    </cfRule>
  </conditionalFormatting>
  <conditionalFormatting sqref="C587:M590 O587:O590">
    <cfRule type="containsText" dxfId="820" priority="844" operator="containsText" text="Cheque">
      <formula>NOT(ISERROR(SEARCH("Cheque",C587)))</formula>
    </cfRule>
    <cfRule type="containsText" dxfId="819" priority="845" operator="containsText" text="Dinheiro">
      <formula>NOT(ISERROR(SEARCH("Dinheiro",C587)))</formula>
    </cfRule>
    <cfRule type="cellIs" dxfId="818" priority="846" operator="greaterThan">
      <formula>0</formula>
    </cfRule>
  </conditionalFormatting>
  <conditionalFormatting sqref="A587:M590 O587:O590">
    <cfRule type="containsText" dxfId="817" priority="843" operator="containsText" text="Pix">
      <formula>NOT(ISERROR(SEARCH("Pix",A587)))</formula>
    </cfRule>
  </conditionalFormatting>
  <conditionalFormatting sqref="O1:XFD6 A189:XFD190 A43:XFD46 B561:M562 O617:XFD1048576 A617:M1048576 O339:XFD346 A1 P87:XFD88 A87:I88 K87:O87 O13:XFD14 A11:M14 O21:XFD22 A339:M346 A351:M362 A563:M612 P11:XFD12 P283:XFD284 O47:XFD70 O396:XFD419 P420:XFD421 P211:XFD212 P23:XFD24 O193:XFD210 O285:XFD314 A476:XFD477 P315:XFD316 O422:XFD423 O213:XFD218 A137:XFD138 A135:N136 O544:XFD566 A540:XFD543 A73:M86 O73:XFD78 A71:XFD72 O89:XFD94 A89:M94 O183:XFD188 A183:M188 O153:XFD154 P151:XFD152 P275:XFD276 O157:XFD157 P155:XFD156 O159:XFD170 P158:XFD158 O131:XFD136 P130:XFD130 O538:XFD539 A536:M539 O518:XFD534 P516:XFD517 O221:XFD242 P219:XFD220 O85:XFD86 P83:XFD84 P191:XFD192 O478:XFD479 O367:XFD391 P460:XFD461 O173:XFD178 P171:XFD172 A19:M38 O81:XFD82 P79:XFD80 C1:M1 P535:XFD537 A367:M391 O482:XFD499 P480:XFD481 O514:XFD515 P512:XFD513 O273:XFD274 P271:XFD272 O277:XFD282 N245:XFD250 P243:XFD244 P500:XFD501 O426:XFD459 P424:XFD425 P19:XFD20 O351:XFD362 O125:XFD129 P123:XFD124 O255:XFD270 O317:XFD334 A139:M178 O569:XFD612 P567:XFD568 A396:M475 A47:M70 O139:XFD150 O25:XFD38 A544:M560 A2:M6 A255:M334 A99:M134 O99:XFD122 A532:C535 E532:M534 E535:G535 A191:M250 N462:XFD475 A478:M531 O502:XFD511">
    <cfRule type="containsText" dxfId="816" priority="841" operator="containsText" text="transferencia">
      <formula>NOT(ISERROR(SEARCH("transferencia",A1)))</formula>
    </cfRule>
    <cfRule type="containsText" dxfId="815" priority="842" operator="containsText" text="trasnferência">
      <formula>NOT(ISERROR(SEARCH("trasnferência",A1)))</formula>
    </cfRule>
  </conditionalFormatting>
  <conditionalFormatting sqref="C591:M594 O591:O594">
    <cfRule type="containsText" dxfId="814" priority="838" operator="containsText" text="Cheque">
      <formula>NOT(ISERROR(SEARCH("Cheque",C591)))</formula>
    </cfRule>
    <cfRule type="containsText" dxfId="813" priority="839" operator="containsText" text="Dinheiro">
      <formula>NOT(ISERROR(SEARCH("Dinheiro",C591)))</formula>
    </cfRule>
    <cfRule type="cellIs" dxfId="812" priority="840" operator="greaterThan">
      <formula>0</formula>
    </cfRule>
  </conditionalFormatting>
  <conditionalFormatting sqref="A591:M594 O591:O594">
    <cfRule type="containsText" dxfId="811" priority="837" operator="containsText" text="Pix">
      <formula>NOT(ISERROR(SEARCH("Pix",A591)))</formula>
    </cfRule>
  </conditionalFormatting>
  <conditionalFormatting sqref="C595:M598 O595:O598">
    <cfRule type="containsText" dxfId="810" priority="834" operator="containsText" text="Cheque">
      <formula>NOT(ISERROR(SEARCH("Cheque",C595)))</formula>
    </cfRule>
    <cfRule type="containsText" dxfId="809" priority="835" operator="containsText" text="Dinheiro">
      <formula>NOT(ISERROR(SEARCH("Dinheiro",C595)))</formula>
    </cfRule>
    <cfRule type="cellIs" dxfId="808" priority="836" operator="greaterThan">
      <formula>0</formula>
    </cfRule>
  </conditionalFormatting>
  <conditionalFormatting sqref="A595:M598 O595:O598">
    <cfRule type="containsText" dxfId="807" priority="833" operator="containsText" text="Pix">
      <formula>NOT(ISERROR(SEARCH("Pix",A595)))</formula>
    </cfRule>
  </conditionalFormatting>
  <conditionalFormatting sqref="C599:M602 O599:O602">
    <cfRule type="containsText" dxfId="806" priority="830" operator="containsText" text="Cheque">
      <formula>NOT(ISERROR(SEARCH("Cheque",C599)))</formula>
    </cfRule>
    <cfRule type="containsText" dxfId="805" priority="831" operator="containsText" text="Dinheiro">
      <formula>NOT(ISERROR(SEARCH("Dinheiro",C599)))</formula>
    </cfRule>
    <cfRule type="cellIs" dxfId="804" priority="832" operator="greaterThan">
      <formula>0</formula>
    </cfRule>
  </conditionalFormatting>
  <conditionalFormatting sqref="A599:M602 O599:O602">
    <cfRule type="containsText" dxfId="803" priority="829" operator="containsText" text="Pix">
      <formula>NOT(ISERROR(SEARCH("Pix",A599)))</formula>
    </cfRule>
  </conditionalFormatting>
  <conditionalFormatting sqref="C603:M606 O603:O606">
    <cfRule type="containsText" dxfId="802" priority="826" operator="containsText" text="Cheque">
      <formula>NOT(ISERROR(SEARCH("Cheque",C603)))</formula>
    </cfRule>
    <cfRule type="containsText" dxfId="801" priority="827" operator="containsText" text="Dinheiro">
      <formula>NOT(ISERROR(SEARCH("Dinheiro",C603)))</formula>
    </cfRule>
    <cfRule type="cellIs" dxfId="800" priority="828" operator="greaterThan">
      <formula>0</formula>
    </cfRule>
  </conditionalFormatting>
  <conditionalFormatting sqref="A603:M606 O603:O606">
    <cfRule type="containsText" dxfId="799" priority="825" operator="containsText" text="Pix">
      <formula>NOT(ISERROR(SEARCH("Pix",A603)))</formula>
    </cfRule>
  </conditionalFormatting>
  <conditionalFormatting sqref="N2:N6 N327:N330 N561:N566 N591:N612 N414:N419 N522:N527 N167:N170 N193:N210 N47:N50 N617:N1048576 N396:N407 N339:N342 N255:N262 N367:N382 N351:N362 N89:N90 N13:N14 N546:N559 N446:N447 N54:N58 N21:N22 N422:N423 N213:N218 N317:N322 N333:N334 N450:N459 N285:N286 N426:N427 N538:N539 N502:N503 N482:N483 N438:N439 N514:N515 N289 N291:N314 N273:N274 N125:N134 N345:N346 N85:N86 N25:N38 N173:N178 N569:N570 N390:N391 N530:N531 N221:N242 N153:N154 N430:N435 N157:N162 N518:N520 N277:N282 N496:N499 N478:N479 N442:N443 N139:N150 N73:N82 N93:N94 N99:N121 N183:N186 N265:N270 N488:N493 N62:N70 N508:N511">
    <cfRule type="containsText" dxfId="798" priority="822" operator="containsText" text="Cheque">
      <formula>NOT(ISERROR(SEARCH("Cheque",N2)))</formula>
    </cfRule>
    <cfRule type="containsText" dxfId="797" priority="823" operator="containsText" text="Dinheiro">
      <formula>NOT(ISERROR(SEARCH("Dinheiro",N2)))</formula>
    </cfRule>
    <cfRule type="cellIs" dxfId="796" priority="824" operator="greaterThan">
      <formula>0</formula>
    </cfRule>
  </conditionalFormatting>
  <conditionalFormatting sqref="N2:N6 N327:N330 N591:N612 N414:N419 N522:N527 N167:N170 N193:N210 N47:N50 N617:N1048576 N396:N407 N339:N342 N255:N262 N367:N382 N351:N362 N89:N90 N13:N14 N546:N566 N446:N447 N54:N58 N21:N22 N422:N423 N213:N218 N317:N322 N333:N334 N450:N459 N285:N286 N426:N427 N538:N539 N502:N503 N482:N483 N438:N439 N514:N515 N289 N291:N314 N273:N274 N125:N134 N345:N346 N85:N86 N25:N38 N173:N178 N569:N570 N390:N391 N530:N531 N221:N242 N153:N154 N430:N435 N157:N162 N518:N520 N277:N282 N496:N499 N478:N479 N442:N443 N139:N150 N73:N82 N93:N94 N99:N121 N183:N186 N265:N270 N488:N493 N62:N70 N508:N511">
    <cfRule type="containsText" dxfId="795" priority="821" operator="containsText" text="Pix">
      <formula>NOT(ISERROR(SEARCH("Pix",N2)))</formula>
    </cfRule>
  </conditionalFormatting>
  <conditionalFormatting sqref="N560">
    <cfRule type="cellIs" dxfId="794" priority="820" operator="greaterThan">
      <formula>0</formula>
    </cfRule>
  </conditionalFormatting>
  <conditionalFormatting sqref="N571:N574">
    <cfRule type="containsText" dxfId="793" priority="817" operator="containsText" text="Cheque">
      <formula>NOT(ISERROR(SEARCH("Cheque",N571)))</formula>
    </cfRule>
    <cfRule type="containsText" dxfId="792" priority="818" operator="containsText" text="Dinheiro">
      <formula>NOT(ISERROR(SEARCH("Dinheiro",N571)))</formula>
    </cfRule>
    <cfRule type="cellIs" dxfId="791" priority="819" operator="greaterThan">
      <formula>0</formula>
    </cfRule>
  </conditionalFormatting>
  <conditionalFormatting sqref="N571:N574">
    <cfRule type="containsText" dxfId="790" priority="816" operator="containsText" text="Pix">
      <formula>NOT(ISERROR(SEARCH("Pix",N571)))</formula>
    </cfRule>
  </conditionalFormatting>
  <conditionalFormatting sqref="N575:N578">
    <cfRule type="containsText" dxfId="789" priority="813" operator="containsText" text="Cheque">
      <formula>NOT(ISERROR(SEARCH("Cheque",N575)))</formula>
    </cfRule>
    <cfRule type="containsText" dxfId="788" priority="814" operator="containsText" text="Dinheiro">
      <formula>NOT(ISERROR(SEARCH("Dinheiro",N575)))</formula>
    </cfRule>
    <cfRule type="cellIs" dxfId="787" priority="815" operator="greaterThan">
      <formula>0</formula>
    </cfRule>
  </conditionalFormatting>
  <conditionalFormatting sqref="N575:N578">
    <cfRule type="containsText" dxfId="786" priority="812" operator="containsText" text="Pix">
      <formula>NOT(ISERROR(SEARCH("Pix",N575)))</formula>
    </cfRule>
  </conditionalFormatting>
  <conditionalFormatting sqref="N163:N166">
    <cfRule type="containsText" dxfId="785" priority="809" operator="containsText" text="Cheque">
      <formula>NOT(ISERROR(SEARCH("Cheque",N163)))</formula>
    </cfRule>
    <cfRule type="containsText" dxfId="784" priority="810" operator="containsText" text="Dinheiro">
      <formula>NOT(ISERROR(SEARCH("Dinheiro",N163)))</formula>
    </cfRule>
    <cfRule type="cellIs" dxfId="783" priority="811" operator="greaterThan">
      <formula>0</formula>
    </cfRule>
  </conditionalFormatting>
  <conditionalFormatting sqref="N163:N166">
    <cfRule type="containsText" dxfId="782" priority="808" operator="containsText" text="Pix">
      <formula>NOT(ISERROR(SEARCH("Pix",N163)))</formula>
    </cfRule>
  </conditionalFormatting>
  <conditionalFormatting sqref="N408:N411">
    <cfRule type="containsText" dxfId="781" priority="805" operator="containsText" text="Cheque">
      <formula>NOT(ISERROR(SEARCH("Cheque",N408)))</formula>
    </cfRule>
    <cfRule type="containsText" dxfId="780" priority="806" operator="containsText" text="Dinheiro">
      <formula>NOT(ISERROR(SEARCH("Dinheiro",N408)))</formula>
    </cfRule>
    <cfRule type="cellIs" dxfId="779" priority="807" operator="greaterThan">
      <formula>0</formula>
    </cfRule>
  </conditionalFormatting>
  <conditionalFormatting sqref="N408:N411">
    <cfRule type="containsText" dxfId="778" priority="804" operator="containsText" text="Pix">
      <formula>NOT(ISERROR(SEARCH("Pix",N408)))</formula>
    </cfRule>
  </conditionalFormatting>
  <conditionalFormatting sqref="N579:N582">
    <cfRule type="containsText" dxfId="777" priority="801" operator="containsText" text="Cheque">
      <formula>NOT(ISERROR(SEARCH("Cheque",N579)))</formula>
    </cfRule>
    <cfRule type="containsText" dxfId="776" priority="802" operator="containsText" text="Dinheiro">
      <formula>NOT(ISERROR(SEARCH("Dinheiro",N579)))</formula>
    </cfRule>
    <cfRule type="cellIs" dxfId="775" priority="803" operator="greaterThan">
      <formula>0</formula>
    </cfRule>
  </conditionalFormatting>
  <conditionalFormatting sqref="N579:N582">
    <cfRule type="containsText" dxfId="774" priority="800" operator="containsText" text="Pix">
      <formula>NOT(ISERROR(SEARCH("Pix",N579)))</formula>
    </cfRule>
  </conditionalFormatting>
  <conditionalFormatting sqref="N583:N586">
    <cfRule type="containsText" dxfId="773" priority="797" operator="containsText" text="Cheque">
      <formula>NOT(ISERROR(SEARCH("Cheque",N583)))</formula>
    </cfRule>
    <cfRule type="containsText" dxfId="772" priority="798" operator="containsText" text="Dinheiro">
      <formula>NOT(ISERROR(SEARCH("Dinheiro",N583)))</formula>
    </cfRule>
    <cfRule type="cellIs" dxfId="771" priority="799" operator="greaterThan">
      <formula>0</formula>
    </cfRule>
  </conditionalFormatting>
  <conditionalFormatting sqref="N583:N586">
    <cfRule type="containsText" dxfId="770" priority="796" operator="containsText" text="Pix">
      <formula>NOT(ISERROR(SEARCH("Pix",N583)))</formula>
    </cfRule>
  </conditionalFormatting>
  <conditionalFormatting sqref="N325:N326">
    <cfRule type="containsText" dxfId="769" priority="793" operator="containsText" text="Cheque">
      <formula>NOT(ISERROR(SEARCH("Cheque",N325)))</formula>
    </cfRule>
    <cfRule type="containsText" dxfId="768" priority="794" operator="containsText" text="Dinheiro">
      <formula>NOT(ISERROR(SEARCH("Dinheiro",N325)))</formula>
    </cfRule>
    <cfRule type="cellIs" dxfId="767" priority="795" operator="greaterThan">
      <formula>0</formula>
    </cfRule>
  </conditionalFormatting>
  <conditionalFormatting sqref="N325:N326">
    <cfRule type="containsText" dxfId="766" priority="792" operator="containsText" text="Pix">
      <formula>NOT(ISERROR(SEARCH("Pix",N325)))</formula>
    </cfRule>
  </conditionalFormatting>
  <conditionalFormatting sqref="N587:N590">
    <cfRule type="containsText" dxfId="765" priority="789" operator="containsText" text="Cheque">
      <formula>NOT(ISERROR(SEARCH("Cheque",N587)))</formula>
    </cfRule>
    <cfRule type="containsText" dxfId="764" priority="790" operator="containsText" text="Dinheiro">
      <formula>NOT(ISERROR(SEARCH("Dinheiro",N587)))</formula>
    </cfRule>
    <cfRule type="cellIs" dxfId="763" priority="791" operator="greaterThan">
      <formula>0</formula>
    </cfRule>
  </conditionalFormatting>
  <conditionalFormatting sqref="N587:N590">
    <cfRule type="containsText" dxfId="762" priority="788" operator="containsText" text="Pix">
      <formula>NOT(ISERROR(SEARCH("Pix",N587)))</formula>
    </cfRule>
  </conditionalFormatting>
  <conditionalFormatting sqref="N1:N6 N193:N210 N47:N50 N617:N1048576 N396:N411 N339:N342 N255:N262 N367:N382 N351:N362 N89:N90 N13:N14 N546:N566 N446:N447 N54:N58 N21:N22 N422:N423 N213:N218 N317:N322 N333:N334 N450:N459 N285:N286 N426:N427 N538:N539 N502:N503 N482:N483 N438:N439 N514:N515 N289 N291:N314 N273:N274 N125:N134 N345:N346 N85:N86 N414:N419 N325:N330 N25:N38 N173:N178 N569:N612 N390:N391 N530:N531 N221:N242 N153:N154 N430:N435 N157:N170 N518:N527 N277:N282 N496:N499 N478:N479 N442:N443 N139:N150 N73:N82 N93:N94 N99:N121 N183:N186 N265:N270 N488:N493 N62:N70 N508:N511">
    <cfRule type="containsText" dxfId="761" priority="786" operator="containsText" text="transferencia">
      <formula>NOT(ISERROR(SEARCH("transferencia",N1)))</formula>
    </cfRule>
    <cfRule type="containsText" dxfId="760" priority="787" operator="containsText" text="trasnferência">
      <formula>NOT(ISERROR(SEARCH("trasnferência",N1)))</formula>
    </cfRule>
  </conditionalFormatting>
  <conditionalFormatting sqref="N591:N594">
    <cfRule type="containsText" dxfId="759" priority="783" operator="containsText" text="Cheque">
      <formula>NOT(ISERROR(SEARCH("Cheque",N591)))</formula>
    </cfRule>
    <cfRule type="containsText" dxfId="758" priority="784" operator="containsText" text="Dinheiro">
      <formula>NOT(ISERROR(SEARCH("Dinheiro",N591)))</formula>
    </cfRule>
    <cfRule type="cellIs" dxfId="757" priority="785" operator="greaterThan">
      <formula>0</formula>
    </cfRule>
  </conditionalFormatting>
  <conditionalFormatting sqref="N591:N594">
    <cfRule type="containsText" dxfId="756" priority="782" operator="containsText" text="Pix">
      <formula>NOT(ISERROR(SEARCH("Pix",N591)))</formula>
    </cfRule>
  </conditionalFormatting>
  <conditionalFormatting sqref="N595:N598">
    <cfRule type="containsText" dxfId="755" priority="779" operator="containsText" text="Cheque">
      <formula>NOT(ISERROR(SEARCH("Cheque",N595)))</formula>
    </cfRule>
    <cfRule type="containsText" dxfId="754" priority="780" operator="containsText" text="Dinheiro">
      <formula>NOT(ISERROR(SEARCH("Dinheiro",N595)))</formula>
    </cfRule>
    <cfRule type="cellIs" dxfId="753" priority="781" operator="greaterThan">
      <formula>0</formula>
    </cfRule>
  </conditionalFormatting>
  <conditionalFormatting sqref="N595:N598">
    <cfRule type="containsText" dxfId="752" priority="778" operator="containsText" text="Pix">
      <formula>NOT(ISERROR(SEARCH("Pix",N595)))</formula>
    </cfRule>
  </conditionalFormatting>
  <conditionalFormatting sqref="N599:N602">
    <cfRule type="containsText" dxfId="751" priority="775" operator="containsText" text="Cheque">
      <formula>NOT(ISERROR(SEARCH("Cheque",N599)))</formula>
    </cfRule>
    <cfRule type="containsText" dxfId="750" priority="776" operator="containsText" text="Dinheiro">
      <formula>NOT(ISERROR(SEARCH("Dinheiro",N599)))</formula>
    </cfRule>
    <cfRule type="cellIs" dxfId="749" priority="777" operator="greaterThan">
      <formula>0</formula>
    </cfRule>
  </conditionalFormatting>
  <conditionalFormatting sqref="N599:N602">
    <cfRule type="containsText" dxfId="748" priority="774" operator="containsText" text="Pix">
      <formula>NOT(ISERROR(SEARCH("Pix",N599)))</formula>
    </cfRule>
  </conditionalFormatting>
  <conditionalFormatting sqref="N603:N606">
    <cfRule type="containsText" dxfId="747" priority="771" operator="containsText" text="Cheque">
      <formula>NOT(ISERROR(SEARCH("Cheque",N603)))</formula>
    </cfRule>
    <cfRule type="containsText" dxfId="746" priority="772" operator="containsText" text="Dinheiro">
      <formula>NOT(ISERROR(SEARCH("Dinheiro",N603)))</formula>
    </cfRule>
    <cfRule type="cellIs" dxfId="745" priority="773" operator="greaterThan">
      <formula>0</formula>
    </cfRule>
  </conditionalFormatting>
  <conditionalFormatting sqref="N603:N606">
    <cfRule type="containsText" dxfId="744" priority="770" operator="containsText" text="Pix">
      <formula>NOT(ISERROR(SEARCH("Pix",N603)))</formula>
    </cfRule>
  </conditionalFormatting>
  <conditionalFormatting sqref="N187:N188">
    <cfRule type="containsText" dxfId="743" priority="767" operator="containsText" text="Cheque">
      <formula>NOT(ISERROR(SEARCH("Cheque",N187)))</formula>
    </cfRule>
    <cfRule type="containsText" dxfId="742" priority="768" operator="containsText" text="Dinheiro">
      <formula>NOT(ISERROR(SEARCH("Dinheiro",N187)))</formula>
    </cfRule>
    <cfRule type="cellIs" dxfId="741" priority="769" operator="greaterThan">
      <formula>0</formula>
    </cfRule>
  </conditionalFormatting>
  <conditionalFormatting sqref="N187:N188">
    <cfRule type="containsText" dxfId="740" priority="766" operator="containsText" text="Pix">
      <formula>NOT(ISERROR(SEARCH("Pix",N187)))</formula>
    </cfRule>
  </conditionalFormatting>
  <conditionalFormatting sqref="N187:N188">
    <cfRule type="containsText" dxfId="739" priority="764" operator="containsText" text="transferencia">
      <formula>NOT(ISERROR(SEARCH("transferencia",N187)))</formula>
    </cfRule>
    <cfRule type="containsText" dxfId="738" priority="765" operator="containsText" text="trasnferência">
      <formula>NOT(ISERROR(SEARCH("trasnferência",N187)))</formula>
    </cfRule>
  </conditionalFormatting>
  <conditionalFormatting sqref="O392:O395 C392:M395">
    <cfRule type="containsText" dxfId="737" priority="749" operator="containsText" text="Cheque">
      <formula>NOT(ISERROR(SEARCH("Cheque",C392)))</formula>
    </cfRule>
    <cfRule type="containsText" dxfId="736" priority="750" operator="containsText" text="Dinheiro">
      <formula>NOT(ISERROR(SEARCH("Dinheiro",C392)))</formula>
    </cfRule>
    <cfRule type="cellIs" dxfId="735" priority="751" operator="greaterThan">
      <formula>0</formula>
    </cfRule>
  </conditionalFormatting>
  <conditionalFormatting sqref="O392:O395 A392:M395">
    <cfRule type="containsText" dxfId="734" priority="748" operator="containsText" text="Pix">
      <formula>NOT(ISERROR(SEARCH("Pix",A392)))</formula>
    </cfRule>
  </conditionalFormatting>
  <conditionalFormatting sqref="O392:XFD395 A392:M395">
    <cfRule type="containsText" dxfId="733" priority="746" operator="containsText" text="transferencia">
      <formula>NOT(ISERROR(SEARCH("transferencia",A392)))</formula>
    </cfRule>
    <cfRule type="containsText" dxfId="732" priority="747" operator="containsText" text="trasnferência">
      <formula>NOT(ISERROR(SEARCH("trasnferência",A392)))</formula>
    </cfRule>
  </conditionalFormatting>
  <conditionalFormatting sqref="N392:N395">
    <cfRule type="containsText" dxfId="731" priority="743" operator="containsText" text="Cheque">
      <formula>NOT(ISERROR(SEARCH("Cheque",N392)))</formula>
    </cfRule>
    <cfRule type="containsText" dxfId="730" priority="744" operator="containsText" text="Dinheiro">
      <formula>NOT(ISERROR(SEARCH("Dinheiro",N392)))</formula>
    </cfRule>
    <cfRule type="cellIs" dxfId="729" priority="745" operator="greaterThan">
      <formula>0</formula>
    </cfRule>
  </conditionalFormatting>
  <conditionalFormatting sqref="N392:N395">
    <cfRule type="containsText" dxfId="728" priority="742" operator="containsText" text="Pix">
      <formula>NOT(ISERROR(SEARCH("Pix",N392)))</formula>
    </cfRule>
  </conditionalFormatting>
  <conditionalFormatting sqref="N392:N395">
    <cfRule type="containsText" dxfId="727" priority="740" operator="containsText" text="transferencia">
      <formula>NOT(ISERROR(SEARCH("transferencia",N392)))</formula>
    </cfRule>
    <cfRule type="containsText" dxfId="726" priority="741" operator="containsText" text="trasnferência">
      <formula>NOT(ISERROR(SEARCH("trasnferência",N392)))</formula>
    </cfRule>
  </conditionalFormatting>
  <conditionalFormatting sqref="C335:M338 O335:O338">
    <cfRule type="containsText" dxfId="725" priority="737" operator="containsText" text="Cheque">
      <formula>NOT(ISERROR(SEARCH("Cheque",C335)))</formula>
    </cfRule>
    <cfRule type="containsText" dxfId="724" priority="738" operator="containsText" text="Dinheiro">
      <formula>NOT(ISERROR(SEARCH("Dinheiro",C335)))</formula>
    </cfRule>
    <cfRule type="cellIs" dxfId="723" priority="739" operator="greaterThan">
      <formula>0</formula>
    </cfRule>
  </conditionalFormatting>
  <conditionalFormatting sqref="A335:M338 O335:O338">
    <cfRule type="containsText" dxfId="722" priority="736" operator="containsText" text="Pix">
      <formula>NOT(ISERROR(SEARCH("Pix",A335)))</formula>
    </cfRule>
  </conditionalFormatting>
  <conditionalFormatting sqref="A335:M338 O335:XFD338">
    <cfRule type="containsText" dxfId="721" priority="734" operator="containsText" text="transferencia">
      <formula>NOT(ISERROR(SEARCH("transferencia",A335)))</formula>
    </cfRule>
    <cfRule type="containsText" dxfId="720" priority="735" operator="containsText" text="trasnferência">
      <formula>NOT(ISERROR(SEARCH("trasnferência",A335)))</formula>
    </cfRule>
  </conditionalFormatting>
  <conditionalFormatting sqref="N335:N338">
    <cfRule type="containsText" dxfId="719" priority="731" operator="containsText" text="Cheque">
      <formula>NOT(ISERROR(SEARCH("Cheque",N335)))</formula>
    </cfRule>
    <cfRule type="containsText" dxfId="718" priority="732" operator="containsText" text="Dinheiro">
      <formula>NOT(ISERROR(SEARCH("Dinheiro",N335)))</formula>
    </cfRule>
    <cfRule type="cellIs" dxfId="717" priority="733" operator="greaterThan">
      <formula>0</formula>
    </cfRule>
  </conditionalFormatting>
  <conditionalFormatting sqref="N335:N338">
    <cfRule type="containsText" dxfId="716" priority="730" operator="containsText" text="Pix">
      <formula>NOT(ISERROR(SEARCH("Pix",N335)))</formula>
    </cfRule>
  </conditionalFormatting>
  <conditionalFormatting sqref="N335:N338">
    <cfRule type="containsText" dxfId="715" priority="728" operator="containsText" text="transferencia">
      <formula>NOT(ISERROR(SEARCH("transferencia",N335)))</formula>
    </cfRule>
    <cfRule type="containsText" dxfId="714" priority="729" operator="containsText" text="trasnferência">
      <formula>NOT(ISERROR(SEARCH("trasnferência",N335)))</formula>
    </cfRule>
  </conditionalFormatting>
  <conditionalFormatting sqref="C251:M254 O251:O254">
    <cfRule type="containsText" dxfId="713" priority="725" operator="containsText" text="Cheque">
      <formula>NOT(ISERROR(SEARCH("Cheque",C251)))</formula>
    </cfRule>
    <cfRule type="containsText" dxfId="712" priority="726" operator="containsText" text="Dinheiro">
      <formula>NOT(ISERROR(SEARCH("Dinheiro",C251)))</formula>
    </cfRule>
    <cfRule type="cellIs" dxfId="711" priority="727" operator="greaterThan">
      <formula>0</formula>
    </cfRule>
  </conditionalFormatting>
  <conditionalFormatting sqref="A251:M254 O251:O254">
    <cfRule type="containsText" dxfId="710" priority="724" operator="containsText" text="Pix">
      <formula>NOT(ISERROR(SEARCH("Pix",A251)))</formula>
    </cfRule>
  </conditionalFormatting>
  <conditionalFormatting sqref="A251:M254 O251:XFD254">
    <cfRule type="containsText" dxfId="709" priority="722" operator="containsText" text="transferencia">
      <formula>NOT(ISERROR(SEARCH("transferencia",A251)))</formula>
    </cfRule>
    <cfRule type="containsText" dxfId="708" priority="723" operator="containsText" text="trasnferência">
      <formula>NOT(ISERROR(SEARCH("trasnferência",A251)))</formula>
    </cfRule>
  </conditionalFormatting>
  <conditionalFormatting sqref="N251:N254">
    <cfRule type="containsText" dxfId="707" priority="719" operator="containsText" text="Cheque">
      <formula>NOT(ISERROR(SEARCH("Cheque",N251)))</formula>
    </cfRule>
    <cfRule type="containsText" dxfId="706" priority="720" operator="containsText" text="Dinheiro">
      <formula>NOT(ISERROR(SEARCH("Dinheiro",N251)))</formula>
    </cfRule>
    <cfRule type="cellIs" dxfId="705" priority="721" operator="greaterThan">
      <formula>0</formula>
    </cfRule>
  </conditionalFormatting>
  <conditionalFormatting sqref="N251:N254">
    <cfRule type="containsText" dxfId="704" priority="718" operator="containsText" text="Pix">
      <formula>NOT(ISERROR(SEARCH("Pix",N251)))</formula>
    </cfRule>
  </conditionalFormatting>
  <conditionalFormatting sqref="N251:N254">
    <cfRule type="containsText" dxfId="703" priority="716" operator="containsText" text="transferencia">
      <formula>NOT(ISERROR(SEARCH("transferencia",N251)))</formula>
    </cfRule>
    <cfRule type="containsText" dxfId="702" priority="717" operator="containsText" text="trasnferência">
      <formula>NOT(ISERROR(SEARCH("trasnferência",N251)))</formula>
    </cfRule>
  </conditionalFormatting>
  <conditionalFormatting sqref="C363:M366 O363:O366">
    <cfRule type="containsText" dxfId="701" priority="712" operator="containsText" text="Cheque">
      <formula>NOT(ISERROR(SEARCH("Cheque",C363)))</formula>
    </cfRule>
    <cfRule type="containsText" dxfId="700" priority="714" operator="containsText" text="Dinheiro">
      <formula>NOT(ISERROR(SEARCH("Dinheiro",C363)))</formula>
    </cfRule>
    <cfRule type="cellIs" dxfId="699" priority="715" operator="greaterThan">
      <formula>0</formula>
    </cfRule>
  </conditionalFormatting>
  <conditionalFormatting sqref="C366">
    <cfRule type="containsText" dxfId="698" priority="713" operator="containsText" text="Cheque">
      <formula>NOT(ISERROR(SEARCH("Cheque",C366)))</formula>
    </cfRule>
  </conditionalFormatting>
  <conditionalFormatting sqref="A363:M366 O363:O366">
    <cfRule type="containsText" dxfId="697" priority="711" operator="containsText" text="Pix">
      <formula>NOT(ISERROR(SEARCH("Pix",A363)))</formula>
    </cfRule>
  </conditionalFormatting>
  <conditionalFormatting sqref="A363:M366 O363:XFD366">
    <cfRule type="containsText" dxfId="696" priority="709" operator="containsText" text="transferencia">
      <formula>NOT(ISERROR(SEARCH("transferencia",A363)))</formula>
    </cfRule>
    <cfRule type="containsText" dxfId="695" priority="710" operator="containsText" text="trasnferência">
      <formula>NOT(ISERROR(SEARCH("trasnferência",A363)))</formula>
    </cfRule>
  </conditionalFormatting>
  <conditionalFormatting sqref="N365:N366">
    <cfRule type="containsText" dxfId="694" priority="706" operator="containsText" text="Cheque">
      <formula>NOT(ISERROR(SEARCH("Cheque",N365)))</formula>
    </cfRule>
    <cfRule type="containsText" dxfId="693" priority="707" operator="containsText" text="Dinheiro">
      <formula>NOT(ISERROR(SEARCH("Dinheiro",N365)))</formula>
    </cfRule>
    <cfRule type="cellIs" dxfId="692" priority="708" operator="greaterThan">
      <formula>0</formula>
    </cfRule>
  </conditionalFormatting>
  <conditionalFormatting sqref="N365:N366">
    <cfRule type="containsText" dxfId="691" priority="705" operator="containsText" text="Pix">
      <formula>NOT(ISERROR(SEARCH("Pix",N365)))</formula>
    </cfRule>
  </conditionalFormatting>
  <conditionalFormatting sqref="N365:N366">
    <cfRule type="containsText" dxfId="690" priority="703" operator="containsText" text="transferencia">
      <formula>NOT(ISERROR(SEARCH("transferencia",N365)))</formula>
    </cfRule>
    <cfRule type="containsText" dxfId="689" priority="704" operator="containsText" text="trasnferência">
      <formula>NOT(ISERROR(SEARCH("trasnferência",N365)))</formula>
    </cfRule>
  </conditionalFormatting>
  <conditionalFormatting sqref="C347:M350 O347:O350">
    <cfRule type="containsText" dxfId="688" priority="700" operator="containsText" text="Cheque">
      <formula>NOT(ISERROR(SEARCH("Cheque",C347)))</formula>
    </cfRule>
    <cfRule type="containsText" dxfId="687" priority="701" operator="containsText" text="Dinheiro">
      <formula>NOT(ISERROR(SEARCH("Dinheiro",C347)))</formula>
    </cfRule>
    <cfRule type="cellIs" dxfId="686" priority="702" operator="greaterThan">
      <formula>0</formula>
    </cfRule>
  </conditionalFormatting>
  <conditionalFormatting sqref="A347:M350 O347:O350">
    <cfRule type="containsText" dxfId="685" priority="699" operator="containsText" text="Pix">
      <formula>NOT(ISERROR(SEARCH("Pix",A347)))</formula>
    </cfRule>
  </conditionalFormatting>
  <conditionalFormatting sqref="A347:M350 O347:XFD350">
    <cfRule type="containsText" dxfId="684" priority="697" operator="containsText" text="transferencia">
      <formula>NOT(ISERROR(SEARCH("transferencia",A347)))</formula>
    </cfRule>
    <cfRule type="containsText" dxfId="683" priority="698" operator="containsText" text="trasnferência">
      <formula>NOT(ISERROR(SEARCH("trasnferência",A347)))</formula>
    </cfRule>
  </conditionalFormatting>
  <conditionalFormatting sqref="N347:N348">
    <cfRule type="containsText" dxfId="682" priority="694" operator="containsText" text="Cheque">
      <formula>NOT(ISERROR(SEARCH("Cheque",N347)))</formula>
    </cfRule>
    <cfRule type="containsText" dxfId="681" priority="695" operator="containsText" text="Dinheiro">
      <formula>NOT(ISERROR(SEARCH("Dinheiro",N347)))</formula>
    </cfRule>
    <cfRule type="cellIs" dxfId="680" priority="696" operator="greaterThan">
      <formula>0</formula>
    </cfRule>
  </conditionalFormatting>
  <conditionalFormatting sqref="N347:N348">
    <cfRule type="containsText" dxfId="679" priority="693" operator="containsText" text="Pix">
      <formula>NOT(ISERROR(SEARCH("Pix",N347)))</formula>
    </cfRule>
  </conditionalFormatting>
  <conditionalFormatting sqref="N347:N348">
    <cfRule type="containsText" dxfId="678" priority="691" operator="containsText" text="transferencia">
      <formula>NOT(ISERROR(SEARCH("transferencia",N347)))</formula>
    </cfRule>
    <cfRule type="containsText" dxfId="677" priority="692" operator="containsText" text="trasnferência">
      <formula>NOT(ISERROR(SEARCH("trasnferência",N347)))</formula>
    </cfRule>
  </conditionalFormatting>
  <conditionalFormatting sqref="J87">
    <cfRule type="containsText" dxfId="676" priority="688" operator="containsText" text="Cheque">
      <formula>NOT(ISERROR(SEARCH("Cheque",J87)))</formula>
    </cfRule>
    <cfRule type="containsText" dxfId="675" priority="689" operator="containsText" text="Dinheiro">
      <formula>NOT(ISERROR(SEARCH("Dinheiro",J87)))</formula>
    </cfRule>
    <cfRule type="cellIs" dxfId="674" priority="690" operator="greaterThan">
      <formula>0</formula>
    </cfRule>
  </conditionalFormatting>
  <conditionalFormatting sqref="J87">
    <cfRule type="containsText" dxfId="673" priority="687" operator="containsText" text="Pix">
      <formula>NOT(ISERROR(SEARCH("Pix",J87)))</formula>
    </cfRule>
  </conditionalFormatting>
  <conditionalFormatting sqref="J87:J88">
    <cfRule type="containsText" dxfId="672" priority="685" operator="containsText" text="transferencia">
      <formula>NOT(ISERROR(SEARCH("transferencia",J87)))</formula>
    </cfRule>
    <cfRule type="containsText" dxfId="671" priority="686" operator="containsText" text="trasnferência">
      <formula>NOT(ISERROR(SEARCH("trasnferência",J87)))</formula>
    </cfRule>
  </conditionalFormatting>
  <conditionalFormatting sqref="C7:M10 O7:O10">
    <cfRule type="containsText" dxfId="670" priority="682" operator="containsText" text="Cheque">
      <formula>NOT(ISERROR(SEARCH("Cheque",C7)))</formula>
    </cfRule>
    <cfRule type="containsText" dxfId="669" priority="683" operator="containsText" text="Dinheiro">
      <formula>NOT(ISERROR(SEARCH("Dinheiro",C7)))</formula>
    </cfRule>
    <cfRule type="cellIs" dxfId="668" priority="684" operator="greaterThan">
      <formula>0</formula>
    </cfRule>
  </conditionalFormatting>
  <conditionalFormatting sqref="A7:M10 O7:O10">
    <cfRule type="containsText" dxfId="667" priority="681" operator="containsText" text="Pix">
      <formula>NOT(ISERROR(SEARCH("Pix",A7)))</formula>
    </cfRule>
  </conditionalFormatting>
  <conditionalFormatting sqref="A7:M10 O7:XFD10">
    <cfRule type="containsText" dxfId="666" priority="679" operator="containsText" text="transferencia">
      <formula>NOT(ISERROR(SEARCH("transferencia",A7)))</formula>
    </cfRule>
    <cfRule type="containsText" dxfId="665" priority="680" operator="containsText" text="trasnferência">
      <formula>NOT(ISERROR(SEARCH("trasnferência",A7)))</formula>
    </cfRule>
  </conditionalFormatting>
  <conditionalFormatting sqref="N9:N10">
    <cfRule type="containsText" dxfId="664" priority="676" operator="containsText" text="Cheque">
      <formula>NOT(ISERROR(SEARCH("Cheque",N9)))</formula>
    </cfRule>
    <cfRule type="containsText" dxfId="663" priority="677" operator="containsText" text="Dinheiro">
      <formula>NOT(ISERROR(SEARCH("Dinheiro",N9)))</formula>
    </cfRule>
    <cfRule type="cellIs" dxfId="662" priority="678" operator="greaterThan">
      <formula>0</formula>
    </cfRule>
  </conditionalFormatting>
  <conditionalFormatting sqref="N9:N10">
    <cfRule type="containsText" dxfId="661" priority="675" operator="containsText" text="Pix">
      <formula>NOT(ISERROR(SEARCH("Pix",N9)))</formula>
    </cfRule>
  </conditionalFormatting>
  <conditionalFormatting sqref="N9:N10">
    <cfRule type="containsText" dxfId="660" priority="673" operator="containsText" text="transferencia">
      <formula>NOT(ISERROR(SEARCH("transferencia",N9)))</formula>
    </cfRule>
    <cfRule type="containsText" dxfId="659" priority="674" operator="containsText" text="trasnferência">
      <formula>NOT(ISERROR(SEARCH("trasnferência",N9)))</formula>
    </cfRule>
  </conditionalFormatting>
  <conditionalFormatting sqref="C39:M42 O39:O42">
    <cfRule type="containsText" dxfId="658" priority="670" operator="containsText" text="Cheque">
      <formula>NOT(ISERROR(SEARCH("Cheque",C39)))</formula>
    </cfRule>
    <cfRule type="containsText" dxfId="657" priority="671" operator="containsText" text="Dinheiro">
      <formula>NOT(ISERROR(SEARCH("Dinheiro",C39)))</formula>
    </cfRule>
    <cfRule type="cellIs" dxfId="656" priority="672" operator="greaterThan">
      <formula>0</formula>
    </cfRule>
  </conditionalFormatting>
  <conditionalFormatting sqref="A39:M42 O39:O42">
    <cfRule type="containsText" dxfId="655" priority="669" operator="containsText" text="Pix">
      <formula>NOT(ISERROR(SEARCH("Pix",A39)))</formula>
    </cfRule>
  </conditionalFormatting>
  <conditionalFormatting sqref="A39:M42 O39:XFD42">
    <cfRule type="containsText" dxfId="654" priority="667" operator="containsText" text="transferencia">
      <formula>NOT(ISERROR(SEARCH("transferencia",A39)))</formula>
    </cfRule>
    <cfRule type="containsText" dxfId="653" priority="668" operator="containsText" text="trasnferência">
      <formula>NOT(ISERROR(SEARCH("trasnferência",A39)))</formula>
    </cfRule>
  </conditionalFormatting>
  <conditionalFormatting sqref="N39:N42">
    <cfRule type="containsText" dxfId="652" priority="664" operator="containsText" text="Cheque">
      <formula>NOT(ISERROR(SEARCH("Cheque",N39)))</formula>
    </cfRule>
    <cfRule type="containsText" dxfId="651" priority="665" operator="containsText" text="Dinheiro">
      <formula>NOT(ISERROR(SEARCH("Dinheiro",N39)))</formula>
    </cfRule>
    <cfRule type="cellIs" dxfId="650" priority="666" operator="greaterThan">
      <formula>0</formula>
    </cfRule>
  </conditionalFormatting>
  <conditionalFormatting sqref="N39:N42">
    <cfRule type="containsText" dxfId="649" priority="663" operator="containsText" text="Pix">
      <formula>NOT(ISERROR(SEARCH("Pix",N39)))</formula>
    </cfRule>
  </conditionalFormatting>
  <conditionalFormatting sqref="N39:N42">
    <cfRule type="containsText" dxfId="648" priority="661" operator="containsText" text="transferencia">
      <formula>NOT(ISERROR(SEARCH("transferencia",N39)))</formula>
    </cfRule>
    <cfRule type="containsText" dxfId="647" priority="662" operator="containsText" text="trasnferência">
      <formula>NOT(ISERROR(SEARCH("trasnferência",N39)))</formula>
    </cfRule>
  </conditionalFormatting>
  <conditionalFormatting sqref="N544:N545">
    <cfRule type="containsText" dxfId="646" priority="658" operator="containsText" text="Cheque">
      <formula>NOT(ISERROR(SEARCH("Cheque",N544)))</formula>
    </cfRule>
    <cfRule type="containsText" dxfId="645" priority="659" operator="containsText" text="Dinheiro">
      <formula>NOT(ISERROR(SEARCH("Dinheiro",N544)))</formula>
    </cfRule>
    <cfRule type="cellIs" dxfId="644" priority="660" operator="greaterThan">
      <formula>0</formula>
    </cfRule>
  </conditionalFormatting>
  <conditionalFormatting sqref="N544:N545">
    <cfRule type="containsText" dxfId="643" priority="657" operator="containsText" text="Pix">
      <formula>NOT(ISERROR(SEARCH("Pix",N544)))</formula>
    </cfRule>
  </conditionalFormatting>
  <conditionalFormatting sqref="N544:N545">
    <cfRule type="containsText" dxfId="642" priority="655" operator="containsText" text="transferencia">
      <formula>NOT(ISERROR(SEARCH("transferencia",N544)))</formula>
    </cfRule>
    <cfRule type="containsText" dxfId="641" priority="656" operator="containsText" text="trasnferência">
      <formula>NOT(ISERROR(SEARCH("trasnferência",N544)))</formula>
    </cfRule>
  </conditionalFormatting>
  <conditionalFormatting sqref="N349">
    <cfRule type="containsText" dxfId="640" priority="652" operator="containsText" text="Cheque">
      <formula>NOT(ISERROR(SEARCH("Cheque",N349)))</formula>
    </cfRule>
    <cfRule type="containsText" dxfId="639" priority="653" operator="containsText" text="Dinheiro">
      <formula>NOT(ISERROR(SEARCH("Dinheiro",N349)))</formula>
    </cfRule>
    <cfRule type="cellIs" dxfId="638" priority="654" operator="greaterThan">
      <formula>0</formula>
    </cfRule>
  </conditionalFormatting>
  <conditionalFormatting sqref="N349">
    <cfRule type="containsText" dxfId="637" priority="651" operator="containsText" text="Pix">
      <formula>NOT(ISERROR(SEARCH("Pix",N349)))</formula>
    </cfRule>
  </conditionalFormatting>
  <conditionalFormatting sqref="N349">
    <cfRule type="containsText" dxfId="636" priority="649" operator="containsText" text="transferencia">
      <formula>NOT(ISERROR(SEARCH("transferencia",N349)))</formula>
    </cfRule>
    <cfRule type="containsText" dxfId="635" priority="650" operator="containsText" text="trasnferência">
      <formula>NOT(ISERROR(SEARCH("trasnferência",N349)))</formula>
    </cfRule>
  </conditionalFormatting>
  <conditionalFormatting sqref="N350">
    <cfRule type="containsText" dxfId="634" priority="646" operator="containsText" text="Cheque">
      <formula>NOT(ISERROR(SEARCH("Cheque",N350)))</formula>
    </cfRule>
    <cfRule type="containsText" dxfId="633" priority="647" operator="containsText" text="Dinheiro">
      <formula>NOT(ISERROR(SEARCH("Dinheiro",N350)))</formula>
    </cfRule>
    <cfRule type="cellIs" dxfId="632" priority="648" operator="greaterThan">
      <formula>0</formula>
    </cfRule>
  </conditionalFormatting>
  <conditionalFormatting sqref="N350">
    <cfRule type="containsText" dxfId="631" priority="645" operator="containsText" text="Pix">
      <formula>NOT(ISERROR(SEARCH("Pix",N350)))</formula>
    </cfRule>
  </conditionalFormatting>
  <conditionalFormatting sqref="N350">
    <cfRule type="containsText" dxfId="630" priority="643" operator="containsText" text="transferencia">
      <formula>NOT(ISERROR(SEARCH("transferencia",N350)))</formula>
    </cfRule>
    <cfRule type="containsText" dxfId="629" priority="644" operator="containsText" text="trasnferência">
      <formula>NOT(ISERROR(SEARCH("trasnferência",N350)))</formula>
    </cfRule>
  </conditionalFormatting>
  <conditionalFormatting sqref="N11:N12">
    <cfRule type="containsText" dxfId="628" priority="640" operator="containsText" text="Cheque">
      <formula>NOT(ISERROR(SEARCH("Cheque",N11)))</formula>
    </cfRule>
    <cfRule type="containsText" dxfId="627" priority="641" operator="containsText" text="Dinheiro">
      <formula>NOT(ISERROR(SEARCH("Dinheiro",N11)))</formula>
    </cfRule>
    <cfRule type="cellIs" dxfId="626" priority="642" operator="greaterThan">
      <formula>0</formula>
    </cfRule>
  </conditionalFormatting>
  <conditionalFormatting sqref="N11:N12">
    <cfRule type="containsText" dxfId="625" priority="639" operator="containsText" text="Pix">
      <formula>NOT(ISERROR(SEARCH("Pix",N11)))</formula>
    </cfRule>
  </conditionalFormatting>
  <conditionalFormatting sqref="N11:N12">
    <cfRule type="containsText" dxfId="624" priority="637" operator="containsText" text="transferencia">
      <formula>NOT(ISERROR(SEARCH("transferencia",N11)))</formula>
    </cfRule>
    <cfRule type="containsText" dxfId="623" priority="638" operator="containsText" text="trasnferência">
      <formula>NOT(ISERROR(SEARCH("trasnferência",N11)))</formula>
    </cfRule>
  </conditionalFormatting>
  <conditionalFormatting sqref="N444:N445">
    <cfRule type="containsText" dxfId="622" priority="634" operator="containsText" text="Cheque">
      <formula>NOT(ISERROR(SEARCH("Cheque",N444)))</formula>
    </cfRule>
    <cfRule type="containsText" dxfId="621" priority="635" operator="containsText" text="Dinheiro">
      <formula>NOT(ISERROR(SEARCH("Dinheiro",N444)))</formula>
    </cfRule>
    <cfRule type="cellIs" dxfId="620" priority="636" operator="greaterThan">
      <formula>0</formula>
    </cfRule>
  </conditionalFormatting>
  <conditionalFormatting sqref="N444:N445">
    <cfRule type="containsText" dxfId="619" priority="633" operator="containsText" text="Pix">
      <formula>NOT(ISERROR(SEARCH("Pix",N444)))</formula>
    </cfRule>
  </conditionalFormatting>
  <conditionalFormatting sqref="N444:N445">
    <cfRule type="containsText" dxfId="618" priority="631" operator="containsText" text="transferencia">
      <formula>NOT(ISERROR(SEARCH("transferencia",N444)))</formula>
    </cfRule>
    <cfRule type="containsText" dxfId="617" priority="632" operator="containsText" text="trasnferência">
      <formula>NOT(ISERROR(SEARCH("trasnferência",N444)))</formula>
    </cfRule>
  </conditionalFormatting>
  <conditionalFormatting sqref="N51:N52">
    <cfRule type="containsText" dxfId="616" priority="628" operator="containsText" text="Cheque">
      <formula>NOT(ISERROR(SEARCH("Cheque",N51)))</formula>
    </cfRule>
    <cfRule type="containsText" dxfId="615" priority="629" operator="containsText" text="Dinheiro">
      <formula>NOT(ISERROR(SEARCH("Dinheiro",N51)))</formula>
    </cfRule>
    <cfRule type="cellIs" dxfId="614" priority="630" operator="greaterThan">
      <formula>0</formula>
    </cfRule>
  </conditionalFormatting>
  <conditionalFormatting sqref="N51:N52">
    <cfRule type="containsText" dxfId="613" priority="627" operator="containsText" text="Pix">
      <formula>NOT(ISERROR(SEARCH("Pix",N51)))</formula>
    </cfRule>
  </conditionalFormatting>
  <conditionalFormatting sqref="N51:N52">
    <cfRule type="containsText" dxfId="612" priority="625" operator="containsText" text="transferencia">
      <formula>NOT(ISERROR(SEARCH("transferencia",N51)))</formula>
    </cfRule>
    <cfRule type="containsText" dxfId="611" priority="626" operator="containsText" text="trasnferência">
      <formula>NOT(ISERROR(SEARCH("trasnferência",N51)))</formula>
    </cfRule>
  </conditionalFormatting>
  <conditionalFormatting sqref="N53">
    <cfRule type="containsText" dxfId="610" priority="622" operator="containsText" text="Cheque">
      <formula>NOT(ISERROR(SEARCH("Cheque",N53)))</formula>
    </cfRule>
    <cfRule type="containsText" dxfId="609" priority="623" operator="containsText" text="Dinheiro">
      <formula>NOT(ISERROR(SEARCH("Dinheiro",N53)))</formula>
    </cfRule>
    <cfRule type="cellIs" dxfId="608" priority="624" operator="greaterThan">
      <formula>0</formula>
    </cfRule>
  </conditionalFormatting>
  <conditionalFormatting sqref="N53">
    <cfRule type="containsText" dxfId="607" priority="621" operator="containsText" text="Pix">
      <formula>NOT(ISERROR(SEARCH("Pix",N53)))</formula>
    </cfRule>
  </conditionalFormatting>
  <conditionalFormatting sqref="N53">
    <cfRule type="containsText" dxfId="606" priority="619" operator="containsText" text="transferencia">
      <formula>NOT(ISERROR(SEARCH("transferencia",N53)))</formula>
    </cfRule>
    <cfRule type="containsText" dxfId="605" priority="620" operator="containsText" text="trasnferência">
      <formula>NOT(ISERROR(SEARCH("trasnferência",N53)))</formula>
    </cfRule>
  </conditionalFormatting>
  <conditionalFormatting sqref="C15:M18 O15:O18">
    <cfRule type="containsText" dxfId="604" priority="616" operator="containsText" text="Cheque">
      <formula>NOT(ISERROR(SEARCH("Cheque",C15)))</formula>
    </cfRule>
    <cfRule type="containsText" dxfId="603" priority="617" operator="containsText" text="Dinheiro">
      <formula>NOT(ISERROR(SEARCH("Dinheiro",C15)))</formula>
    </cfRule>
    <cfRule type="cellIs" dxfId="602" priority="618" operator="greaterThan">
      <formula>0</formula>
    </cfRule>
  </conditionalFormatting>
  <conditionalFormatting sqref="A15:M18 O15:O18">
    <cfRule type="containsText" dxfId="601" priority="615" operator="containsText" text="Pix">
      <formula>NOT(ISERROR(SEARCH("Pix",A15)))</formula>
    </cfRule>
  </conditionalFormatting>
  <conditionalFormatting sqref="A15:M18 O15:XFD18">
    <cfRule type="containsText" dxfId="600" priority="613" operator="containsText" text="transferencia">
      <formula>NOT(ISERROR(SEARCH("transferencia",A15)))</formula>
    </cfRule>
    <cfRule type="containsText" dxfId="599" priority="614" operator="containsText" text="trasnferência">
      <formula>NOT(ISERROR(SEARCH("trasnferência",A15)))</formula>
    </cfRule>
  </conditionalFormatting>
  <conditionalFormatting sqref="N17:N18">
    <cfRule type="containsText" dxfId="598" priority="610" operator="containsText" text="Cheque">
      <formula>NOT(ISERROR(SEARCH("Cheque",N17)))</formula>
    </cfRule>
    <cfRule type="containsText" dxfId="597" priority="611" operator="containsText" text="Dinheiro">
      <formula>NOT(ISERROR(SEARCH("Dinheiro",N17)))</formula>
    </cfRule>
    <cfRule type="cellIs" dxfId="596" priority="612" operator="greaterThan">
      <formula>0</formula>
    </cfRule>
  </conditionalFormatting>
  <conditionalFormatting sqref="N17:N18">
    <cfRule type="containsText" dxfId="595" priority="609" operator="containsText" text="Pix">
      <formula>NOT(ISERROR(SEARCH("Pix",N17)))</formula>
    </cfRule>
  </conditionalFormatting>
  <conditionalFormatting sqref="N17:N18">
    <cfRule type="containsText" dxfId="594" priority="607" operator="containsText" text="transferencia">
      <formula>NOT(ISERROR(SEARCH("transferencia",N17)))</formula>
    </cfRule>
    <cfRule type="containsText" dxfId="593" priority="608" operator="containsText" text="trasnferência">
      <formula>NOT(ISERROR(SEARCH("trasnferência",N17)))</formula>
    </cfRule>
  </conditionalFormatting>
  <conditionalFormatting sqref="N15:N16">
    <cfRule type="containsText" dxfId="592" priority="604" operator="containsText" text="Cheque">
      <formula>NOT(ISERROR(SEARCH("Cheque",N15)))</formula>
    </cfRule>
    <cfRule type="containsText" dxfId="591" priority="605" operator="containsText" text="Dinheiro">
      <formula>NOT(ISERROR(SEARCH("Dinheiro",N15)))</formula>
    </cfRule>
    <cfRule type="cellIs" dxfId="590" priority="606" operator="greaterThan">
      <formula>0</formula>
    </cfRule>
  </conditionalFormatting>
  <conditionalFormatting sqref="N15:N16">
    <cfRule type="containsText" dxfId="589" priority="603" operator="containsText" text="Pix">
      <formula>NOT(ISERROR(SEARCH("Pix",N15)))</formula>
    </cfRule>
  </conditionalFormatting>
  <conditionalFormatting sqref="N15:N16">
    <cfRule type="containsText" dxfId="588" priority="601" operator="containsText" text="transferencia">
      <formula>NOT(ISERROR(SEARCH("transferencia",N15)))</formula>
    </cfRule>
    <cfRule type="containsText" dxfId="587" priority="602" operator="containsText" text="trasnferência">
      <formula>NOT(ISERROR(SEARCH("trasnferência",N15)))</formula>
    </cfRule>
  </conditionalFormatting>
  <conditionalFormatting sqref="N420:N421">
    <cfRule type="containsText" dxfId="586" priority="598" operator="containsText" text="Cheque">
      <formula>NOT(ISERROR(SEARCH("Cheque",N420)))</formula>
    </cfRule>
    <cfRule type="containsText" dxfId="585" priority="599" operator="containsText" text="Dinheiro">
      <formula>NOT(ISERROR(SEARCH("Dinheiro",N420)))</formula>
    </cfRule>
    <cfRule type="cellIs" dxfId="584" priority="600" operator="greaterThan">
      <formula>0</formula>
    </cfRule>
  </conditionalFormatting>
  <conditionalFormatting sqref="N420:N421">
    <cfRule type="containsText" dxfId="583" priority="597" operator="containsText" text="Pix">
      <formula>NOT(ISERROR(SEARCH("Pix",N420)))</formula>
    </cfRule>
  </conditionalFormatting>
  <conditionalFormatting sqref="N420:N421">
    <cfRule type="containsText" dxfId="582" priority="595" operator="containsText" text="transferencia">
      <formula>NOT(ISERROR(SEARCH("transferencia",N420)))</formula>
    </cfRule>
    <cfRule type="containsText" dxfId="581" priority="596" operator="containsText" text="trasnferência">
      <formula>NOT(ISERROR(SEARCH("trasnferência",N420)))</formula>
    </cfRule>
  </conditionalFormatting>
  <conditionalFormatting sqref="N211:N212">
    <cfRule type="containsText" dxfId="580" priority="592" operator="containsText" text="Cheque">
      <formula>NOT(ISERROR(SEARCH("Cheque",N211)))</formula>
    </cfRule>
    <cfRule type="containsText" dxfId="579" priority="593" operator="containsText" text="Dinheiro">
      <formula>NOT(ISERROR(SEARCH("Dinheiro",N211)))</formula>
    </cfRule>
    <cfRule type="cellIs" dxfId="578" priority="594" operator="greaterThan">
      <formula>0</formula>
    </cfRule>
  </conditionalFormatting>
  <conditionalFormatting sqref="N211:N212">
    <cfRule type="containsText" dxfId="577" priority="591" operator="containsText" text="Pix">
      <formula>NOT(ISERROR(SEARCH("Pix",N211)))</formula>
    </cfRule>
  </conditionalFormatting>
  <conditionalFormatting sqref="N211:N212">
    <cfRule type="containsText" dxfId="576" priority="589" operator="containsText" text="transferencia">
      <formula>NOT(ISERROR(SEARCH("transferencia",N211)))</formula>
    </cfRule>
    <cfRule type="containsText" dxfId="575" priority="590" operator="containsText" text="trasnferência">
      <formula>NOT(ISERROR(SEARCH("trasnferência",N211)))</formula>
    </cfRule>
  </conditionalFormatting>
  <conditionalFormatting sqref="N191:N192">
    <cfRule type="containsText" dxfId="574" priority="586" operator="containsText" text="Cheque">
      <formula>NOT(ISERROR(SEARCH("Cheque",N191)))</formula>
    </cfRule>
    <cfRule type="containsText" dxfId="573" priority="587" operator="containsText" text="Dinheiro">
      <formula>NOT(ISERROR(SEARCH("Dinheiro",N191)))</formula>
    </cfRule>
    <cfRule type="cellIs" dxfId="572" priority="588" operator="greaterThan">
      <formula>0</formula>
    </cfRule>
  </conditionalFormatting>
  <conditionalFormatting sqref="N191:N192">
    <cfRule type="containsText" dxfId="571" priority="585" operator="containsText" text="Pix">
      <formula>NOT(ISERROR(SEARCH("Pix",N191)))</formula>
    </cfRule>
  </conditionalFormatting>
  <conditionalFormatting sqref="N191:N192">
    <cfRule type="containsText" dxfId="570" priority="583" operator="containsText" text="transferencia">
      <formula>NOT(ISERROR(SEARCH("transferencia",N191)))</formula>
    </cfRule>
    <cfRule type="containsText" dxfId="569" priority="584" operator="containsText" text="trasnferência">
      <formula>NOT(ISERROR(SEARCH("trasnferência",N191)))</formula>
    </cfRule>
  </conditionalFormatting>
  <conditionalFormatting sqref="N91:N92">
    <cfRule type="containsText" dxfId="568" priority="580" operator="containsText" text="Cheque">
      <formula>NOT(ISERROR(SEARCH("Cheque",N91)))</formula>
    </cfRule>
    <cfRule type="containsText" dxfId="567" priority="581" operator="containsText" text="Dinheiro">
      <formula>NOT(ISERROR(SEARCH("Dinheiro",N91)))</formula>
    </cfRule>
    <cfRule type="cellIs" dxfId="566" priority="582" operator="greaterThan">
      <formula>0</formula>
    </cfRule>
  </conditionalFormatting>
  <conditionalFormatting sqref="N91:N92">
    <cfRule type="containsText" dxfId="565" priority="579" operator="containsText" text="Pix">
      <formula>NOT(ISERROR(SEARCH("Pix",N91)))</formula>
    </cfRule>
  </conditionalFormatting>
  <conditionalFormatting sqref="N91:N92">
    <cfRule type="containsText" dxfId="564" priority="577" operator="containsText" text="transferencia">
      <formula>NOT(ISERROR(SEARCH("transferencia",N91)))</formula>
    </cfRule>
    <cfRule type="containsText" dxfId="563" priority="578" operator="containsText" text="trasnferência">
      <formula>NOT(ISERROR(SEARCH("trasnferência",N91)))</formula>
    </cfRule>
  </conditionalFormatting>
  <conditionalFormatting sqref="N315:N316">
    <cfRule type="containsText" dxfId="562" priority="574" operator="containsText" text="Cheque">
      <formula>NOT(ISERROR(SEARCH("Cheque",N315)))</formula>
    </cfRule>
    <cfRule type="containsText" dxfId="561" priority="575" operator="containsText" text="Dinheiro">
      <formula>NOT(ISERROR(SEARCH("Dinheiro",N315)))</formula>
    </cfRule>
    <cfRule type="cellIs" dxfId="560" priority="576" operator="greaterThan">
      <formula>0</formula>
    </cfRule>
  </conditionalFormatting>
  <conditionalFormatting sqref="N315:N316">
    <cfRule type="containsText" dxfId="559" priority="573" operator="containsText" text="Pix">
      <formula>NOT(ISERROR(SEARCH("Pix",N315)))</formula>
    </cfRule>
  </conditionalFormatting>
  <conditionalFormatting sqref="N315:N316">
    <cfRule type="containsText" dxfId="558" priority="571" operator="containsText" text="transferencia">
      <formula>NOT(ISERROR(SEARCH("transferencia",N315)))</formula>
    </cfRule>
    <cfRule type="containsText" dxfId="557" priority="572" operator="containsText" text="trasnferência">
      <formula>NOT(ISERROR(SEARCH("trasnferência",N315)))</formula>
    </cfRule>
  </conditionalFormatting>
  <conditionalFormatting sqref="N331:N332">
    <cfRule type="containsText" dxfId="556" priority="568" operator="containsText" text="Cheque">
      <formula>NOT(ISERROR(SEARCH("Cheque",N331)))</formula>
    </cfRule>
    <cfRule type="containsText" dxfId="555" priority="569" operator="containsText" text="Dinheiro">
      <formula>NOT(ISERROR(SEARCH("Dinheiro",N331)))</formula>
    </cfRule>
    <cfRule type="cellIs" dxfId="554" priority="570" operator="greaterThan">
      <formula>0</formula>
    </cfRule>
  </conditionalFormatting>
  <conditionalFormatting sqref="N331:N332">
    <cfRule type="containsText" dxfId="553" priority="567" operator="containsText" text="Pix">
      <formula>NOT(ISERROR(SEARCH("Pix",N331)))</formula>
    </cfRule>
  </conditionalFormatting>
  <conditionalFormatting sqref="N331:N332">
    <cfRule type="containsText" dxfId="552" priority="565" operator="containsText" text="transferencia">
      <formula>NOT(ISERROR(SEARCH("transferencia",N331)))</formula>
    </cfRule>
    <cfRule type="containsText" dxfId="551" priority="566" operator="containsText" text="trasnferência">
      <formula>NOT(ISERROR(SEARCH("trasnferência",N331)))</formula>
    </cfRule>
  </conditionalFormatting>
  <conditionalFormatting sqref="N448:N449">
    <cfRule type="containsText" dxfId="550" priority="562" operator="containsText" text="Cheque">
      <formula>NOT(ISERROR(SEARCH("Cheque",N448)))</formula>
    </cfRule>
    <cfRule type="containsText" dxfId="549" priority="563" operator="containsText" text="Dinheiro">
      <formula>NOT(ISERROR(SEARCH("Dinheiro",N448)))</formula>
    </cfRule>
    <cfRule type="cellIs" dxfId="548" priority="564" operator="greaterThan">
      <formula>0</formula>
    </cfRule>
  </conditionalFormatting>
  <conditionalFormatting sqref="N448:N449">
    <cfRule type="containsText" dxfId="547" priority="561" operator="containsText" text="Pix">
      <formula>NOT(ISERROR(SEARCH("Pix",N448)))</formula>
    </cfRule>
  </conditionalFormatting>
  <conditionalFormatting sqref="N448:N449">
    <cfRule type="containsText" dxfId="546" priority="559" operator="containsText" text="transferencia">
      <formula>NOT(ISERROR(SEARCH("transferencia",N448)))</formula>
    </cfRule>
    <cfRule type="containsText" dxfId="545" priority="560" operator="containsText" text="trasnferência">
      <formula>NOT(ISERROR(SEARCH("trasnferência",N448)))</formula>
    </cfRule>
  </conditionalFormatting>
  <conditionalFormatting sqref="N243:N244">
    <cfRule type="containsText" dxfId="544" priority="556" operator="containsText" text="Cheque">
      <formula>NOT(ISERROR(SEARCH("Cheque",N243)))</formula>
    </cfRule>
    <cfRule type="containsText" dxfId="543" priority="557" operator="containsText" text="Dinheiro">
      <formula>NOT(ISERROR(SEARCH("Dinheiro",N243)))</formula>
    </cfRule>
    <cfRule type="cellIs" dxfId="542" priority="558" operator="greaterThan">
      <formula>0</formula>
    </cfRule>
  </conditionalFormatting>
  <conditionalFormatting sqref="N243:N244">
    <cfRule type="containsText" dxfId="541" priority="555" operator="containsText" text="Pix">
      <formula>NOT(ISERROR(SEARCH("Pix",N243)))</formula>
    </cfRule>
  </conditionalFormatting>
  <conditionalFormatting sqref="N243:N244">
    <cfRule type="containsText" dxfId="540" priority="553" operator="containsText" text="transferencia">
      <formula>NOT(ISERROR(SEARCH("transferencia",N243)))</formula>
    </cfRule>
    <cfRule type="containsText" dxfId="539" priority="554" operator="containsText" text="trasnferência">
      <formula>NOT(ISERROR(SEARCH("trasnferência",N243)))</formula>
    </cfRule>
  </conditionalFormatting>
  <conditionalFormatting sqref="N283:N284">
    <cfRule type="containsText" dxfId="538" priority="550" operator="containsText" text="Cheque">
      <formula>NOT(ISERROR(SEARCH("Cheque",N283)))</formula>
    </cfRule>
    <cfRule type="containsText" dxfId="537" priority="551" operator="containsText" text="Dinheiro">
      <formula>NOT(ISERROR(SEARCH("Dinheiro",N283)))</formula>
    </cfRule>
    <cfRule type="cellIs" dxfId="536" priority="552" operator="greaterThan">
      <formula>0</formula>
    </cfRule>
  </conditionalFormatting>
  <conditionalFormatting sqref="N283:N284">
    <cfRule type="containsText" dxfId="535" priority="549" operator="containsText" text="Pix">
      <formula>NOT(ISERROR(SEARCH("Pix",N283)))</formula>
    </cfRule>
  </conditionalFormatting>
  <conditionalFormatting sqref="N283:N284">
    <cfRule type="containsText" dxfId="534" priority="547" operator="containsText" text="transferencia">
      <formula>NOT(ISERROR(SEARCH("transferencia",N283)))</formula>
    </cfRule>
    <cfRule type="containsText" dxfId="533" priority="548" operator="containsText" text="trasnferência">
      <formula>NOT(ISERROR(SEARCH("trasnferência",N283)))</formula>
    </cfRule>
  </conditionalFormatting>
  <conditionalFormatting sqref="N424:N425">
    <cfRule type="containsText" dxfId="532" priority="544" operator="containsText" text="Cheque">
      <formula>NOT(ISERROR(SEARCH("Cheque",N424)))</formula>
    </cfRule>
    <cfRule type="containsText" dxfId="531" priority="545" operator="containsText" text="Dinheiro">
      <formula>NOT(ISERROR(SEARCH("Dinheiro",N424)))</formula>
    </cfRule>
    <cfRule type="cellIs" dxfId="530" priority="546" operator="greaterThan">
      <formula>0</formula>
    </cfRule>
  </conditionalFormatting>
  <conditionalFormatting sqref="N424:N425">
    <cfRule type="containsText" dxfId="529" priority="543" operator="containsText" text="Pix">
      <formula>NOT(ISERROR(SEARCH("Pix",N424)))</formula>
    </cfRule>
  </conditionalFormatting>
  <conditionalFormatting sqref="N424:N425">
    <cfRule type="containsText" dxfId="528" priority="541" operator="containsText" text="transferencia">
      <formula>NOT(ISERROR(SEARCH("transferencia",N424)))</formula>
    </cfRule>
    <cfRule type="containsText" dxfId="527" priority="542" operator="containsText" text="trasnferência">
      <formula>NOT(ISERROR(SEARCH("trasnferência",N424)))</formula>
    </cfRule>
  </conditionalFormatting>
  <conditionalFormatting sqref="N536:N537">
    <cfRule type="containsText" dxfId="526" priority="538" operator="containsText" text="Cheque">
      <formula>NOT(ISERROR(SEARCH("Cheque",N536)))</formula>
    </cfRule>
    <cfRule type="containsText" dxfId="525" priority="539" operator="containsText" text="Dinheiro">
      <formula>NOT(ISERROR(SEARCH("Dinheiro",N536)))</formula>
    </cfRule>
    <cfRule type="cellIs" dxfId="524" priority="540" operator="greaterThan">
      <formula>0</formula>
    </cfRule>
  </conditionalFormatting>
  <conditionalFormatting sqref="N536:N537">
    <cfRule type="containsText" dxfId="523" priority="537" operator="containsText" text="Pix">
      <formula>NOT(ISERROR(SEARCH("Pix",N536)))</formula>
    </cfRule>
  </conditionalFormatting>
  <conditionalFormatting sqref="N536:N537">
    <cfRule type="containsText" dxfId="522" priority="535" operator="containsText" text="transferencia">
      <formula>NOT(ISERROR(SEARCH("transferencia",N536)))</formula>
    </cfRule>
    <cfRule type="containsText" dxfId="521" priority="536" operator="containsText" text="trasnferência">
      <formula>NOT(ISERROR(SEARCH("trasnferência",N536)))</formula>
    </cfRule>
  </conditionalFormatting>
  <conditionalFormatting sqref="N500:N501">
    <cfRule type="containsText" dxfId="520" priority="532" operator="containsText" text="Cheque">
      <formula>NOT(ISERROR(SEARCH("Cheque",N500)))</formula>
    </cfRule>
    <cfRule type="containsText" dxfId="519" priority="533" operator="containsText" text="Dinheiro">
      <formula>NOT(ISERROR(SEARCH("Dinheiro",N500)))</formula>
    </cfRule>
    <cfRule type="cellIs" dxfId="518" priority="534" operator="greaterThan">
      <formula>0</formula>
    </cfRule>
  </conditionalFormatting>
  <conditionalFormatting sqref="N500:N501">
    <cfRule type="containsText" dxfId="517" priority="531" operator="containsText" text="Pix">
      <formula>NOT(ISERROR(SEARCH("Pix",N500)))</formula>
    </cfRule>
  </conditionalFormatting>
  <conditionalFormatting sqref="N500:N501">
    <cfRule type="containsText" dxfId="516" priority="529" operator="containsText" text="transferencia">
      <formula>NOT(ISERROR(SEARCH("transferencia",N500)))</formula>
    </cfRule>
    <cfRule type="containsText" dxfId="515" priority="530" operator="containsText" text="trasnferência">
      <formula>NOT(ISERROR(SEARCH("trasnferência",N500)))</formula>
    </cfRule>
  </conditionalFormatting>
  <conditionalFormatting sqref="N480:N481">
    <cfRule type="containsText" dxfId="514" priority="526" operator="containsText" text="Cheque">
      <formula>NOT(ISERROR(SEARCH("Cheque",N480)))</formula>
    </cfRule>
    <cfRule type="containsText" dxfId="513" priority="527" operator="containsText" text="Dinheiro">
      <formula>NOT(ISERROR(SEARCH("Dinheiro",N480)))</formula>
    </cfRule>
    <cfRule type="cellIs" dxfId="512" priority="528" operator="greaterThan">
      <formula>0</formula>
    </cfRule>
  </conditionalFormatting>
  <conditionalFormatting sqref="N480:N481">
    <cfRule type="containsText" dxfId="511" priority="525" operator="containsText" text="Pix">
      <formula>NOT(ISERROR(SEARCH("Pix",N480)))</formula>
    </cfRule>
  </conditionalFormatting>
  <conditionalFormatting sqref="N480:N481">
    <cfRule type="containsText" dxfId="510" priority="523" operator="containsText" text="transferencia">
      <formula>NOT(ISERROR(SEARCH("transferencia",N480)))</formula>
    </cfRule>
    <cfRule type="containsText" dxfId="509" priority="524" operator="containsText" text="trasnferência">
      <formula>NOT(ISERROR(SEARCH("trasnferência",N480)))</formula>
    </cfRule>
  </conditionalFormatting>
  <conditionalFormatting sqref="N436:N437">
    <cfRule type="containsText" dxfId="508" priority="520" operator="containsText" text="Cheque">
      <formula>NOT(ISERROR(SEARCH("Cheque",N436)))</formula>
    </cfRule>
    <cfRule type="containsText" dxfId="507" priority="521" operator="containsText" text="Dinheiro">
      <formula>NOT(ISERROR(SEARCH("Dinheiro",N436)))</formula>
    </cfRule>
    <cfRule type="cellIs" dxfId="506" priority="522" operator="greaterThan">
      <formula>0</formula>
    </cfRule>
  </conditionalFormatting>
  <conditionalFormatting sqref="N436:N437">
    <cfRule type="containsText" dxfId="505" priority="519" operator="containsText" text="Pix">
      <formula>NOT(ISERROR(SEARCH("Pix",N436)))</formula>
    </cfRule>
  </conditionalFormatting>
  <conditionalFormatting sqref="N436:N437">
    <cfRule type="containsText" dxfId="504" priority="517" operator="containsText" text="transferencia">
      <formula>NOT(ISERROR(SEARCH("transferencia",N436)))</formula>
    </cfRule>
    <cfRule type="containsText" dxfId="503" priority="518" operator="containsText" text="trasnferência">
      <formula>NOT(ISERROR(SEARCH("trasnferência",N436)))</formula>
    </cfRule>
  </conditionalFormatting>
  <conditionalFormatting sqref="N512:N513">
    <cfRule type="containsText" dxfId="502" priority="514" operator="containsText" text="Cheque">
      <formula>NOT(ISERROR(SEARCH("Cheque",N512)))</formula>
    </cfRule>
    <cfRule type="containsText" dxfId="501" priority="515" operator="containsText" text="Dinheiro">
      <formula>NOT(ISERROR(SEARCH("Dinheiro",N512)))</formula>
    </cfRule>
    <cfRule type="cellIs" dxfId="500" priority="516" operator="greaterThan">
      <formula>0</formula>
    </cfRule>
  </conditionalFormatting>
  <conditionalFormatting sqref="N512:N513">
    <cfRule type="containsText" dxfId="499" priority="513" operator="containsText" text="Pix">
      <formula>NOT(ISERROR(SEARCH("Pix",N512)))</formula>
    </cfRule>
  </conditionalFormatting>
  <conditionalFormatting sqref="N512:N513">
    <cfRule type="containsText" dxfId="498" priority="511" operator="containsText" text="transferencia">
      <formula>NOT(ISERROR(SEARCH("transferencia",N512)))</formula>
    </cfRule>
    <cfRule type="containsText" dxfId="497" priority="512" operator="containsText" text="trasnferência">
      <formula>NOT(ISERROR(SEARCH("trasnferência",N512)))</formula>
    </cfRule>
  </conditionalFormatting>
  <conditionalFormatting sqref="N287:N288">
    <cfRule type="containsText" dxfId="496" priority="508" operator="containsText" text="Cheque">
      <formula>NOT(ISERROR(SEARCH("Cheque",N287)))</formula>
    </cfRule>
    <cfRule type="containsText" dxfId="495" priority="509" operator="containsText" text="Dinheiro">
      <formula>NOT(ISERROR(SEARCH("Dinheiro",N287)))</formula>
    </cfRule>
    <cfRule type="cellIs" dxfId="494" priority="510" operator="greaterThan">
      <formula>0</formula>
    </cfRule>
  </conditionalFormatting>
  <conditionalFormatting sqref="N287:N288">
    <cfRule type="containsText" dxfId="493" priority="507" operator="containsText" text="Pix">
      <formula>NOT(ISERROR(SEARCH("Pix",N287)))</formula>
    </cfRule>
  </conditionalFormatting>
  <conditionalFormatting sqref="N287:N288">
    <cfRule type="containsText" dxfId="492" priority="505" operator="containsText" text="transferencia">
      <formula>NOT(ISERROR(SEARCH("transferencia",N287)))</formula>
    </cfRule>
    <cfRule type="containsText" dxfId="491" priority="506" operator="containsText" text="trasnferência">
      <formula>NOT(ISERROR(SEARCH("trasnferência",N287)))</formula>
    </cfRule>
  </conditionalFormatting>
  <conditionalFormatting sqref="N290">
    <cfRule type="containsText" dxfId="490" priority="502" operator="containsText" text="Cheque">
      <formula>NOT(ISERROR(SEARCH("Cheque",N290)))</formula>
    </cfRule>
    <cfRule type="containsText" dxfId="489" priority="503" operator="containsText" text="Dinheiro">
      <formula>NOT(ISERROR(SEARCH("Dinheiro",N290)))</formula>
    </cfRule>
    <cfRule type="cellIs" dxfId="488" priority="504" operator="greaterThan">
      <formula>0</formula>
    </cfRule>
  </conditionalFormatting>
  <conditionalFormatting sqref="N290">
    <cfRule type="containsText" dxfId="487" priority="501" operator="containsText" text="Pix">
      <formula>NOT(ISERROR(SEARCH("Pix",N290)))</formula>
    </cfRule>
  </conditionalFormatting>
  <conditionalFormatting sqref="N290">
    <cfRule type="containsText" dxfId="486" priority="499" operator="containsText" text="transferencia">
      <formula>NOT(ISERROR(SEARCH("transferencia",N290)))</formula>
    </cfRule>
    <cfRule type="containsText" dxfId="485" priority="500" operator="containsText" text="trasnferência">
      <formula>NOT(ISERROR(SEARCH("trasnferência",N290)))</formula>
    </cfRule>
  </conditionalFormatting>
  <conditionalFormatting sqref="N271:N272">
    <cfRule type="containsText" dxfId="484" priority="496" operator="containsText" text="Cheque">
      <formula>NOT(ISERROR(SEARCH("Cheque",N271)))</formula>
    </cfRule>
    <cfRule type="containsText" dxfId="483" priority="497" operator="containsText" text="Dinheiro">
      <formula>NOT(ISERROR(SEARCH("Dinheiro",N271)))</formula>
    </cfRule>
    <cfRule type="cellIs" dxfId="482" priority="498" operator="greaterThan">
      <formula>0</formula>
    </cfRule>
  </conditionalFormatting>
  <conditionalFormatting sqref="N271:N272">
    <cfRule type="containsText" dxfId="481" priority="495" operator="containsText" text="Pix">
      <formula>NOT(ISERROR(SEARCH("Pix",N271)))</formula>
    </cfRule>
  </conditionalFormatting>
  <conditionalFormatting sqref="N271:N272">
    <cfRule type="containsText" dxfId="480" priority="493" operator="containsText" text="transferencia">
      <formula>NOT(ISERROR(SEARCH("transferencia",N271)))</formula>
    </cfRule>
    <cfRule type="containsText" dxfId="479" priority="494" operator="containsText" text="trasnferência">
      <formula>NOT(ISERROR(SEARCH("trasnferência",N271)))</formula>
    </cfRule>
  </conditionalFormatting>
  <conditionalFormatting sqref="N123:N124">
    <cfRule type="containsText" dxfId="478" priority="490" operator="containsText" text="Cheque">
      <formula>NOT(ISERROR(SEARCH("Cheque",N123)))</formula>
    </cfRule>
    <cfRule type="containsText" dxfId="477" priority="491" operator="containsText" text="Dinheiro">
      <formula>NOT(ISERROR(SEARCH("Dinheiro",N123)))</formula>
    </cfRule>
    <cfRule type="cellIs" dxfId="476" priority="492" operator="greaterThan">
      <formula>0</formula>
    </cfRule>
  </conditionalFormatting>
  <conditionalFormatting sqref="N123:N124">
    <cfRule type="containsText" dxfId="475" priority="489" operator="containsText" text="Pix">
      <formula>NOT(ISERROR(SEARCH("Pix",N123)))</formula>
    </cfRule>
  </conditionalFormatting>
  <conditionalFormatting sqref="N123:N124">
    <cfRule type="containsText" dxfId="474" priority="487" operator="containsText" text="transferencia">
      <formula>NOT(ISERROR(SEARCH("transferencia",N123)))</formula>
    </cfRule>
    <cfRule type="containsText" dxfId="473" priority="488" operator="containsText" text="trasnferência">
      <formula>NOT(ISERROR(SEARCH("trasnferência",N123)))</formula>
    </cfRule>
  </conditionalFormatting>
  <conditionalFormatting sqref="N343:N344">
    <cfRule type="containsText" dxfId="472" priority="478" operator="containsText" text="Cheque">
      <formula>NOT(ISERROR(SEARCH("Cheque",N343)))</formula>
    </cfRule>
    <cfRule type="containsText" dxfId="471" priority="479" operator="containsText" text="Dinheiro">
      <formula>NOT(ISERROR(SEARCH("Dinheiro",N343)))</formula>
    </cfRule>
    <cfRule type="cellIs" dxfId="470" priority="480" operator="greaterThan">
      <formula>0</formula>
    </cfRule>
  </conditionalFormatting>
  <conditionalFormatting sqref="N343:N344">
    <cfRule type="containsText" dxfId="469" priority="477" operator="containsText" text="Pix">
      <formula>NOT(ISERROR(SEARCH("Pix",N343)))</formula>
    </cfRule>
  </conditionalFormatting>
  <conditionalFormatting sqref="N343:N344">
    <cfRule type="containsText" dxfId="468" priority="475" operator="containsText" text="transferencia">
      <formula>NOT(ISERROR(SEARCH("transferencia",N343)))</formula>
    </cfRule>
    <cfRule type="containsText" dxfId="467" priority="476" operator="containsText" text="trasnferência">
      <formula>NOT(ISERROR(SEARCH("trasnferência",N343)))</formula>
    </cfRule>
  </conditionalFormatting>
  <conditionalFormatting sqref="N83:N84">
    <cfRule type="containsText" dxfId="466" priority="472" operator="containsText" text="Cheque">
      <formula>NOT(ISERROR(SEARCH("Cheque",N83)))</formula>
    </cfRule>
    <cfRule type="containsText" dxfId="465" priority="473" operator="containsText" text="Dinheiro">
      <formula>NOT(ISERROR(SEARCH("Dinheiro",N83)))</formula>
    </cfRule>
    <cfRule type="cellIs" dxfId="464" priority="474" operator="greaterThan">
      <formula>0</formula>
    </cfRule>
  </conditionalFormatting>
  <conditionalFormatting sqref="N83:N84">
    <cfRule type="containsText" dxfId="463" priority="471" operator="containsText" text="Pix">
      <formula>NOT(ISERROR(SEARCH("Pix",N83)))</formula>
    </cfRule>
  </conditionalFormatting>
  <conditionalFormatting sqref="N83:N84">
    <cfRule type="containsText" dxfId="462" priority="469" operator="containsText" text="transferencia">
      <formula>NOT(ISERROR(SEARCH("transferencia",N83)))</formula>
    </cfRule>
    <cfRule type="containsText" dxfId="461" priority="470" operator="containsText" text="trasnferência">
      <formula>NOT(ISERROR(SEARCH("trasnferência",N83)))</formula>
    </cfRule>
  </conditionalFormatting>
  <conditionalFormatting sqref="N412:N413">
    <cfRule type="containsText" dxfId="460" priority="466" operator="containsText" text="Cheque">
      <formula>NOT(ISERROR(SEARCH("Cheque",N412)))</formula>
    </cfRule>
    <cfRule type="containsText" dxfId="459" priority="467" operator="containsText" text="Dinheiro">
      <formula>NOT(ISERROR(SEARCH("Dinheiro",N412)))</formula>
    </cfRule>
    <cfRule type="cellIs" dxfId="458" priority="468" operator="greaterThan">
      <formula>0</formula>
    </cfRule>
  </conditionalFormatting>
  <conditionalFormatting sqref="N412:N413">
    <cfRule type="containsText" dxfId="457" priority="465" operator="containsText" text="Pix">
      <formula>NOT(ISERROR(SEARCH("Pix",N412)))</formula>
    </cfRule>
  </conditionalFormatting>
  <conditionalFormatting sqref="N412:N413">
    <cfRule type="containsText" dxfId="456" priority="463" operator="containsText" text="transferencia">
      <formula>NOT(ISERROR(SEARCH("transferencia",N412)))</formula>
    </cfRule>
    <cfRule type="containsText" dxfId="455" priority="464" operator="containsText" text="trasnferência">
      <formula>NOT(ISERROR(SEARCH("trasnferência",N412)))</formula>
    </cfRule>
  </conditionalFormatting>
  <conditionalFormatting sqref="N19:N20">
    <cfRule type="containsText" dxfId="454" priority="460" operator="containsText" text="Cheque">
      <formula>NOT(ISERROR(SEARCH("Cheque",N19)))</formula>
    </cfRule>
    <cfRule type="containsText" dxfId="453" priority="461" operator="containsText" text="Dinheiro">
      <formula>NOT(ISERROR(SEARCH("Dinheiro",N19)))</formula>
    </cfRule>
    <cfRule type="cellIs" dxfId="452" priority="462" operator="greaterThan">
      <formula>0</formula>
    </cfRule>
  </conditionalFormatting>
  <conditionalFormatting sqref="N19:N20">
    <cfRule type="containsText" dxfId="451" priority="459" operator="containsText" text="Pix">
      <formula>NOT(ISERROR(SEARCH("Pix",N19)))</formula>
    </cfRule>
  </conditionalFormatting>
  <conditionalFormatting sqref="N19:N20">
    <cfRule type="containsText" dxfId="450" priority="457" operator="containsText" text="transferencia">
      <formula>NOT(ISERROR(SEARCH("transferencia",N19)))</formula>
    </cfRule>
    <cfRule type="containsText" dxfId="449" priority="458" operator="containsText" text="trasnferência">
      <formula>NOT(ISERROR(SEARCH("trasnferência",N19)))</formula>
    </cfRule>
  </conditionalFormatting>
  <conditionalFormatting sqref="N323:N324">
    <cfRule type="containsText" dxfId="448" priority="454" operator="containsText" text="Cheque">
      <formula>NOT(ISERROR(SEARCH("Cheque",N323)))</formula>
    </cfRule>
    <cfRule type="containsText" dxfId="447" priority="455" operator="containsText" text="Dinheiro">
      <formula>NOT(ISERROR(SEARCH("Dinheiro",N323)))</formula>
    </cfRule>
    <cfRule type="cellIs" dxfId="446" priority="456" operator="greaterThan">
      <formula>0</formula>
    </cfRule>
  </conditionalFormatting>
  <conditionalFormatting sqref="N323:N324">
    <cfRule type="containsText" dxfId="445" priority="453" operator="containsText" text="Pix">
      <formula>NOT(ISERROR(SEARCH("Pix",N323)))</formula>
    </cfRule>
  </conditionalFormatting>
  <conditionalFormatting sqref="N323:N324">
    <cfRule type="containsText" dxfId="444" priority="451" operator="containsText" text="transferencia">
      <formula>NOT(ISERROR(SEARCH("transferencia",N323)))</formula>
    </cfRule>
    <cfRule type="containsText" dxfId="443" priority="452" operator="containsText" text="trasnferência">
      <formula>NOT(ISERROR(SEARCH("trasnferência",N323)))</formula>
    </cfRule>
  </conditionalFormatting>
  <conditionalFormatting sqref="N7:N8">
    <cfRule type="containsText" dxfId="442" priority="448" operator="containsText" text="Cheque">
      <formula>NOT(ISERROR(SEARCH("Cheque",N7)))</formula>
    </cfRule>
    <cfRule type="containsText" dxfId="441" priority="449" operator="containsText" text="Dinheiro">
      <formula>NOT(ISERROR(SEARCH("Dinheiro",N7)))</formula>
    </cfRule>
    <cfRule type="cellIs" dxfId="440" priority="450" operator="greaterThan">
      <formula>0</formula>
    </cfRule>
  </conditionalFormatting>
  <conditionalFormatting sqref="N7:N8">
    <cfRule type="containsText" dxfId="439" priority="447" operator="containsText" text="Pix">
      <formula>NOT(ISERROR(SEARCH("Pix",N7)))</formula>
    </cfRule>
  </conditionalFormatting>
  <conditionalFormatting sqref="N7:N8">
    <cfRule type="containsText" dxfId="438" priority="445" operator="containsText" text="transferencia">
      <formula>NOT(ISERROR(SEARCH("transferencia",N7)))</formula>
    </cfRule>
    <cfRule type="containsText" dxfId="437" priority="446" operator="containsText" text="trasnferência">
      <formula>NOT(ISERROR(SEARCH("trasnferência",N7)))</formula>
    </cfRule>
  </conditionalFormatting>
  <conditionalFormatting sqref="N23:N24">
    <cfRule type="containsText" dxfId="436" priority="442" operator="containsText" text="Cheque">
      <formula>NOT(ISERROR(SEARCH("Cheque",N23)))</formula>
    </cfRule>
    <cfRule type="containsText" dxfId="435" priority="443" operator="containsText" text="Dinheiro">
      <formula>NOT(ISERROR(SEARCH("Dinheiro",N23)))</formula>
    </cfRule>
    <cfRule type="cellIs" dxfId="434" priority="444" operator="greaterThan">
      <formula>0</formula>
    </cfRule>
  </conditionalFormatting>
  <conditionalFormatting sqref="N23:N24">
    <cfRule type="containsText" dxfId="433" priority="441" operator="containsText" text="Pix">
      <formula>NOT(ISERROR(SEARCH("Pix",N23)))</formula>
    </cfRule>
  </conditionalFormatting>
  <conditionalFormatting sqref="N23:N24">
    <cfRule type="containsText" dxfId="432" priority="439" operator="containsText" text="transferencia">
      <formula>NOT(ISERROR(SEARCH("transferencia",N23)))</formula>
    </cfRule>
    <cfRule type="containsText" dxfId="431" priority="440" operator="containsText" text="trasnferência">
      <formula>NOT(ISERROR(SEARCH("trasnferência",N23)))</formula>
    </cfRule>
  </conditionalFormatting>
  <conditionalFormatting sqref="N171:N172">
    <cfRule type="containsText" dxfId="430" priority="436" operator="containsText" text="Cheque">
      <formula>NOT(ISERROR(SEARCH("Cheque",N171)))</formula>
    </cfRule>
    <cfRule type="containsText" dxfId="429" priority="437" operator="containsText" text="Dinheiro">
      <formula>NOT(ISERROR(SEARCH("Dinheiro",N171)))</formula>
    </cfRule>
    <cfRule type="cellIs" dxfId="428" priority="438" operator="greaterThan">
      <formula>0</formula>
    </cfRule>
  </conditionalFormatting>
  <conditionalFormatting sqref="N171:N172">
    <cfRule type="containsText" dxfId="427" priority="435" operator="containsText" text="Pix">
      <formula>NOT(ISERROR(SEARCH("Pix",N171)))</formula>
    </cfRule>
  </conditionalFormatting>
  <conditionalFormatting sqref="N171:N172">
    <cfRule type="containsText" dxfId="426" priority="433" operator="containsText" text="transferencia">
      <formula>NOT(ISERROR(SEARCH("transferencia",N171)))</formula>
    </cfRule>
    <cfRule type="containsText" dxfId="425" priority="434" operator="containsText" text="trasnferência">
      <formula>NOT(ISERROR(SEARCH("trasnferência",N171)))</formula>
    </cfRule>
  </conditionalFormatting>
  <conditionalFormatting sqref="N567:N568">
    <cfRule type="containsText" dxfId="424" priority="430" operator="containsText" text="Cheque">
      <formula>NOT(ISERROR(SEARCH("Cheque",N567)))</formula>
    </cfRule>
    <cfRule type="containsText" dxfId="423" priority="431" operator="containsText" text="Dinheiro">
      <formula>NOT(ISERROR(SEARCH("Dinheiro",N567)))</formula>
    </cfRule>
    <cfRule type="cellIs" dxfId="422" priority="432" operator="greaterThan">
      <formula>0</formula>
    </cfRule>
  </conditionalFormatting>
  <conditionalFormatting sqref="N567:N568">
    <cfRule type="containsText" dxfId="421" priority="429" operator="containsText" text="Pix">
      <formula>NOT(ISERROR(SEARCH("Pix",N567)))</formula>
    </cfRule>
  </conditionalFormatting>
  <conditionalFormatting sqref="N567:N568">
    <cfRule type="containsText" dxfId="420" priority="427" operator="containsText" text="transferencia">
      <formula>NOT(ISERROR(SEARCH("transferencia",N567)))</formula>
    </cfRule>
    <cfRule type="containsText" dxfId="419" priority="428" operator="containsText" text="trasnferência">
      <formula>NOT(ISERROR(SEARCH("trasnferência",N567)))</formula>
    </cfRule>
  </conditionalFormatting>
  <conditionalFormatting sqref="N387:N389">
    <cfRule type="containsText" dxfId="418" priority="424" operator="containsText" text="Cheque">
      <formula>NOT(ISERROR(SEARCH("Cheque",N387)))</formula>
    </cfRule>
    <cfRule type="containsText" dxfId="417" priority="425" operator="containsText" text="Dinheiro">
      <formula>NOT(ISERROR(SEARCH("Dinheiro",N387)))</formula>
    </cfRule>
    <cfRule type="cellIs" dxfId="416" priority="426" operator="greaterThan">
      <formula>0</formula>
    </cfRule>
  </conditionalFormatting>
  <conditionalFormatting sqref="N387:N389">
    <cfRule type="containsText" dxfId="415" priority="423" operator="containsText" text="Pix">
      <formula>NOT(ISERROR(SEARCH("Pix",N387)))</formula>
    </cfRule>
  </conditionalFormatting>
  <conditionalFormatting sqref="N387:N389">
    <cfRule type="containsText" dxfId="414" priority="421" operator="containsText" text="transferencia">
      <formula>NOT(ISERROR(SEARCH("transferencia",N387)))</formula>
    </cfRule>
    <cfRule type="containsText" dxfId="413" priority="422" operator="containsText" text="trasnferência">
      <formula>NOT(ISERROR(SEARCH("trasnferência",N387)))</formula>
    </cfRule>
  </conditionalFormatting>
  <conditionalFormatting sqref="N528:N529">
    <cfRule type="containsText" dxfId="412" priority="418" operator="containsText" text="Cheque">
      <formula>NOT(ISERROR(SEARCH("Cheque",N528)))</formula>
    </cfRule>
    <cfRule type="containsText" dxfId="411" priority="419" operator="containsText" text="Dinheiro">
      <formula>NOT(ISERROR(SEARCH("Dinheiro",N528)))</formula>
    </cfRule>
    <cfRule type="cellIs" dxfId="410" priority="420" operator="greaterThan">
      <formula>0</formula>
    </cfRule>
  </conditionalFormatting>
  <conditionalFormatting sqref="N528:N529">
    <cfRule type="containsText" dxfId="409" priority="417" operator="containsText" text="Pix">
      <formula>NOT(ISERROR(SEARCH("Pix",N528)))</formula>
    </cfRule>
  </conditionalFormatting>
  <conditionalFormatting sqref="N528:N529">
    <cfRule type="containsText" dxfId="408" priority="415" operator="containsText" text="transferencia">
      <formula>NOT(ISERROR(SEARCH("transferencia",N528)))</formula>
    </cfRule>
    <cfRule type="containsText" dxfId="407" priority="416" operator="containsText" text="trasnferência">
      <formula>NOT(ISERROR(SEARCH("trasnferência",N528)))</formula>
    </cfRule>
  </conditionalFormatting>
  <conditionalFormatting sqref="N219:N220">
    <cfRule type="containsText" dxfId="406" priority="412" operator="containsText" text="Cheque">
      <formula>NOT(ISERROR(SEARCH("Cheque",N219)))</formula>
    </cfRule>
    <cfRule type="containsText" dxfId="405" priority="413" operator="containsText" text="Dinheiro">
      <formula>NOT(ISERROR(SEARCH("Dinheiro",N219)))</formula>
    </cfRule>
    <cfRule type="cellIs" dxfId="404" priority="414" operator="greaterThan">
      <formula>0</formula>
    </cfRule>
  </conditionalFormatting>
  <conditionalFormatting sqref="N219:N220">
    <cfRule type="containsText" dxfId="403" priority="411" operator="containsText" text="Pix">
      <formula>NOT(ISERROR(SEARCH("Pix",N219)))</formula>
    </cfRule>
  </conditionalFormatting>
  <conditionalFormatting sqref="N219:N220">
    <cfRule type="containsText" dxfId="402" priority="409" operator="containsText" text="transferencia">
      <formula>NOT(ISERROR(SEARCH("transferencia",N219)))</formula>
    </cfRule>
    <cfRule type="containsText" dxfId="401" priority="410" operator="containsText" text="trasnferência">
      <formula>NOT(ISERROR(SEARCH("trasnferência",N219)))</formula>
    </cfRule>
  </conditionalFormatting>
  <conditionalFormatting sqref="N151:N152">
    <cfRule type="containsText" dxfId="400" priority="406" operator="containsText" text="Cheque">
      <formula>NOT(ISERROR(SEARCH("Cheque",N151)))</formula>
    </cfRule>
    <cfRule type="containsText" dxfId="399" priority="407" operator="containsText" text="Dinheiro">
      <formula>NOT(ISERROR(SEARCH("Dinheiro",N151)))</formula>
    </cfRule>
    <cfRule type="cellIs" dxfId="398" priority="408" operator="greaterThan">
      <formula>0</formula>
    </cfRule>
  </conditionalFormatting>
  <conditionalFormatting sqref="N151:N152">
    <cfRule type="containsText" dxfId="397" priority="405" operator="containsText" text="Pix">
      <formula>NOT(ISERROR(SEARCH("Pix",N151)))</formula>
    </cfRule>
  </conditionalFormatting>
  <conditionalFormatting sqref="N151:N152">
    <cfRule type="containsText" dxfId="396" priority="403" operator="containsText" text="transferencia">
      <formula>NOT(ISERROR(SEARCH("transferencia",N151)))</formula>
    </cfRule>
    <cfRule type="containsText" dxfId="395" priority="404" operator="containsText" text="trasnferência">
      <formula>NOT(ISERROR(SEARCH("trasnferência",N151)))</formula>
    </cfRule>
  </conditionalFormatting>
  <conditionalFormatting sqref="N428:N429">
    <cfRule type="containsText" dxfId="394" priority="400" operator="containsText" text="Cheque">
      <formula>NOT(ISERROR(SEARCH("Cheque",N428)))</formula>
    </cfRule>
    <cfRule type="containsText" dxfId="393" priority="401" operator="containsText" text="Dinheiro">
      <formula>NOT(ISERROR(SEARCH("Dinheiro",N428)))</formula>
    </cfRule>
    <cfRule type="cellIs" dxfId="392" priority="402" operator="greaterThan">
      <formula>0</formula>
    </cfRule>
  </conditionalFormatting>
  <conditionalFormatting sqref="N428:N429">
    <cfRule type="containsText" dxfId="391" priority="399" operator="containsText" text="Pix">
      <formula>NOT(ISERROR(SEARCH("Pix",N428)))</formula>
    </cfRule>
  </conditionalFormatting>
  <conditionalFormatting sqref="N428:N429">
    <cfRule type="containsText" dxfId="390" priority="397" operator="containsText" text="transferencia">
      <formula>NOT(ISERROR(SEARCH("transferencia",N428)))</formula>
    </cfRule>
    <cfRule type="containsText" dxfId="389" priority="398" operator="containsText" text="trasnferência">
      <formula>NOT(ISERROR(SEARCH("trasnferência",N428)))</formula>
    </cfRule>
  </conditionalFormatting>
  <conditionalFormatting sqref="N155:N156">
    <cfRule type="containsText" dxfId="388" priority="394" operator="containsText" text="Cheque">
      <formula>NOT(ISERROR(SEARCH("Cheque",N155)))</formula>
    </cfRule>
    <cfRule type="containsText" dxfId="387" priority="395" operator="containsText" text="Dinheiro">
      <formula>NOT(ISERROR(SEARCH("Dinheiro",N155)))</formula>
    </cfRule>
    <cfRule type="cellIs" dxfId="386" priority="396" operator="greaterThan">
      <formula>0</formula>
    </cfRule>
  </conditionalFormatting>
  <conditionalFormatting sqref="N155:N156">
    <cfRule type="containsText" dxfId="385" priority="393" operator="containsText" text="Pix">
      <formula>NOT(ISERROR(SEARCH("Pix",N155)))</formula>
    </cfRule>
  </conditionalFormatting>
  <conditionalFormatting sqref="N155:N156">
    <cfRule type="containsText" dxfId="384" priority="391" operator="containsText" text="transferencia">
      <formula>NOT(ISERROR(SEARCH("transferencia",N155)))</formula>
    </cfRule>
    <cfRule type="containsText" dxfId="383" priority="392" operator="containsText" text="trasnferência">
      <formula>NOT(ISERROR(SEARCH("trasnferência",N155)))</formula>
    </cfRule>
  </conditionalFormatting>
  <conditionalFormatting sqref="N460:N461">
    <cfRule type="containsText" dxfId="382" priority="388" operator="containsText" text="Cheque">
      <formula>NOT(ISERROR(SEARCH("Cheque",N460)))</formula>
    </cfRule>
    <cfRule type="containsText" dxfId="381" priority="389" operator="containsText" text="Dinheiro">
      <formula>NOT(ISERROR(SEARCH("Dinheiro",N460)))</formula>
    </cfRule>
    <cfRule type="cellIs" dxfId="380" priority="390" operator="greaterThan">
      <formula>0</formula>
    </cfRule>
  </conditionalFormatting>
  <conditionalFormatting sqref="N460:N461">
    <cfRule type="containsText" dxfId="379" priority="387" operator="containsText" text="Pix">
      <formula>NOT(ISERROR(SEARCH("Pix",N460)))</formula>
    </cfRule>
  </conditionalFormatting>
  <conditionalFormatting sqref="N460:N461">
    <cfRule type="containsText" dxfId="378" priority="385" operator="containsText" text="transferencia">
      <formula>NOT(ISERROR(SEARCH("transferencia",N460)))</formula>
    </cfRule>
    <cfRule type="containsText" dxfId="377" priority="386" operator="containsText" text="trasnferência">
      <formula>NOT(ISERROR(SEARCH("trasnferência",N460)))</formula>
    </cfRule>
  </conditionalFormatting>
  <conditionalFormatting sqref="O11:O12">
    <cfRule type="containsText" dxfId="376" priority="382" operator="containsText" text="Cheque">
      <formula>NOT(ISERROR(SEARCH("Cheque",O11)))</formula>
    </cfRule>
    <cfRule type="containsText" dxfId="375" priority="383" operator="containsText" text="Dinheiro">
      <formula>NOT(ISERROR(SEARCH("Dinheiro",O11)))</formula>
    </cfRule>
    <cfRule type="cellIs" dxfId="374" priority="384" operator="greaterThan">
      <formula>0</formula>
    </cfRule>
  </conditionalFormatting>
  <conditionalFormatting sqref="O11:O12">
    <cfRule type="containsText" dxfId="373" priority="381" operator="containsText" text="Pix">
      <formula>NOT(ISERROR(SEARCH("Pix",O11)))</formula>
    </cfRule>
  </conditionalFormatting>
  <conditionalFormatting sqref="O11:O12">
    <cfRule type="containsText" dxfId="372" priority="379" operator="containsText" text="transferencia">
      <formula>NOT(ISERROR(SEARCH("transferencia",O11)))</formula>
    </cfRule>
    <cfRule type="containsText" dxfId="371" priority="380" operator="containsText" text="trasnferência">
      <formula>NOT(ISERROR(SEARCH("trasnferência",O11)))</formula>
    </cfRule>
  </conditionalFormatting>
  <conditionalFormatting sqref="O283:O284">
    <cfRule type="containsText" dxfId="370" priority="376" operator="containsText" text="Cheque">
      <formula>NOT(ISERROR(SEARCH("Cheque",O283)))</formula>
    </cfRule>
    <cfRule type="containsText" dxfId="369" priority="377" operator="containsText" text="Dinheiro">
      <formula>NOT(ISERROR(SEARCH("Dinheiro",O283)))</formula>
    </cfRule>
    <cfRule type="cellIs" dxfId="368" priority="378" operator="greaterThan">
      <formula>0</formula>
    </cfRule>
  </conditionalFormatting>
  <conditionalFormatting sqref="O283:O284">
    <cfRule type="containsText" dxfId="367" priority="375" operator="containsText" text="Pix">
      <formula>NOT(ISERROR(SEARCH("Pix",O283)))</formula>
    </cfRule>
  </conditionalFormatting>
  <conditionalFormatting sqref="O283:O284">
    <cfRule type="containsText" dxfId="366" priority="373" operator="containsText" text="transferencia">
      <formula>NOT(ISERROR(SEARCH("transferencia",O283)))</formula>
    </cfRule>
    <cfRule type="containsText" dxfId="365" priority="374" operator="containsText" text="trasnferência">
      <formula>NOT(ISERROR(SEARCH("trasnferência",O283)))</formula>
    </cfRule>
  </conditionalFormatting>
  <conditionalFormatting sqref="O420:O421">
    <cfRule type="containsText" dxfId="364" priority="370" operator="containsText" text="Cheque">
      <formula>NOT(ISERROR(SEARCH("Cheque",O420)))</formula>
    </cfRule>
    <cfRule type="containsText" dxfId="363" priority="371" operator="containsText" text="Dinheiro">
      <formula>NOT(ISERROR(SEARCH("Dinheiro",O420)))</formula>
    </cfRule>
    <cfRule type="cellIs" dxfId="362" priority="372" operator="greaterThan">
      <formula>0</formula>
    </cfRule>
  </conditionalFormatting>
  <conditionalFormatting sqref="O420:O421">
    <cfRule type="containsText" dxfId="361" priority="369" operator="containsText" text="Pix">
      <formula>NOT(ISERROR(SEARCH("Pix",O420)))</formula>
    </cfRule>
  </conditionalFormatting>
  <conditionalFormatting sqref="O420:O421">
    <cfRule type="containsText" dxfId="360" priority="367" operator="containsText" text="transferencia">
      <formula>NOT(ISERROR(SEARCH("transferencia",O420)))</formula>
    </cfRule>
    <cfRule type="containsText" dxfId="359" priority="368" operator="containsText" text="trasnferência">
      <formula>NOT(ISERROR(SEARCH("trasnferência",O420)))</formula>
    </cfRule>
  </conditionalFormatting>
  <conditionalFormatting sqref="O211:O212">
    <cfRule type="containsText" dxfId="358" priority="364" operator="containsText" text="Cheque">
      <formula>NOT(ISERROR(SEARCH("Cheque",O211)))</formula>
    </cfRule>
    <cfRule type="containsText" dxfId="357" priority="365" operator="containsText" text="Dinheiro">
      <formula>NOT(ISERROR(SEARCH("Dinheiro",O211)))</formula>
    </cfRule>
    <cfRule type="cellIs" dxfId="356" priority="366" operator="greaterThan">
      <formula>0</formula>
    </cfRule>
  </conditionalFormatting>
  <conditionalFormatting sqref="O211:O212">
    <cfRule type="containsText" dxfId="355" priority="363" operator="containsText" text="Pix">
      <formula>NOT(ISERROR(SEARCH("Pix",O211)))</formula>
    </cfRule>
  </conditionalFormatting>
  <conditionalFormatting sqref="O211:O212">
    <cfRule type="containsText" dxfId="354" priority="361" operator="containsText" text="transferencia">
      <formula>NOT(ISERROR(SEARCH("transferencia",O211)))</formula>
    </cfRule>
    <cfRule type="containsText" dxfId="353" priority="362" operator="containsText" text="trasnferência">
      <formula>NOT(ISERROR(SEARCH("trasnferência",O211)))</formula>
    </cfRule>
  </conditionalFormatting>
  <conditionalFormatting sqref="O23:O24">
    <cfRule type="containsText" dxfId="352" priority="358" operator="containsText" text="Cheque">
      <formula>NOT(ISERROR(SEARCH("Cheque",O23)))</formula>
    </cfRule>
    <cfRule type="containsText" dxfId="351" priority="359" operator="containsText" text="Dinheiro">
      <formula>NOT(ISERROR(SEARCH("Dinheiro",O23)))</formula>
    </cfRule>
    <cfRule type="cellIs" dxfId="350" priority="360" operator="greaterThan">
      <formula>0</formula>
    </cfRule>
  </conditionalFormatting>
  <conditionalFormatting sqref="O23:O24">
    <cfRule type="containsText" dxfId="349" priority="357" operator="containsText" text="Pix">
      <formula>NOT(ISERROR(SEARCH("Pix",O23)))</formula>
    </cfRule>
  </conditionalFormatting>
  <conditionalFormatting sqref="O23:O24">
    <cfRule type="containsText" dxfId="348" priority="355" operator="containsText" text="transferencia">
      <formula>NOT(ISERROR(SEARCH("transferencia",O23)))</formula>
    </cfRule>
    <cfRule type="containsText" dxfId="347" priority="356" operator="containsText" text="trasnferência">
      <formula>NOT(ISERROR(SEARCH("trasnferência",O23)))</formula>
    </cfRule>
  </conditionalFormatting>
  <conditionalFormatting sqref="N516:N517">
    <cfRule type="containsText" dxfId="346" priority="352" operator="containsText" text="Cheque">
      <formula>NOT(ISERROR(SEARCH("Cheque",N516)))</formula>
    </cfRule>
    <cfRule type="containsText" dxfId="345" priority="353" operator="containsText" text="Dinheiro">
      <formula>NOT(ISERROR(SEARCH("Dinheiro",N516)))</formula>
    </cfRule>
    <cfRule type="cellIs" dxfId="344" priority="354" operator="greaterThan">
      <formula>0</formula>
    </cfRule>
  </conditionalFormatting>
  <conditionalFormatting sqref="N516:N517">
    <cfRule type="containsText" dxfId="343" priority="351" operator="containsText" text="Pix">
      <formula>NOT(ISERROR(SEARCH("Pix",N516)))</formula>
    </cfRule>
  </conditionalFormatting>
  <conditionalFormatting sqref="N516:N517">
    <cfRule type="containsText" dxfId="342" priority="349" operator="containsText" text="transferencia">
      <formula>NOT(ISERROR(SEARCH("transferencia",N516)))</formula>
    </cfRule>
    <cfRule type="containsText" dxfId="341" priority="350" operator="containsText" text="trasnferência">
      <formula>NOT(ISERROR(SEARCH("trasnferência",N516)))</formula>
    </cfRule>
  </conditionalFormatting>
  <conditionalFormatting sqref="N275:N276">
    <cfRule type="containsText" dxfId="340" priority="346" operator="containsText" text="Cheque">
      <formula>NOT(ISERROR(SEARCH("Cheque",N275)))</formula>
    </cfRule>
    <cfRule type="containsText" dxfId="339" priority="347" operator="containsText" text="Dinheiro">
      <formula>NOT(ISERROR(SEARCH("Dinheiro",N275)))</formula>
    </cfRule>
    <cfRule type="cellIs" dxfId="338" priority="348" operator="greaterThan">
      <formula>0</formula>
    </cfRule>
  </conditionalFormatting>
  <conditionalFormatting sqref="N275:N276">
    <cfRule type="containsText" dxfId="337" priority="345" operator="containsText" text="Pix">
      <formula>NOT(ISERROR(SEARCH("Pix",N275)))</formula>
    </cfRule>
  </conditionalFormatting>
  <conditionalFormatting sqref="N275:N276">
    <cfRule type="containsText" dxfId="336" priority="343" operator="containsText" text="transferencia">
      <formula>NOT(ISERROR(SEARCH("transferencia",N275)))</formula>
    </cfRule>
    <cfRule type="containsText" dxfId="335" priority="344" operator="containsText" text="trasnferência">
      <formula>NOT(ISERROR(SEARCH("trasnferência",N275)))</formula>
    </cfRule>
  </conditionalFormatting>
  <conditionalFormatting sqref="N495">
    <cfRule type="containsText" dxfId="334" priority="340" operator="containsText" text="Cheque">
      <formula>NOT(ISERROR(SEARCH("Cheque",N495)))</formula>
    </cfRule>
    <cfRule type="containsText" dxfId="333" priority="341" operator="containsText" text="Dinheiro">
      <formula>NOT(ISERROR(SEARCH("Dinheiro",N495)))</formula>
    </cfRule>
    <cfRule type="cellIs" dxfId="332" priority="342" operator="greaterThan">
      <formula>0</formula>
    </cfRule>
  </conditionalFormatting>
  <conditionalFormatting sqref="N495">
    <cfRule type="containsText" dxfId="331" priority="339" operator="containsText" text="Pix">
      <formula>NOT(ISERROR(SEARCH("Pix",N495)))</formula>
    </cfRule>
  </conditionalFormatting>
  <conditionalFormatting sqref="N495">
    <cfRule type="containsText" dxfId="330" priority="337" operator="containsText" text="transferencia">
      <formula>NOT(ISERROR(SEARCH("transferencia",N495)))</formula>
    </cfRule>
    <cfRule type="containsText" dxfId="329" priority="338" operator="containsText" text="trasnferência">
      <formula>NOT(ISERROR(SEARCH("trasnferência",N495)))</formula>
    </cfRule>
  </conditionalFormatting>
  <conditionalFormatting sqref="N494">
    <cfRule type="containsText" dxfId="328" priority="334" operator="containsText" text="Cheque">
      <formula>NOT(ISERROR(SEARCH("Cheque",N494)))</formula>
    </cfRule>
    <cfRule type="containsText" dxfId="327" priority="335" operator="containsText" text="Dinheiro">
      <formula>NOT(ISERROR(SEARCH("Dinheiro",N494)))</formula>
    </cfRule>
    <cfRule type="cellIs" dxfId="326" priority="336" operator="greaterThan">
      <formula>0</formula>
    </cfRule>
  </conditionalFormatting>
  <conditionalFormatting sqref="N494">
    <cfRule type="containsText" dxfId="325" priority="333" operator="containsText" text="Pix">
      <formula>NOT(ISERROR(SEARCH("Pix",N494)))</formula>
    </cfRule>
  </conditionalFormatting>
  <conditionalFormatting sqref="N494">
    <cfRule type="containsText" dxfId="324" priority="331" operator="containsText" text="transferencia">
      <formula>NOT(ISERROR(SEARCH("transferencia",N494)))</formula>
    </cfRule>
    <cfRule type="containsText" dxfId="323" priority="332" operator="containsText" text="trasnferência">
      <formula>NOT(ISERROR(SEARCH("trasnferência",N494)))</formula>
    </cfRule>
  </conditionalFormatting>
  <conditionalFormatting sqref="N440:N441">
    <cfRule type="containsText" dxfId="322" priority="328" operator="containsText" text="Cheque">
      <formula>NOT(ISERROR(SEARCH("Cheque",N440)))</formula>
    </cfRule>
    <cfRule type="containsText" dxfId="321" priority="329" operator="containsText" text="Dinheiro">
      <formula>NOT(ISERROR(SEARCH("Dinheiro",N440)))</formula>
    </cfRule>
    <cfRule type="cellIs" dxfId="320" priority="330" operator="greaterThan">
      <formula>0</formula>
    </cfRule>
  </conditionalFormatting>
  <conditionalFormatting sqref="N440:N441">
    <cfRule type="containsText" dxfId="319" priority="327" operator="containsText" text="Pix">
      <formula>NOT(ISERROR(SEARCH("Pix",N440)))</formula>
    </cfRule>
  </conditionalFormatting>
  <conditionalFormatting sqref="N440:N441">
    <cfRule type="containsText" dxfId="318" priority="325" operator="containsText" text="transferencia">
      <formula>NOT(ISERROR(SEARCH("transferencia",N440)))</formula>
    </cfRule>
    <cfRule type="containsText" dxfId="317" priority="326" operator="containsText" text="trasnferência">
      <formula>NOT(ISERROR(SEARCH("trasnferência",N440)))</formula>
    </cfRule>
  </conditionalFormatting>
  <conditionalFormatting sqref="O315:O316">
    <cfRule type="containsText" dxfId="316" priority="322" operator="containsText" text="Cheque">
      <formula>NOT(ISERROR(SEARCH("Cheque",O315)))</formula>
    </cfRule>
    <cfRule type="containsText" dxfId="315" priority="323" operator="containsText" text="Dinheiro">
      <formula>NOT(ISERROR(SEARCH("Dinheiro",O315)))</formula>
    </cfRule>
    <cfRule type="cellIs" dxfId="314" priority="324" operator="greaterThan">
      <formula>0</formula>
    </cfRule>
  </conditionalFormatting>
  <conditionalFormatting sqref="O315:O316">
    <cfRule type="containsText" dxfId="313" priority="321" operator="containsText" text="Pix">
      <formula>NOT(ISERROR(SEARCH("Pix",O315)))</formula>
    </cfRule>
  </conditionalFormatting>
  <conditionalFormatting sqref="O315:O316">
    <cfRule type="containsText" dxfId="312" priority="319" operator="containsText" text="transferencia">
      <formula>NOT(ISERROR(SEARCH("transferencia",O315)))</formula>
    </cfRule>
    <cfRule type="containsText" dxfId="311" priority="320" operator="containsText" text="trasnferência">
      <formula>NOT(ISERROR(SEARCH("trasnferência",O315)))</formula>
    </cfRule>
  </conditionalFormatting>
  <conditionalFormatting sqref="O95:O98 C95:M98">
    <cfRule type="containsText" dxfId="310" priority="316" operator="containsText" text="Cheque">
      <formula>NOT(ISERROR(SEARCH("Cheque",C95)))</formula>
    </cfRule>
    <cfRule type="containsText" dxfId="309" priority="317" operator="containsText" text="Dinheiro">
      <formula>NOT(ISERROR(SEARCH("Dinheiro",C95)))</formula>
    </cfRule>
    <cfRule type="cellIs" dxfId="308" priority="318" operator="greaterThan">
      <formula>0</formula>
    </cfRule>
  </conditionalFormatting>
  <conditionalFormatting sqref="O95:O98 A95:M98">
    <cfRule type="containsText" dxfId="307" priority="315" operator="containsText" text="Pix">
      <formula>NOT(ISERROR(SEARCH("Pix",A95)))</formula>
    </cfRule>
  </conditionalFormatting>
  <conditionalFormatting sqref="O95:XFD98 A95:M98">
    <cfRule type="containsText" dxfId="306" priority="313" operator="containsText" text="transferencia">
      <formula>NOT(ISERROR(SEARCH("transferencia",A95)))</formula>
    </cfRule>
    <cfRule type="containsText" dxfId="305" priority="314" operator="containsText" text="trasnferência">
      <formula>NOT(ISERROR(SEARCH("trasnferência",A95)))</formula>
    </cfRule>
  </conditionalFormatting>
  <conditionalFormatting sqref="N97:N98">
    <cfRule type="containsText" dxfId="304" priority="310" operator="containsText" text="Cheque">
      <formula>NOT(ISERROR(SEARCH("Cheque",N97)))</formula>
    </cfRule>
    <cfRule type="containsText" dxfId="303" priority="311" operator="containsText" text="Dinheiro">
      <formula>NOT(ISERROR(SEARCH("Dinheiro",N97)))</formula>
    </cfRule>
    <cfRule type="cellIs" dxfId="302" priority="312" operator="greaterThan">
      <formula>0</formula>
    </cfRule>
  </conditionalFormatting>
  <conditionalFormatting sqref="N97:N98">
    <cfRule type="containsText" dxfId="301" priority="309" operator="containsText" text="Pix">
      <formula>NOT(ISERROR(SEARCH("Pix",N97)))</formula>
    </cfRule>
  </conditionalFormatting>
  <conditionalFormatting sqref="N97:N98">
    <cfRule type="containsText" dxfId="300" priority="307" operator="containsText" text="transferencia">
      <formula>NOT(ISERROR(SEARCH("transferencia",N97)))</formula>
    </cfRule>
    <cfRule type="containsText" dxfId="299" priority="308" operator="containsText" text="trasnferência">
      <formula>NOT(ISERROR(SEARCH("trasnferência",N97)))</formula>
    </cfRule>
  </conditionalFormatting>
  <conditionalFormatting sqref="N95:N96">
    <cfRule type="containsText" dxfId="298" priority="304" operator="containsText" text="Cheque">
      <formula>NOT(ISERROR(SEARCH("Cheque",N95)))</formula>
    </cfRule>
    <cfRule type="containsText" dxfId="297" priority="305" operator="containsText" text="Dinheiro">
      <formula>NOT(ISERROR(SEARCH("Dinheiro",N95)))</formula>
    </cfRule>
    <cfRule type="cellIs" dxfId="296" priority="306" operator="greaterThan">
      <formula>0</formula>
    </cfRule>
  </conditionalFormatting>
  <conditionalFormatting sqref="N95:N96">
    <cfRule type="containsText" dxfId="295" priority="303" operator="containsText" text="Pix">
      <formula>NOT(ISERROR(SEARCH("Pix",N95)))</formula>
    </cfRule>
  </conditionalFormatting>
  <conditionalFormatting sqref="N95:N96">
    <cfRule type="containsText" dxfId="294" priority="301" operator="containsText" text="transferencia">
      <formula>NOT(ISERROR(SEARCH("transferencia",N95)))</formula>
    </cfRule>
    <cfRule type="containsText" dxfId="293" priority="302" operator="containsText" text="trasnferência">
      <formula>NOT(ISERROR(SEARCH("trasnferência",N95)))</formula>
    </cfRule>
  </conditionalFormatting>
  <conditionalFormatting sqref="O179:O182 C181:M182 M179:M180">
    <cfRule type="containsText" dxfId="292" priority="298" operator="containsText" text="Cheque">
      <formula>NOT(ISERROR(SEARCH("Cheque",C179)))</formula>
    </cfRule>
    <cfRule type="containsText" dxfId="291" priority="299" operator="containsText" text="Dinheiro">
      <formula>NOT(ISERROR(SEARCH("Dinheiro",C179)))</formula>
    </cfRule>
    <cfRule type="cellIs" dxfId="290" priority="300" operator="greaterThan">
      <formula>0</formula>
    </cfRule>
  </conditionalFormatting>
  <conditionalFormatting sqref="O179:O182 A181:M182 A179:B180 M179:M180">
    <cfRule type="containsText" dxfId="289" priority="297" operator="containsText" text="Pix">
      <formula>NOT(ISERROR(SEARCH("Pix",A179)))</formula>
    </cfRule>
  </conditionalFormatting>
  <conditionalFormatting sqref="A181:M182 O179:XFD182 A179:B180 M179:M180">
    <cfRule type="containsText" dxfId="288" priority="295" operator="containsText" text="transferencia">
      <formula>NOT(ISERROR(SEARCH("transferencia",A179)))</formula>
    </cfRule>
    <cfRule type="containsText" dxfId="287" priority="296" operator="containsText" text="trasnferência">
      <formula>NOT(ISERROR(SEARCH("trasnferência",A179)))</formula>
    </cfRule>
  </conditionalFormatting>
  <conditionalFormatting sqref="N179:N182">
    <cfRule type="containsText" dxfId="286" priority="292" operator="containsText" text="Cheque">
      <formula>NOT(ISERROR(SEARCH("Cheque",N179)))</formula>
    </cfRule>
    <cfRule type="containsText" dxfId="285" priority="293" operator="containsText" text="Dinheiro">
      <formula>NOT(ISERROR(SEARCH("Dinheiro",N179)))</formula>
    </cfRule>
    <cfRule type="cellIs" dxfId="284" priority="294" operator="greaterThan">
      <formula>0</formula>
    </cfRule>
  </conditionalFormatting>
  <conditionalFormatting sqref="N179:N182">
    <cfRule type="containsText" dxfId="283" priority="291" operator="containsText" text="Pix">
      <formula>NOT(ISERROR(SEARCH("Pix",N179)))</formula>
    </cfRule>
  </conditionalFormatting>
  <conditionalFormatting sqref="N179:N182">
    <cfRule type="containsText" dxfId="282" priority="289" operator="containsText" text="transferencia">
      <formula>NOT(ISERROR(SEARCH("transferencia",N179)))</formula>
    </cfRule>
    <cfRule type="containsText" dxfId="281" priority="290" operator="containsText" text="trasnferência">
      <formula>NOT(ISERROR(SEARCH("trasnferência",N179)))</formula>
    </cfRule>
  </conditionalFormatting>
  <conditionalFormatting sqref="C179:L180">
    <cfRule type="containsText" dxfId="280" priority="286" operator="containsText" text="Cheque">
      <formula>NOT(ISERROR(SEARCH("Cheque",C179)))</formula>
    </cfRule>
    <cfRule type="containsText" dxfId="279" priority="287" operator="containsText" text="Dinheiro">
      <formula>NOT(ISERROR(SEARCH("Dinheiro",C179)))</formula>
    </cfRule>
    <cfRule type="cellIs" dxfId="278" priority="288" operator="greaterThan">
      <formula>0</formula>
    </cfRule>
  </conditionalFormatting>
  <conditionalFormatting sqref="C179:L180">
    <cfRule type="containsText" dxfId="277" priority="285" operator="containsText" text="Pix">
      <formula>NOT(ISERROR(SEARCH("Pix",C179)))</formula>
    </cfRule>
  </conditionalFormatting>
  <conditionalFormatting sqref="C179:L180">
    <cfRule type="containsText" dxfId="276" priority="283" operator="containsText" text="transferencia">
      <formula>NOT(ISERROR(SEARCH("transferencia",C179)))</formula>
    </cfRule>
    <cfRule type="containsText" dxfId="275" priority="284" operator="containsText" text="trasnferência">
      <formula>NOT(ISERROR(SEARCH("trasnferência",C179)))</formula>
    </cfRule>
  </conditionalFormatting>
  <conditionalFormatting sqref="N532:N533">
    <cfRule type="containsText" dxfId="274" priority="280" operator="containsText" text="Cheque">
      <formula>NOT(ISERROR(SEARCH("Cheque",N532)))</formula>
    </cfRule>
    <cfRule type="containsText" dxfId="273" priority="281" operator="containsText" text="Dinheiro">
      <formula>NOT(ISERROR(SEARCH("Dinheiro",N532)))</formula>
    </cfRule>
    <cfRule type="cellIs" dxfId="272" priority="282" operator="greaterThan">
      <formula>0</formula>
    </cfRule>
  </conditionalFormatting>
  <conditionalFormatting sqref="N532:N533">
    <cfRule type="containsText" dxfId="271" priority="279" operator="containsText" text="Pix">
      <formula>NOT(ISERROR(SEARCH("Pix",N532)))</formula>
    </cfRule>
  </conditionalFormatting>
  <conditionalFormatting sqref="N532:N533">
    <cfRule type="containsText" dxfId="270" priority="277" operator="containsText" text="transferencia">
      <formula>NOT(ISERROR(SEARCH("transferencia",N532)))</formula>
    </cfRule>
    <cfRule type="containsText" dxfId="269" priority="278" operator="containsText" text="trasnferência">
      <formula>NOT(ISERROR(SEARCH("trasnferência",N532)))</formula>
    </cfRule>
  </conditionalFormatting>
  <conditionalFormatting sqref="N534">
    <cfRule type="containsText" dxfId="268" priority="274" operator="containsText" text="Cheque">
      <formula>NOT(ISERROR(SEARCH("Cheque",N534)))</formula>
    </cfRule>
    <cfRule type="containsText" dxfId="267" priority="275" operator="containsText" text="Dinheiro">
      <formula>NOT(ISERROR(SEARCH("Dinheiro",N534)))</formula>
    </cfRule>
    <cfRule type="cellIs" dxfId="266" priority="276" operator="greaterThan">
      <formula>0</formula>
    </cfRule>
  </conditionalFormatting>
  <conditionalFormatting sqref="N534">
    <cfRule type="containsText" dxfId="265" priority="273" operator="containsText" text="Pix">
      <formula>NOT(ISERROR(SEARCH("Pix",N534)))</formula>
    </cfRule>
  </conditionalFormatting>
  <conditionalFormatting sqref="N534">
    <cfRule type="containsText" dxfId="264" priority="271" operator="containsText" text="transferencia">
      <formula>NOT(ISERROR(SEARCH("transferencia",N534)))</formula>
    </cfRule>
    <cfRule type="containsText" dxfId="263" priority="272" operator="containsText" text="trasnferência">
      <formula>NOT(ISERROR(SEARCH("trasnferência",N534)))</formula>
    </cfRule>
  </conditionalFormatting>
  <conditionalFormatting sqref="O151:O152">
    <cfRule type="containsText" dxfId="262" priority="262" operator="containsText" text="Cheque">
      <formula>NOT(ISERROR(SEARCH("Cheque",O151)))</formula>
    </cfRule>
    <cfRule type="containsText" dxfId="261" priority="263" operator="containsText" text="Dinheiro">
      <formula>NOT(ISERROR(SEARCH("Dinheiro",O151)))</formula>
    </cfRule>
    <cfRule type="cellIs" dxfId="260" priority="264" operator="greaterThan">
      <formula>0</formula>
    </cfRule>
  </conditionalFormatting>
  <conditionalFormatting sqref="O151:O152">
    <cfRule type="containsText" dxfId="259" priority="261" operator="containsText" text="Pix">
      <formula>NOT(ISERROR(SEARCH("Pix",O151)))</formula>
    </cfRule>
  </conditionalFormatting>
  <conditionalFormatting sqref="O151:O152">
    <cfRule type="containsText" dxfId="258" priority="259" operator="containsText" text="transferencia">
      <formula>NOT(ISERROR(SEARCH("transferencia",O151)))</formula>
    </cfRule>
    <cfRule type="containsText" dxfId="257" priority="260" operator="containsText" text="trasnferência">
      <formula>NOT(ISERROR(SEARCH("trasnferência",O151)))</formula>
    </cfRule>
  </conditionalFormatting>
  <conditionalFormatting sqref="O275:O276">
    <cfRule type="containsText" dxfId="256" priority="256" operator="containsText" text="Cheque">
      <formula>NOT(ISERROR(SEARCH("Cheque",O275)))</formula>
    </cfRule>
    <cfRule type="containsText" dxfId="255" priority="257" operator="containsText" text="Dinheiro">
      <formula>NOT(ISERROR(SEARCH("Dinheiro",O275)))</formula>
    </cfRule>
    <cfRule type="cellIs" dxfId="254" priority="258" operator="greaterThan">
      <formula>0</formula>
    </cfRule>
  </conditionalFormatting>
  <conditionalFormatting sqref="O275:O276">
    <cfRule type="containsText" dxfId="253" priority="255" operator="containsText" text="Pix">
      <formula>NOT(ISERROR(SEARCH("Pix",O275)))</formula>
    </cfRule>
  </conditionalFormatting>
  <conditionalFormatting sqref="O275:O276">
    <cfRule type="containsText" dxfId="252" priority="253" operator="containsText" text="transferencia">
      <formula>NOT(ISERROR(SEARCH("transferencia",O275)))</formula>
    </cfRule>
    <cfRule type="containsText" dxfId="251" priority="254" operator="containsText" text="trasnferência">
      <formula>NOT(ISERROR(SEARCH("trasnferência",O275)))</formula>
    </cfRule>
  </conditionalFormatting>
  <conditionalFormatting sqref="O155:O156">
    <cfRule type="containsText" dxfId="250" priority="250" operator="containsText" text="Cheque">
      <formula>NOT(ISERROR(SEARCH("Cheque",O155)))</formula>
    </cfRule>
    <cfRule type="containsText" dxfId="249" priority="251" operator="containsText" text="Dinheiro">
      <formula>NOT(ISERROR(SEARCH("Dinheiro",O155)))</formula>
    </cfRule>
    <cfRule type="cellIs" dxfId="248" priority="252" operator="greaterThan">
      <formula>0</formula>
    </cfRule>
  </conditionalFormatting>
  <conditionalFormatting sqref="O155:O156">
    <cfRule type="containsText" dxfId="247" priority="249" operator="containsText" text="Pix">
      <formula>NOT(ISERROR(SEARCH("Pix",O155)))</formula>
    </cfRule>
  </conditionalFormatting>
  <conditionalFormatting sqref="O155:O156">
    <cfRule type="containsText" dxfId="246" priority="247" operator="containsText" text="transferencia">
      <formula>NOT(ISERROR(SEARCH("transferencia",O155)))</formula>
    </cfRule>
    <cfRule type="containsText" dxfId="245" priority="248" operator="containsText" text="trasnferência">
      <formula>NOT(ISERROR(SEARCH("trasnferência",O155)))</formula>
    </cfRule>
  </conditionalFormatting>
  <conditionalFormatting sqref="O158">
    <cfRule type="containsText" dxfId="244" priority="244" operator="containsText" text="Cheque">
      <formula>NOT(ISERROR(SEARCH("Cheque",O158)))</formula>
    </cfRule>
    <cfRule type="containsText" dxfId="243" priority="245" operator="containsText" text="Dinheiro">
      <formula>NOT(ISERROR(SEARCH("Dinheiro",O158)))</formula>
    </cfRule>
    <cfRule type="cellIs" dxfId="242" priority="246" operator="greaterThan">
      <formula>0</formula>
    </cfRule>
  </conditionalFormatting>
  <conditionalFormatting sqref="O158">
    <cfRule type="containsText" dxfId="241" priority="243" operator="containsText" text="Pix">
      <formula>NOT(ISERROR(SEARCH("Pix",O158)))</formula>
    </cfRule>
  </conditionalFormatting>
  <conditionalFormatting sqref="O158">
    <cfRule type="containsText" dxfId="240" priority="241" operator="containsText" text="transferencia">
      <formula>NOT(ISERROR(SEARCH("transferencia",O158)))</formula>
    </cfRule>
    <cfRule type="containsText" dxfId="239" priority="242" operator="containsText" text="trasnferência">
      <formula>NOT(ISERROR(SEARCH("trasnferência",O158)))</formula>
    </cfRule>
  </conditionalFormatting>
  <conditionalFormatting sqref="O130">
    <cfRule type="containsText" dxfId="238" priority="238" operator="containsText" text="Cheque">
      <formula>NOT(ISERROR(SEARCH("Cheque",O130)))</formula>
    </cfRule>
    <cfRule type="containsText" dxfId="237" priority="239" operator="containsText" text="Dinheiro">
      <formula>NOT(ISERROR(SEARCH("Dinheiro",O130)))</formula>
    </cfRule>
    <cfRule type="cellIs" dxfId="236" priority="240" operator="greaterThan">
      <formula>0</formula>
    </cfRule>
  </conditionalFormatting>
  <conditionalFormatting sqref="O130">
    <cfRule type="containsText" dxfId="235" priority="237" operator="containsText" text="Pix">
      <formula>NOT(ISERROR(SEARCH("Pix",O130)))</formula>
    </cfRule>
  </conditionalFormatting>
  <conditionalFormatting sqref="O130">
    <cfRule type="containsText" dxfId="234" priority="235" operator="containsText" text="transferencia">
      <formula>NOT(ISERROR(SEARCH("transferencia",O130)))</formula>
    </cfRule>
    <cfRule type="containsText" dxfId="233" priority="236" operator="containsText" text="trasnferência">
      <formula>NOT(ISERROR(SEARCH("trasnferência",O130)))</formula>
    </cfRule>
  </conditionalFormatting>
  <conditionalFormatting sqref="O535">
    <cfRule type="containsText" dxfId="232" priority="232" operator="containsText" text="Cheque">
      <formula>NOT(ISERROR(SEARCH("Cheque",O535)))</formula>
    </cfRule>
    <cfRule type="containsText" dxfId="231" priority="233" operator="containsText" text="Dinheiro">
      <formula>NOT(ISERROR(SEARCH("Dinheiro",O535)))</formula>
    </cfRule>
    <cfRule type="cellIs" dxfId="230" priority="234" operator="greaterThan">
      <formula>0</formula>
    </cfRule>
  </conditionalFormatting>
  <conditionalFormatting sqref="O535">
    <cfRule type="containsText" dxfId="229" priority="231" operator="containsText" text="Pix">
      <formula>NOT(ISERROR(SEARCH("Pix",O535)))</formula>
    </cfRule>
  </conditionalFormatting>
  <conditionalFormatting sqref="O535">
    <cfRule type="containsText" dxfId="228" priority="229" operator="containsText" text="transferencia">
      <formula>NOT(ISERROR(SEARCH("transferencia",O535)))</formula>
    </cfRule>
    <cfRule type="containsText" dxfId="227" priority="230" operator="containsText" text="trasnferência">
      <formula>NOT(ISERROR(SEARCH("trasnferência",O535)))</formula>
    </cfRule>
  </conditionalFormatting>
  <conditionalFormatting sqref="N535">
    <cfRule type="containsText" dxfId="226" priority="226" operator="containsText" text="Cheque">
      <formula>NOT(ISERROR(SEARCH("Cheque",N535)))</formula>
    </cfRule>
    <cfRule type="containsText" dxfId="225" priority="227" operator="containsText" text="Dinheiro">
      <formula>NOT(ISERROR(SEARCH("Dinheiro",N535)))</formula>
    </cfRule>
    <cfRule type="cellIs" dxfId="224" priority="228" operator="greaterThan">
      <formula>0</formula>
    </cfRule>
  </conditionalFormatting>
  <conditionalFormatting sqref="N535">
    <cfRule type="containsText" dxfId="223" priority="225" operator="containsText" text="Pix">
      <formula>NOT(ISERROR(SEARCH("Pix",N535)))</formula>
    </cfRule>
  </conditionalFormatting>
  <conditionalFormatting sqref="N535">
    <cfRule type="containsText" dxfId="222" priority="223" operator="containsText" text="transferencia">
      <formula>NOT(ISERROR(SEARCH("transferencia",N535)))</formula>
    </cfRule>
    <cfRule type="containsText" dxfId="221" priority="224" operator="containsText" text="trasnferência">
      <formula>NOT(ISERROR(SEARCH("trasnferência",N535)))</formula>
    </cfRule>
  </conditionalFormatting>
  <conditionalFormatting sqref="M535">
    <cfRule type="containsText" dxfId="220" priority="220" operator="containsText" text="Cheque">
      <formula>NOT(ISERROR(SEARCH("Cheque",M535)))</formula>
    </cfRule>
    <cfRule type="containsText" dxfId="219" priority="221" operator="containsText" text="Dinheiro">
      <formula>NOT(ISERROR(SEARCH("Dinheiro",M535)))</formula>
    </cfRule>
    <cfRule type="cellIs" dxfId="218" priority="222" operator="greaterThan">
      <formula>0</formula>
    </cfRule>
  </conditionalFormatting>
  <conditionalFormatting sqref="M535">
    <cfRule type="containsText" dxfId="217" priority="219" operator="containsText" text="Pix">
      <formula>NOT(ISERROR(SEARCH("Pix",M535)))</formula>
    </cfRule>
  </conditionalFormatting>
  <conditionalFormatting sqref="M535">
    <cfRule type="containsText" dxfId="216" priority="217" operator="containsText" text="transferencia">
      <formula>NOT(ISERROR(SEARCH("transferencia",M535)))</formula>
    </cfRule>
    <cfRule type="containsText" dxfId="215" priority="218" operator="containsText" text="trasnferência">
      <formula>NOT(ISERROR(SEARCH("trasnferência",M535)))</formula>
    </cfRule>
  </conditionalFormatting>
  <conditionalFormatting sqref="L535">
    <cfRule type="containsText" dxfId="214" priority="214" operator="containsText" text="Cheque">
      <formula>NOT(ISERROR(SEARCH("Cheque",L535)))</formula>
    </cfRule>
    <cfRule type="containsText" dxfId="213" priority="215" operator="containsText" text="Dinheiro">
      <formula>NOT(ISERROR(SEARCH("Dinheiro",L535)))</formula>
    </cfRule>
    <cfRule type="cellIs" dxfId="212" priority="216" operator="greaterThan">
      <formula>0</formula>
    </cfRule>
  </conditionalFormatting>
  <conditionalFormatting sqref="L535">
    <cfRule type="containsText" dxfId="211" priority="213" operator="containsText" text="Pix">
      <formula>NOT(ISERROR(SEARCH("Pix",L535)))</formula>
    </cfRule>
  </conditionalFormatting>
  <conditionalFormatting sqref="L535">
    <cfRule type="containsText" dxfId="210" priority="211" operator="containsText" text="transferencia">
      <formula>NOT(ISERROR(SEARCH("transferencia",L535)))</formula>
    </cfRule>
    <cfRule type="containsText" dxfId="209" priority="212" operator="containsText" text="trasnferência">
      <formula>NOT(ISERROR(SEARCH("trasnferência",L535)))</formula>
    </cfRule>
  </conditionalFormatting>
  <conditionalFormatting sqref="K535">
    <cfRule type="containsText" dxfId="208" priority="208" operator="containsText" text="Cheque">
      <formula>NOT(ISERROR(SEARCH("Cheque",K535)))</formula>
    </cfRule>
    <cfRule type="containsText" dxfId="207" priority="209" operator="containsText" text="Dinheiro">
      <formula>NOT(ISERROR(SEARCH("Dinheiro",K535)))</formula>
    </cfRule>
    <cfRule type="cellIs" dxfId="206" priority="210" operator="greaterThan">
      <formula>0</formula>
    </cfRule>
  </conditionalFormatting>
  <conditionalFormatting sqref="K535">
    <cfRule type="containsText" dxfId="205" priority="207" operator="containsText" text="Pix">
      <formula>NOT(ISERROR(SEARCH("Pix",K535)))</formula>
    </cfRule>
  </conditionalFormatting>
  <conditionalFormatting sqref="K535">
    <cfRule type="containsText" dxfId="204" priority="205" operator="containsText" text="transferencia">
      <formula>NOT(ISERROR(SEARCH("transferencia",K535)))</formula>
    </cfRule>
    <cfRule type="containsText" dxfId="203" priority="206" operator="containsText" text="trasnferência">
      <formula>NOT(ISERROR(SEARCH("trasnferência",K535)))</formula>
    </cfRule>
  </conditionalFormatting>
  <conditionalFormatting sqref="J535">
    <cfRule type="containsText" dxfId="202" priority="202" operator="containsText" text="Cheque">
      <formula>NOT(ISERROR(SEARCH("Cheque",J535)))</formula>
    </cfRule>
    <cfRule type="containsText" dxfId="201" priority="203" operator="containsText" text="Dinheiro">
      <formula>NOT(ISERROR(SEARCH("Dinheiro",J535)))</formula>
    </cfRule>
    <cfRule type="cellIs" dxfId="200" priority="204" operator="greaterThan">
      <formula>0</formula>
    </cfRule>
  </conditionalFormatting>
  <conditionalFormatting sqref="J535">
    <cfRule type="containsText" dxfId="199" priority="201" operator="containsText" text="Pix">
      <formula>NOT(ISERROR(SEARCH("Pix",J535)))</formula>
    </cfRule>
  </conditionalFormatting>
  <conditionalFormatting sqref="J535">
    <cfRule type="containsText" dxfId="198" priority="199" operator="containsText" text="transferencia">
      <formula>NOT(ISERROR(SEARCH("transferencia",J535)))</formula>
    </cfRule>
    <cfRule type="containsText" dxfId="197" priority="200" operator="containsText" text="trasnferência">
      <formula>NOT(ISERROR(SEARCH("trasnferência",J535)))</formula>
    </cfRule>
  </conditionalFormatting>
  <conditionalFormatting sqref="I535">
    <cfRule type="containsText" dxfId="196" priority="196" operator="containsText" text="Cheque">
      <formula>NOT(ISERROR(SEARCH("Cheque",I535)))</formula>
    </cfRule>
    <cfRule type="containsText" dxfId="195" priority="197" operator="containsText" text="Dinheiro">
      <formula>NOT(ISERROR(SEARCH("Dinheiro",I535)))</formula>
    </cfRule>
    <cfRule type="cellIs" dxfId="194" priority="198" operator="greaterThan">
      <formula>0</formula>
    </cfRule>
  </conditionalFormatting>
  <conditionalFormatting sqref="I535">
    <cfRule type="containsText" dxfId="193" priority="195" operator="containsText" text="Pix">
      <formula>NOT(ISERROR(SEARCH("Pix",I535)))</formula>
    </cfRule>
  </conditionalFormatting>
  <conditionalFormatting sqref="I535">
    <cfRule type="containsText" dxfId="192" priority="193" operator="containsText" text="transferencia">
      <formula>NOT(ISERROR(SEARCH("transferencia",I535)))</formula>
    </cfRule>
    <cfRule type="containsText" dxfId="191" priority="194" operator="containsText" text="trasnferência">
      <formula>NOT(ISERROR(SEARCH("trasnferência",I535)))</formula>
    </cfRule>
  </conditionalFormatting>
  <conditionalFormatting sqref="H535">
    <cfRule type="containsText" dxfId="190" priority="190" operator="containsText" text="Cheque">
      <formula>NOT(ISERROR(SEARCH("Cheque",H535)))</formula>
    </cfRule>
    <cfRule type="containsText" dxfId="189" priority="191" operator="containsText" text="Dinheiro">
      <formula>NOT(ISERROR(SEARCH("Dinheiro",H535)))</formula>
    </cfRule>
    <cfRule type="cellIs" dxfId="188" priority="192" operator="greaterThan">
      <formula>0</formula>
    </cfRule>
  </conditionalFormatting>
  <conditionalFormatting sqref="H535">
    <cfRule type="containsText" dxfId="187" priority="189" operator="containsText" text="Pix">
      <formula>NOT(ISERROR(SEARCH("Pix",H535)))</formula>
    </cfRule>
  </conditionalFormatting>
  <conditionalFormatting sqref="H535">
    <cfRule type="containsText" dxfId="186" priority="187" operator="containsText" text="transferencia">
      <formula>NOT(ISERROR(SEARCH("transferencia",H535)))</formula>
    </cfRule>
    <cfRule type="containsText" dxfId="185" priority="188" operator="containsText" text="trasnferência">
      <formula>NOT(ISERROR(SEARCH("trasnferência",H535)))</formula>
    </cfRule>
  </conditionalFormatting>
  <conditionalFormatting sqref="O516:O517">
    <cfRule type="containsText" dxfId="184" priority="184" operator="containsText" text="Cheque">
      <formula>NOT(ISERROR(SEARCH("Cheque",O516)))</formula>
    </cfRule>
    <cfRule type="containsText" dxfId="183" priority="185" operator="containsText" text="Dinheiro">
      <formula>NOT(ISERROR(SEARCH("Dinheiro",O516)))</formula>
    </cfRule>
    <cfRule type="cellIs" dxfId="182" priority="186" operator="greaterThan">
      <formula>0</formula>
    </cfRule>
  </conditionalFormatting>
  <conditionalFormatting sqref="O516:O517">
    <cfRule type="containsText" dxfId="181" priority="183" operator="containsText" text="Pix">
      <formula>NOT(ISERROR(SEARCH("Pix",O516)))</formula>
    </cfRule>
  </conditionalFormatting>
  <conditionalFormatting sqref="O516:O517">
    <cfRule type="containsText" dxfId="180" priority="181" operator="containsText" text="transferencia">
      <formula>NOT(ISERROR(SEARCH("transferencia",O516)))</formula>
    </cfRule>
    <cfRule type="containsText" dxfId="179" priority="182" operator="containsText" text="trasnferência">
      <formula>NOT(ISERROR(SEARCH("trasnferência",O516)))</formula>
    </cfRule>
  </conditionalFormatting>
  <conditionalFormatting sqref="O219:O220">
    <cfRule type="containsText" dxfId="178" priority="178" operator="containsText" text="Cheque">
      <formula>NOT(ISERROR(SEARCH("Cheque",O219)))</formula>
    </cfRule>
    <cfRule type="containsText" dxfId="177" priority="179" operator="containsText" text="Dinheiro">
      <formula>NOT(ISERROR(SEARCH("Dinheiro",O219)))</formula>
    </cfRule>
    <cfRule type="cellIs" dxfId="176" priority="180" operator="greaterThan">
      <formula>0</formula>
    </cfRule>
  </conditionalFormatting>
  <conditionalFormatting sqref="O219:O220">
    <cfRule type="containsText" dxfId="175" priority="177" operator="containsText" text="Pix">
      <formula>NOT(ISERROR(SEARCH("Pix",O219)))</formula>
    </cfRule>
  </conditionalFormatting>
  <conditionalFormatting sqref="O219:O220">
    <cfRule type="containsText" dxfId="174" priority="175" operator="containsText" text="transferencia">
      <formula>NOT(ISERROR(SEARCH("transferencia",O219)))</formula>
    </cfRule>
    <cfRule type="containsText" dxfId="173" priority="176" operator="containsText" text="trasnferência">
      <formula>NOT(ISERROR(SEARCH("trasnferência",O219)))</formula>
    </cfRule>
  </conditionalFormatting>
  <conditionalFormatting sqref="N263:N264">
    <cfRule type="containsText" dxfId="172" priority="172" operator="containsText" text="Cheque">
      <formula>NOT(ISERROR(SEARCH("Cheque",N263)))</formula>
    </cfRule>
    <cfRule type="containsText" dxfId="171" priority="173" operator="containsText" text="Dinheiro">
      <formula>NOT(ISERROR(SEARCH("Dinheiro",N263)))</formula>
    </cfRule>
    <cfRule type="cellIs" dxfId="170" priority="174" operator="greaterThan">
      <formula>0</formula>
    </cfRule>
  </conditionalFormatting>
  <conditionalFormatting sqref="N263:N264">
    <cfRule type="containsText" dxfId="169" priority="171" operator="containsText" text="Pix">
      <formula>NOT(ISERROR(SEARCH("Pix",N263)))</formula>
    </cfRule>
  </conditionalFormatting>
  <conditionalFormatting sqref="N263:N264">
    <cfRule type="containsText" dxfId="168" priority="169" operator="containsText" text="transferencia">
      <formula>NOT(ISERROR(SEARCH("transferencia",N263)))</formula>
    </cfRule>
    <cfRule type="containsText" dxfId="167" priority="170" operator="containsText" text="trasnferência">
      <formula>NOT(ISERROR(SEARCH("trasnferência",N263)))</formula>
    </cfRule>
  </conditionalFormatting>
  <conditionalFormatting sqref="O83:O84">
    <cfRule type="containsText" dxfId="166" priority="166" operator="containsText" text="Cheque">
      <formula>NOT(ISERROR(SEARCH("Cheque",O83)))</formula>
    </cfRule>
    <cfRule type="containsText" dxfId="165" priority="167" operator="containsText" text="Dinheiro">
      <formula>NOT(ISERROR(SEARCH("Dinheiro",O83)))</formula>
    </cfRule>
    <cfRule type="cellIs" dxfId="164" priority="168" operator="greaterThan">
      <formula>0</formula>
    </cfRule>
  </conditionalFormatting>
  <conditionalFormatting sqref="O83:O84">
    <cfRule type="containsText" dxfId="163" priority="165" operator="containsText" text="Pix">
      <formula>NOT(ISERROR(SEARCH("Pix",O83)))</formula>
    </cfRule>
  </conditionalFormatting>
  <conditionalFormatting sqref="O83:O84">
    <cfRule type="containsText" dxfId="162" priority="163" operator="containsText" text="transferencia">
      <formula>NOT(ISERROR(SEARCH("transferencia",O83)))</formula>
    </cfRule>
    <cfRule type="containsText" dxfId="161" priority="164" operator="containsText" text="trasnferência">
      <formula>NOT(ISERROR(SEARCH("trasnferência",O83)))</formula>
    </cfRule>
  </conditionalFormatting>
  <conditionalFormatting sqref="O191:O192">
    <cfRule type="containsText" dxfId="160" priority="160" operator="containsText" text="Cheque">
      <formula>NOT(ISERROR(SEARCH("Cheque",O191)))</formula>
    </cfRule>
    <cfRule type="containsText" dxfId="159" priority="161" operator="containsText" text="Dinheiro">
      <formula>NOT(ISERROR(SEARCH("Dinheiro",O191)))</formula>
    </cfRule>
    <cfRule type="cellIs" dxfId="158" priority="162" operator="greaterThan">
      <formula>0</formula>
    </cfRule>
  </conditionalFormatting>
  <conditionalFormatting sqref="O191:O192">
    <cfRule type="containsText" dxfId="157" priority="159" operator="containsText" text="Pix">
      <formula>NOT(ISERROR(SEARCH("Pix",O191)))</formula>
    </cfRule>
  </conditionalFormatting>
  <conditionalFormatting sqref="O191:O192">
    <cfRule type="containsText" dxfId="156" priority="157" operator="containsText" text="transferencia">
      <formula>NOT(ISERROR(SEARCH("transferencia",O191)))</formula>
    </cfRule>
    <cfRule type="containsText" dxfId="155" priority="158" operator="containsText" text="trasnferência">
      <formula>NOT(ISERROR(SEARCH("trasnferência",O191)))</formula>
    </cfRule>
  </conditionalFormatting>
  <conditionalFormatting sqref="N484:N485">
    <cfRule type="containsText" dxfId="154" priority="154" operator="containsText" text="Cheque">
      <formula>NOT(ISERROR(SEARCH("Cheque",N484)))</formula>
    </cfRule>
    <cfRule type="containsText" dxfId="153" priority="155" operator="containsText" text="Dinheiro">
      <formula>NOT(ISERROR(SEARCH("Dinheiro",N484)))</formula>
    </cfRule>
    <cfRule type="cellIs" dxfId="152" priority="156" operator="greaterThan">
      <formula>0</formula>
    </cfRule>
  </conditionalFormatting>
  <conditionalFormatting sqref="N484:N485">
    <cfRule type="containsText" dxfId="151" priority="153" operator="containsText" text="Pix">
      <formula>NOT(ISERROR(SEARCH("Pix",N484)))</formula>
    </cfRule>
  </conditionalFormatting>
  <conditionalFormatting sqref="N484:N485">
    <cfRule type="containsText" dxfId="150" priority="151" operator="containsText" text="transferencia">
      <formula>NOT(ISERROR(SEARCH("transferencia",N484)))</formula>
    </cfRule>
    <cfRule type="containsText" dxfId="149" priority="152" operator="containsText" text="trasnferência">
      <formula>NOT(ISERROR(SEARCH("trasnferência",N484)))</formula>
    </cfRule>
  </conditionalFormatting>
  <conditionalFormatting sqref="N487">
    <cfRule type="containsText" dxfId="148" priority="148" operator="containsText" text="Cheque">
      <formula>NOT(ISERROR(SEARCH("Cheque",N487)))</formula>
    </cfRule>
    <cfRule type="containsText" dxfId="147" priority="149" operator="containsText" text="Dinheiro">
      <formula>NOT(ISERROR(SEARCH("Dinheiro",N487)))</formula>
    </cfRule>
    <cfRule type="cellIs" dxfId="146" priority="150" operator="greaterThan">
      <formula>0</formula>
    </cfRule>
  </conditionalFormatting>
  <conditionalFormatting sqref="N487">
    <cfRule type="containsText" dxfId="145" priority="147" operator="containsText" text="Pix">
      <formula>NOT(ISERROR(SEARCH("Pix",N487)))</formula>
    </cfRule>
  </conditionalFormatting>
  <conditionalFormatting sqref="N487">
    <cfRule type="containsText" dxfId="144" priority="145" operator="containsText" text="transferencia">
      <formula>NOT(ISERROR(SEARCH("transferencia",N487)))</formula>
    </cfRule>
    <cfRule type="containsText" dxfId="143" priority="146" operator="containsText" text="trasnferência">
      <formula>NOT(ISERROR(SEARCH("trasnferência",N487)))</formula>
    </cfRule>
  </conditionalFormatting>
  <conditionalFormatting sqref="N486">
    <cfRule type="containsText" dxfId="142" priority="142" operator="containsText" text="Cheque">
      <formula>NOT(ISERROR(SEARCH("Cheque",N486)))</formula>
    </cfRule>
    <cfRule type="containsText" dxfId="141" priority="143" operator="containsText" text="Dinheiro">
      <formula>NOT(ISERROR(SEARCH("Dinheiro",N486)))</formula>
    </cfRule>
    <cfRule type="cellIs" dxfId="140" priority="144" operator="greaterThan">
      <formula>0</formula>
    </cfRule>
  </conditionalFormatting>
  <conditionalFormatting sqref="N486">
    <cfRule type="containsText" dxfId="139" priority="141" operator="containsText" text="Pix">
      <formula>NOT(ISERROR(SEARCH("Pix",N486)))</formula>
    </cfRule>
  </conditionalFormatting>
  <conditionalFormatting sqref="N486">
    <cfRule type="containsText" dxfId="138" priority="139" operator="containsText" text="transferencia">
      <formula>NOT(ISERROR(SEARCH("transferencia",N486)))</formula>
    </cfRule>
    <cfRule type="containsText" dxfId="137" priority="140" operator="containsText" text="trasnferência">
      <formula>NOT(ISERROR(SEARCH("trasnferência",N486)))</formula>
    </cfRule>
  </conditionalFormatting>
  <conditionalFormatting sqref="O460:O461">
    <cfRule type="containsText" dxfId="136" priority="130" operator="containsText" text="Cheque">
      <formula>NOT(ISERROR(SEARCH("Cheque",O460)))</formula>
    </cfRule>
    <cfRule type="containsText" dxfId="135" priority="131" operator="containsText" text="Dinheiro">
      <formula>NOT(ISERROR(SEARCH("Dinheiro",O460)))</formula>
    </cfRule>
    <cfRule type="cellIs" dxfId="134" priority="132" operator="greaterThan">
      <formula>0</formula>
    </cfRule>
  </conditionalFormatting>
  <conditionalFormatting sqref="O460:O461">
    <cfRule type="containsText" dxfId="133" priority="129" operator="containsText" text="Pix">
      <formula>NOT(ISERROR(SEARCH("Pix",O460)))</formula>
    </cfRule>
  </conditionalFormatting>
  <conditionalFormatting sqref="O460:O461">
    <cfRule type="containsText" dxfId="132" priority="127" operator="containsText" text="transferencia">
      <formula>NOT(ISERROR(SEARCH("transferencia",O460)))</formula>
    </cfRule>
    <cfRule type="containsText" dxfId="131" priority="128" operator="containsText" text="trasnferência">
      <formula>NOT(ISERROR(SEARCH("trasnferência",O460)))</formula>
    </cfRule>
  </conditionalFormatting>
  <conditionalFormatting sqref="O171:O172">
    <cfRule type="containsText" dxfId="130" priority="124" operator="containsText" text="Cheque">
      <formula>NOT(ISERROR(SEARCH("Cheque",O171)))</formula>
    </cfRule>
    <cfRule type="containsText" dxfId="129" priority="125" operator="containsText" text="Dinheiro">
      <formula>NOT(ISERROR(SEARCH("Dinheiro",O171)))</formula>
    </cfRule>
    <cfRule type="cellIs" dxfId="128" priority="126" operator="greaterThan">
      <formula>0</formula>
    </cfRule>
  </conditionalFormatting>
  <conditionalFormatting sqref="O171:O172">
    <cfRule type="containsText" dxfId="127" priority="123" operator="containsText" text="Pix">
      <formula>NOT(ISERROR(SEARCH("Pix",O171)))</formula>
    </cfRule>
  </conditionalFormatting>
  <conditionalFormatting sqref="O171:O172">
    <cfRule type="containsText" dxfId="126" priority="121" operator="containsText" text="transferencia">
      <formula>NOT(ISERROR(SEARCH("transferencia",O171)))</formula>
    </cfRule>
    <cfRule type="containsText" dxfId="125" priority="122" operator="containsText" text="trasnferência">
      <formula>NOT(ISERROR(SEARCH("trasnferência",O171)))</formula>
    </cfRule>
  </conditionalFormatting>
  <conditionalFormatting sqref="O79:O80">
    <cfRule type="containsText" dxfId="124" priority="118" operator="containsText" text="Cheque">
      <formula>NOT(ISERROR(SEARCH("Cheque",O79)))</formula>
    </cfRule>
    <cfRule type="containsText" dxfId="123" priority="119" operator="containsText" text="Dinheiro">
      <formula>NOT(ISERROR(SEARCH("Dinheiro",O79)))</formula>
    </cfRule>
    <cfRule type="cellIs" dxfId="122" priority="120" operator="greaterThan">
      <formula>0</formula>
    </cfRule>
  </conditionalFormatting>
  <conditionalFormatting sqref="O79:O80">
    <cfRule type="containsText" dxfId="121" priority="117" operator="containsText" text="Pix">
      <formula>NOT(ISERROR(SEARCH("Pix",O79)))</formula>
    </cfRule>
  </conditionalFormatting>
  <conditionalFormatting sqref="O79:O80">
    <cfRule type="containsText" dxfId="120" priority="115" operator="containsText" text="transferencia">
      <formula>NOT(ISERROR(SEARCH("transferencia",O79)))</formula>
    </cfRule>
    <cfRule type="containsText" dxfId="119" priority="116" operator="containsText" text="trasnferência">
      <formula>NOT(ISERROR(SEARCH("trasnferência",O79)))</formula>
    </cfRule>
  </conditionalFormatting>
  <conditionalFormatting sqref="O536:O537">
    <cfRule type="containsText" dxfId="118" priority="112" operator="containsText" text="Cheque">
      <formula>NOT(ISERROR(SEARCH("Cheque",O536)))</formula>
    </cfRule>
    <cfRule type="containsText" dxfId="117" priority="113" operator="containsText" text="Dinheiro">
      <formula>NOT(ISERROR(SEARCH("Dinheiro",O536)))</formula>
    </cfRule>
    <cfRule type="cellIs" dxfId="116" priority="114" operator="greaterThan">
      <formula>0</formula>
    </cfRule>
  </conditionalFormatting>
  <conditionalFormatting sqref="O536:O537">
    <cfRule type="containsText" dxfId="115" priority="111" operator="containsText" text="Pix">
      <formula>NOT(ISERROR(SEARCH("Pix",O536)))</formula>
    </cfRule>
  </conditionalFormatting>
  <conditionalFormatting sqref="O536:O537">
    <cfRule type="containsText" dxfId="114" priority="109" operator="containsText" text="transferencia">
      <formula>NOT(ISERROR(SEARCH("transferencia",O536)))</formula>
    </cfRule>
    <cfRule type="containsText" dxfId="113" priority="110" operator="containsText" text="trasnferência">
      <formula>NOT(ISERROR(SEARCH("trasnferência",O536)))</formula>
    </cfRule>
  </conditionalFormatting>
  <conditionalFormatting sqref="N363:N364">
    <cfRule type="containsText" dxfId="112" priority="106" operator="containsText" text="Cheque">
      <formula>NOT(ISERROR(SEARCH("Cheque",N363)))</formula>
    </cfRule>
    <cfRule type="containsText" dxfId="111" priority="107" operator="containsText" text="Dinheiro">
      <formula>NOT(ISERROR(SEARCH("Dinheiro",N363)))</formula>
    </cfRule>
    <cfRule type="cellIs" dxfId="110" priority="108" operator="greaterThan">
      <formula>0</formula>
    </cfRule>
  </conditionalFormatting>
  <conditionalFormatting sqref="N363:N364">
    <cfRule type="containsText" dxfId="109" priority="105" operator="containsText" text="Pix">
      <formula>NOT(ISERROR(SEARCH("Pix",N363)))</formula>
    </cfRule>
  </conditionalFormatting>
  <conditionalFormatting sqref="N363:N364">
    <cfRule type="containsText" dxfId="108" priority="103" operator="containsText" text="transferencia">
      <formula>NOT(ISERROR(SEARCH("transferencia",N363)))</formula>
    </cfRule>
    <cfRule type="containsText" dxfId="107" priority="104" operator="containsText" text="trasnferência">
      <formula>NOT(ISERROR(SEARCH("trasnferência",N363)))</formula>
    </cfRule>
  </conditionalFormatting>
  <conditionalFormatting sqref="O480:O481">
    <cfRule type="containsText" dxfId="106" priority="100" operator="containsText" text="Cheque">
      <formula>NOT(ISERROR(SEARCH("Cheque",O480)))</formula>
    </cfRule>
    <cfRule type="containsText" dxfId="105" priority="101" operator="containsText" text="Dinheiro">
      <formula>NOT(ISERROR(SEARCH("Dinheiro",O480)))</formula>
    </cfRule>
    <cfRule type="cellIs" dxfId="104" priority="102" operator="greaterThan">
      <formula>0</formula>
    </cfRule>
  </conditionalFormatting>
  <conditionalFormatting sqref="O480:O481">
    <cfRule type="containsText" dxfId="103" priority="99" operator="containsText" text="Pix">
      <formula>NOT(ISERROR(SEARCH("Pix",O480)))</formula>
    </cfRule>
  </conditionalFormatting>
  <conditionalFormatting sqref="O480:O481">
    <cfRule type="containsText" dxfId="102" priority="97" operator="containsText" text="transferencia">
      <formula>NOT(ISERROR(SEARCH("transferencia",O480)))</formula>
    </cfRule>
    <cfRule type="containsText" dxfId="101" priority="98" operator="containsText" text="trasnferência">
      <formula>NOT(ISERROR(SEARCH("trasnferência",O480)))</formula>
    </cfRule>
  </conditionalFormatting>
  <conditionalFormatting sqref="O512:O513">
    <cfRule type="containsText" dxfId="100" priority="94" operator="containsText" text="Cheque">
      <formula>NOT(ISERROR(SEARCH("Cheque",O512)))</formula>
    </cfRule>
    <cfRule type="containsText" dxfId="99" priority="95" operator="containsText" text="Dinheiro">
      <formula>NOT(ISERROR(SEARCH("Dinheiro",O512)))</formula>
    </cfRule>
    <cfRule type="cellIs" dxfId="98" priority="96" operator="greaterThan">
      <formula>0</formula>
    </cfRule>
  </conditionalFormatting>
  <conditionalFormatting sqref="O512:O513">
    <cfRule type="containsText" dxfId="97" priority="93" operator="containsText" text="Pix">
      <formula>NOT(ISERROR(SEARCH("Pix",O512)))</formula>
    </cfRule>
  </conditionalFormatting>
  <conditionalFormatting sqref="O512:O513">
    <cfRule type="containsText" dxfId="96" priority="91" operator="containsText" text="transferencia">
      <formula>NOT(ISERROR(SEARCH("transferencia",O512)))</formula>
    </cfRule>
    <cfRule type="containsText" dxfId="95" priority="92" operator="containsText" text="trasnferência">
      <formula>NOT(ISERROR(SEARCH("trasnferência",O512)))</formula>
    </cfRule>
  </conditionalFormatting>
  <conditionalFormatting sqref="O271:O272">
    <cfRule type="containsText" dxfId="94" priority="88" operator="containsText" text="Cheque">
      <formula>NOT(ISERROR(SEARCH("Cheque",O271)))</formula>
    </cfRule>
    <cfRule type="containsText" dxfId="93" priority="89" operator="containsText" text="Dinheiro">
      <formula>NOT(ISERROR(SEARCH("Dinheiro",O271)))</formula>
    </cfRule>
    <cfRule type="cellIs" dxfId="92" priority="90" operator="greaterThan">
      <formula>0</formula>
    </cfRule>
  </conditionalFormatting>
  <conditionalFormatting sqref="O271:O272">
    <cfRule type="containsText" dxfId="91" priority="87" operator="containsText" text="Pix">
      <formula>NOT(ISERROR(SEARCH("Pix",O271)))</formula>
    </cfRule>
  </conditionalFormatting>
  <conditionalFormatting sqref="O271:O272">
    <cfRule type="containsText" dxfId="90" priority="85" operator="containsText" text="transferencia">
      <formula>NOT(ISERROR(SEARCH("transferencia",O271)))</formula>
    </cfRule>
    <cfRule type="containsText" dxfId="89" priority="86" operator="containsText" text="trasnferência">
      <formula>NOT(ISERROR(SEARCH("trasnferência",O271)))</formula>
    </cfRule>
  </conditionalFormatting>
  <conditionalFormatting sqref="O243:O244">
    <cfRule type="containsText" dxfId="88" priority="82" operator="containsText" text="Cheque">
      <formula>NOT(ISERROR(SEARCH("Cheque",O243)))</formula>
    </cfRule>
    <cfRule type="containsText" dxfId="87" priority="83" operator="containsText" text="Dinheiro">
      <formula>NOT(ISERROR(SEARCH("Dinheiro",O243)))</formula>
    </cfRule>
    <cfRule type="cellIs" dxfId="86" priority="84" operator="greaterThan">
      <formula>0</formula>
    </cfRule>
  </conditionalFormatting>
  <conditionalFormatting sqref="O243:O244">
    <cfRule type="containsText" dxfId="85" priority="81" operator="containsText" text="Pix">
      <formula>NOT(ISERROR(SEARCH("Pix",O243)))</formula>
    </cfRule>
  </conditionalFormatting>
  <conditionalFormatting sqref="O243:O244">
    <cfRule type="containsText" dxfId="84" priority="79" operator="containsText" text="transferencia">
      <formula>NOT(ISERROR(SEARCH("transferencia",O243)))</formula>
    </cfRule>
    <cfRule type="containsText" dxfId="83" priority="80" operator="containsText" text="trasnferência">
      <formula>NOT(ISERROR(SEARCH("trasnferência",O243)))</formula>
    </cfRule>
  </conditionalFormatting>
  <conditionalFormatting sqref="O500:O501">
    <cfRule type="containsText" dxfId="82" priority="76" operator="containsText" text="Cheque">
      <formula>NOT(ISERROR(SEARCH("Cheque",O500)))</formula>
    </cfRule>
    <cfRule type="containsText" dxfId="81" priority="77" operator="containsText" text="Dinheiro">
      <formula>NOT(ISERROR(SEARCH("Dinheiro",O500)))</formula>
    </cfRule>
    <cfRule type="cellIs" dxfId="80" priority="78" operator="greaterThan">
      <formula>0</formula>
    </cfRule>
  </conditionalFormatting>
  <conditionalFormatting sqref="O500:O501">
    <cfRule type="containsText" dxfId="79" priority="75" operator="containsText" text="Pix">
      <formula>NOT(ISERROR(SEARCH("Pix",O500)))</formula>
    </cfRule>
  </conditionalFormatting>
  <conditionalFormatting sqref="O500:O501">
    <cfRule type="containsText" dxfId="78" priority="73" operator="containsText" text="transferencia">
      <formula>NOT(ISERROR(SEARCH("transferencia",O500)))</formula>
    </cfRule>
    <cfRule type="containsText" dxfId="77" priority="74" operator="containsText" text="trasnferência">
      <formula>NOT(ISERROR(SEARCH("trasnferência",O500)))</formula>
    </cfRule>
  </conditionalFormatting>
  <conditionalFormatting sqref="O424:O425">
    <cfRule type="containsText" dxfId="76" priority="70" operator="containsText" text="Cheque">
      <formula>NOT(ISERROR(SEARCH("Cheque",O424)))</formula>
    </cfRule>
    <cfRule type="containsText" dxfId="75" priority="71" operator="containsText" text="Dinheiro">
      <formula>NOT(ISERROR(SEARCH("Dinheiro",O424)))</formula>
    </cfRule>
    <cfRule type="cellIs" dxfId="74" priority="72" operator="greaterThan">
      <formula>0</formula>
    </cfRule>
  </conditionalFormatting>
  <conditionalFormatting sqref="O424:O425">
    <cfRule type="containsText" dxfId="73" priority="69" operator="containsText" text="Pix">
      <formula>NOT(ISERROR(SEARCH("Pix",O424)))</formula>
    </cfRule>
  </conditionalFormatting>
  <conditionalFormatting sqref="O424:O425">
    <cfRule type="containsText" dxfId="72" priority="67" operator="containsText" text="transferencia">
      <formula>NOT(ISERROR(SEARCH("transferencia",O424)))</formula>
    </cfRule>
    <cfRule type="containsText" dxfId="71" priority="68" operator="containsText" text="trasnferência">
      <formula>NOT(ISERROR(SEARCH("trasnferência",O424)))</formula>
    </cfRule>
  </conditionalFormatting>
  <conditionalFormatting sqref="O19:O20">
    <cfRule type="containsText" dxfId="70" priority="64" operator="containsText" text="Cheque">
      <formula>NOT(ISERROR(SEARCH("Cheque",O19)))</formula>
    </cfRule>
    <cfRule type="containsText" dxfId="69" priority="65" operator="containsText" text="Dinheiro">
      <formula>NOT(ISERROR(SEARCH("Dinheiro",O19)))</formula>
    </cfRule>
    <cfRule type="cellIs" dxfId="68" priority="66" operator="greaterThan">
      <formula>0</formula>
    </cfRule>
  </conditionalFormatting>
  <conditionalFormatting sqref="O19:O20">
    <cfRule type="containsText" dxfId="67" priority="63" operator="containsText" text="Pix">
      <formula>NOT(ISERROR(SEARCH("Pix",O19)))</formula>
    </cfRule>
  </conditionalFormatting>
  <conditionalFormatting sqref="O19:O20">
    <cfRule type="containsText" dxfId="66" priority="61" operator="containsText" text="transferencia">
      <formula>NOT(ISERROR(SEARCH("transferencia",O19)))</formula>
    </cfRule>
    <cfRule type="containsText" dxfId="65" priority="62" operator="containsText" text="trasnferência">
      <formula>NOT(ISERROR(SEARCH("trasnferência",O19)))</formula>
    </cfRule>
  </conditionalFormatting>
  <conditionalFormatting sqref="O123:O124">
    <cfRule type="containsText" dxfId="64" priority="58" operator="containsText" text="Cheque">
      <formula>NOT(ISERROR(SEARCH("Cheque",O123)))</formula>
    </cfRule>
    <cfRule type="containsText" dxfId="63" priority="59" operator="containsText" text="Dinheiro">
      <formula>NOT(ISERROR(SEARCH("Dinheiro",O123)))</formula>
    </cfRule>
    <cfRule type="cellIs" dxfId="62" priority="60" operator="greaterThan">
      <formula>0</formula>
    </cfRule>
  </conditionalFormatting>
  <conditionalFormatting sqref="O123:O124">
    <cfRule type="containsText" dxfId="61" priority="57" operator="containsText" text="Pix">
      <formula>NOT(ISERROR(SEARCH("Pix",O123)))</formula>
    </cfRule>
  </conditionalFormatting>
  <conditionalFormatting sqref="O123:O124">
    <cfRule type="containsText" dxfId="60" priority="55" operator="containsText" text="transferencia">
      <formula>NOT(ISERROR(SEARCH("transferencia",O123)))</formula>
    </cfRule>
    <cfRule type="containsText" dxfId="59" priority="56" operator="containsText" text="trasnferência">
      <formula>NOT(ISERROR(SEARCH("trasnferência",O123)))</formula>
    </cfRule>
  </conditionalFormatting>
  <conditionalFormatting sqref="O567:O568">
    <cfRule type="containsText" dxfId="58" priority="52" operator="containsText" text="Cheque">
      <formula>NOT(ISERROR(SEARCH("Cheque",O567)))</formula>
    </cfRule>
    <cfRule type="containsText" dxfId="57" priority="53" operator="containsText" text="Dinheiro">
      <formula>NOT(ISERROR(SEARCH("Dinheiro",O567)))</formula>
    </cfRule>
    <cfRule type="cellIs" dxfId="56" priority="54" operator="greaterThan">
      <formula>0</formula>
    </cfRule>
  </conditionalFormatting>
  <conditionalFormatting sqref="O567:O568">
    <cfRule type="containsText" dxfId="55" priority="51" operator="containsText" text="Pix">
      <formula>NOT(ISERROR(SEARCH("Pix",O567)))</formula>
    </cfRule>
  </conditionalFormatting>
  <conditionalFormatting sqref="O567:O568">
    <cfRule type="containsText" dxfId="54" priority="49" operator="containsText" text="transferencia">
      <formula>NOT(ISERROR(SEARCH("transferencia",O567)))</formula>
    </cfRule>
    <cfRule type="containsText" dxfId="53" priority="50" operator="containsText" text="trasnferência">
      <formula>NOT(ISERROR(SEARCH("trasnferência",O567)))</formula>
    </cfRule>
  </conditionalFormatting>
  <conditionalFormatting sqref="N59:N60">
    <cfRule type="containsText" dxfId="52" priority="46" operator="containsText" text="Cheque">
      <formula>NOT(ISERROR(SEARCH("Cheque",N59)))</formula>
    </cfRule>
    <cfRule type="containsText" dxfId="51" priority="47" operator="containsText" text="Dinheiro">
      <formula>NOT(ISERROR(SEARCH("Dinheiro",N59)))</formula>
    </cfRule>
    <cfRule type="cellIs" dxfId="50" priority="48" operator="greaterThan">
      <formula>0</formula>
    </cfRule>
  </conditionalFormatting>
  <conditionalFormatting sqref="N59:N60">
    <cfRule type="containsText" dxfId="49" priority="45" operator="containsText" text="Pix">
      <formula>NOT(ISERROR(SEARCH("Pix",N59)))</formula>
    </cfRule>
  </conditionalFormatting>
  <conditionalFormatting sqref="N59:N60">
    <cfRule type="containsText" dxfId="48" priority="43" operator="containsText" text="transferencia">
      <formula>NOT(ISERROR(SEARCH("transferencia",N59)))</formula>
    </cfRule>
    <cfRule type="containsText" dxfId="47" priority="44" operator="containsText" text="trasnferência">
      <formula>NOT(ISERROR(SEARCH("trasnferência",N59)))</formula>
    </cfRule>
  </conditionalFormatting>
  <conditionalFormatting sqref="N61">
    <cfRule type="containsText" dxfId="46" priority="40" operator="containsText" text="Cheque">
      <formula>NOT(ISERROR(SEARCH("Cheque",N61)))</formula>
    </cfRule>
    <cfRule type="containsText" dxfId="45" priority="41" operator="containsText" text="Dinheiro">
      <formula>NOT(ISERROR(SEARCH("Dinheiro",N61)))</formula>
    </cfRule>
    <cfRule type="cellIs" dxfId="44" priority="42" operator="greaterThan">
      <formula>0</formula>
    </cfRule>
  </conditionalFormatting>
  <conditionalFormatting sqref="N61">
    <cfRule type="containsText" dxfId="43" priority="39" operator="containsText" text="Pix">
      <formula>NOT(ISERROR(SEARCH("Pix",N61)))</formula>
    </cfRule>
  </conditionalFormatting>
  <conditionalFormatting sqref="N61">
    <cfRule type="containsText" dxfId="42" priority="37" operator="containsText" text="transferencia">
      <formula>NOT(ISERROR(SEARCH("transferencia",N61)))</formula>
    </cfRule>
    <cfRule type="containsText" dxfId="41" priority="38" operator="containsText" text="trasnferência">
      <formula>NOT(ISERROR(SEARCH("trasnferência",N61)))</formula>
    </cfRule>
  </conditionalFormatting>
  <conditionalFormatting sqref="N383:N386">
    <cfRule type="containsText" dxfId="40" priority="34" operator="containsText" text="Cheque">
      <formula>NOT(ISERROR(SEARCH("Cheque",N383)))</formula>
    </cfRule>
    <cfRule type="containsText" dxfId="39" priority="35" operator="containsText" text="Dinheiro">
      <formula>NOT(ISERROR(SEARCH("Dinheiro",N383)))</formula>
    </cfRule>
    <cfRule type="cellIs" dxfId="38" priority="36" operator="greaterThan">
      <formula>0</formula>
    </cfRule>
  </conditionalFormatting>
  <conditionalFormatting sqref="N383:N386">
    <cfRule type="containsText" dxfId="37" priority="33" operator="containsText" text="Pix">
      <formula>NOT(ISERROR(SEARCH("Pix",N383)))</formula>
    </cfRule>
  </conditionalFormatting>
  <conditionalFormatting sqref="N383:N386">
    <cfRule type="containsText" dxfId="36" priority="31" operator="containsText" text="transferencia">
      <formula>NOT(ISERROR(SEARCH("transferencia",N383)))</formula>
    </cfRule>
    <cfRule type="containsText" dxfId="35" priority="32" operator="containsText" text="trasnferência">
      <formula>NOT(ISERROR(SEARCH("trasnferência",N383)))</formula>
    </cfRule>
  </conditionalFormatting>
  <conditionalFormatting sqref="N122">
    <cfRule type="containsText" dxfId="34" priority="28" operator="containsText" text="Cheque">
      <formula>NOT(ISERROR(SEARCH("Cheque",N122)))</formula>
    </cfRule>
    <cfRule type="containsText" dxfId="33" priority="29" operator="containsText" text="Dinheiro">
      <formula>NOT(ISERROR(SEARCH("Dinheiro",N122)))</formula>
    </cfRule>
    <cfRule type="cellIs" dxfId="32" priority="30" operator="greaterThan">
      <formula>0</formula>
    </cfRule>
  </conditionalFormatting>
  <conditionalFormatting sqref="N122">
    <cfRule type="containsText" dxfId="31" priority="27" operator="containsText" text="Pix">
      <formula>NOT(ISERROR(SEARCH("Pix",N122)))</formula>
    </cfRule>
  </conditionalFormatting>
  <conditionalFormatting sqref="N122">
    <cfRule type="containsText" dxfId="30" priority="25" operator="containsText" text="transferencia">
      <formula>NOT(ISERROR(SEARCH("transferencia",N122)))</formula>
    </cfRule>
    <cfRule type="containsText" dxfId="29" priority="26" operator="containsText" text="trasnferência">
      <formula>NOT(ISERROR(SEARCH("trasnferência",N122)))</formula>
    </cfRule>
  </conditionalFormatting>
  <conditionalFormatting sqref="D532:D535">
    <cfRule type="containsText" dxfId="28" priority="22" operator="containsText" text="Cheque">
      <formula>NOT(ISERROR(SEARCH("Cheque",D532)))</formula>
    </cfRule>
    <cfRule type="containsText" dxfId="27" priority="23" operator="containsText" text="Dinheiro">
      <formula>NOT(ISERROR(SEARCH("Dinheiro",D532)))</formula>
    </cfRule>
    <cfRule type="cellIs" dxfId="26" priority="24" operator="greaterThan">
      <formula>0</formula>
    </cfRule>
  </conditionalFormatting>
  <conditionalFormatting sqref="D532:D535">
    <cfRule type="containsText" dxfId="25" priority="21" operator="containsText" text="Pix">
      <formula>NOT(ISERROR(SEARCH("Pix",D532)))</formula>
    </cfRule>
  </conditionalFormatting>
  <conditionalFormatting sqref="D532:D535">
    <cfRule type="containsText" dxfId="24" priority="19" operator="containsText" text="transferencia">
      <formula>NOT(ISERROR(SEARCH("transferencia",D532)))</formula>
    </cfRule>
    <cfRule type="containsText" dxfId="23" priority="20" operator="containsText" text="trasnferência">
      <formula>NOT(ISERROR(SEARCH("trasnferência",D532)))</formula>
    </cfRule>
  </conditionalFormatting>
  <conditionalFormatting sqref="N504:N505">
    <cfRule type="containsText" dxfId="22" priority="16" operator="containsText" text="Cheque">
      <formula>NOT(ISERROR(SEARCH("Cheque",N504)))</formula>
    </cfRule>
    <cfRule type="containsText" dxfId="21" priority="17" operator="containsText" text="Dinheiro">
      <formula>NOT(ISERROR(SEARCH("Dinheiro",N504)))</formula>
    </cfRule>
    <cfRule type="cellIs" dxfId="20" priority="18" operator="greaterThan">
      <formula>0</formula>
    </cfRule>
  </conditionalFormatting>
  <conditionalFormatting sqref="N504:N505">
    <cfRule type="containsText" dxfId="19" priority="15" operator="containsText" text="Pix">
      <formula>NOT(ISERROR(SEARCH("Pix",N504)))</formula>
    </cfRule>
  </conditionalFormatting>
  <conditionalFormatting sqref="N504:N505">
    <cfRule type="containsText" dxfId="18" priority="13" operator="containsText" text="transferencia">
      <formula>NOT(ISERROR(SEARCH("transferencia",N504)))</formula>
    </cfRule>
    <cfRule type="containsText" dxfId="17" priority="14" operator="containsText" text="trasnferência">
      <formula>NOT(ISERROR(SEARCH("trasnferência",N504)))</formula>
    </cfRule>
  </conditionalFormatting>
  <conditionalFormatting sqref="N506">
    <cfRule type="containsText" dxfId="16" priority="10" operator="containsText" text="Cheque">
      <formula>NOT(ISERROR(SEARCH("Cheque",N506)))</formula>
    </cfRule>
    <cfRule type="containsText" dxfId="15" priority="11" operator="containsText" text="Dinheiro">
      <formula>NOT(ISERROR(SEARCH("Dinheiro",N506)))</formula>
    </cfRule>
    <cfRule type="cellIs" dxfId="14" priority="12" operator="greaterThan">
      <formula>0</formula>
    </cfRule>
  </conditionalFormatting>
  <conditionalFormatting sqref="N506">
    <cfRule type="containsText" dxfId="13" priority="9" operator="containsText" text="Pix">
      <formula>NOT(ISERROR(SEARCH("Pix",N506)))</formula>
    </cfRule>
  </conditionalFormatting>
  <conditionalFormatting sqref="N506">
    <cfRule type="containsText" dxfId="12" priority="7" operator="containsText" text="transferencia">
      <formula>NOT(ISERROR(SEARCH("transferencia",N506)))</formula>
    </cfRule>
    <cfRule type="containsText" dxfId="11" priority="8" operator="containsText" text="trasnferência">
      <formula>NOT(ISERROR(SEARCH("trasnferência",N506)))</formula>
    </cfRule>
  </conditionalFormatting>
  <conditionalFormatting sqref="N507">
    <cfRule type="containsText" dxfId="10" priority="4" operator="containsText" text="Cheque">
      <formula>NOT(ISERROR(SEARCH("Cheque",N507)))</formula>
    </cfRule>
    <cfRule type="containsText" dxfId="9" priority="5" operator="containsText" text="Dinheiro">
      <formula>NOT(ISERROR(SEARCH("Dinheiro",N507)))</formula>
    </cfRule>
    <cfRule type="cellIs" dxfId="8" priority="6" operator="greaterThan">
      <formula>0</formula>
    </cfRule>
  </conditionalFormatting>
  <conditionalFormatting sqref="N507">
    <cfRule type="containsText" dxfId="7" priority="3" operator="containsText" text="Pix">
      <formula>NOT(ISERROR(SEARCH("Pix",N507)))</formula>
    </cfRule>
  </conditionalFormatting>
  <conditionalFormatting sqref="N507">
    <cfRule type="containsText" dxfId="6" priority="1" operator="containsText" text="transferencia">
      <formula>NOT(ISERROR(SEARCH("transferencia",N507)))</formula>
    </cfRule>
    <cfRule type="containsText" dxfId="5" priority="2" operator="containsText" text="trasnferência">
      <formula>NOT(ISERROR(SEARCH("trasnferência",N507)))</formula>
    </cfRule>
  </conditionalFormatting>
  <hyperlinks>
    <hyperlink ref="F1" location="'2022'!A1" display="'2022'!A1" xr:uid="{00000000-0004-0000-1100-000000000000}"/>
    <hyperlink ref="H1" location="'2023'!A1" display="'2023'!A1" xr:uid="{00000000-0004-0000-1100-000001000000}"/>
    <hyperlink ref="D1" location="'2021'!A1" display="'2021'!A1" xr:uid="{00000000-0004-0000-1100-000002000000}"/>
    <hyperlink ref="A1:B1" location="dashboard!A1" display="DASHBOARD" xr:uid="{00000000-0004-0000-1100-000003000000}"/>
    <hyperlink ref="J1" location="'2024'!A1" display="'2024'!A1" xr:uid="{00000000-0004-0000-1100-000004000000}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/>
  <dimension ref="A1:M23"/>
  <sheetViews>
    <sheetView workbookViewId="0">
      <pane ySplit="1" topLeftCell="A17" activePane="bottomLeft" state="frozen"/>
      <selection pane="bottomLeft" sqref="A1:C1"/>
    </sheetView>
  </sheetViews>
  <sheetFormatPr defaultRowHeight="15"/>
  <cols>
    <col min="2" max="2" width="12.140625" style="50" bestFit="1" customWidth="1"/>
    <col min="5" max="5" width="12.140625" style="50" bestFit="1" customWidth="1"/>
    <col min="6" max="6" width="13.28515625" bestFit="1" customWidth="1"/>
    <col min="8" max="8" width="12.140625" style="50" bestFit="1" customWidth="1"/>
    <col min="9" max="9" width="7.28515625" customWidth="1"/>
    <col min="10" max="10" width="14" customWidth="1"/>
    <col min="12" max="12" width="6.42578125" customWidth="1"/>
    <col min="13" max="13" width="9.140625" hidden="1" customWidth="1"/>
  </cols>
  <sheetData>
    <row r="1" spans="1:13" s="142" customFormat="1" ht="22.5" customHeight="1" thickBot="1">
      <c r="A1" s="679" t="s">
        <v>406</v>
      </c>
      <c r="B1" s="679"/>
      <c r="C1" s="679"/>
      <c r="D1" s="140"/>
      <c r="E1" s="141">
        <v>2021</v>
      </c>
      <c r="G1" s="679">
        <v>2022</v>
      </c>
      <c r="H1" s="679"/>
      <c r="I1" s="679"/>
      <c r="K1" s="679">
        <v>2023</v>
      </c>
      <c r="L1" s="679"/>
      <c r="M1" s="679"/>
    </row>
    <row r="2" spans="1:13">
      <c r="F2" t="s">
        <v>308</v>
      </c>
    </row>
    <row r="3" spans="1:13">
      <c r="A3" s="68">
        <v>42856</v>
      </c>
      <c r="B3" s="69">
        <v>300</v>
      </c>
      <c r="D3" s="68">
        <v>44197</v>
      </c>
      <c r="E3" s="69">
        <v>350</v>
      </c>
      <c r="G3" s="49">
        <v>44562</v>
      </c>
      <c r="H3" s="50">
        <v>385</v>
      </c>
    </row>
    <row r="4" spans="1:13">
      <c r="A4" s="68">
        <v>43922</v>
      </c>
      <c r="B4" s="69">
        <v>335</v>
      </c>
      <c r="D4" s="68">
        <v>44228</v>
      </c>
      <c r="E4" s="69">
        <v>350</v>
      </c>
      <c r="G4" s="49">
        <v>44593</v>
      </c>
      <c r="H4" s="50">
        <v>385</v>
      </c>
    </row>
    <row r="5" spans="1:13">
      <c r="A5" s="68">
        <v>43952</v>
      </c>
      <c r="B5" s="69">
        <v>335</v>
      </c>
      <c r="D5" s="68">
        <v>44256</v>
      </c>
      <c r="E5" s="69">
        <v>350</v>
      </c>
      <c r="G5" s="49">
        <v>44621</v>
      </c>
      <c r="H5" s="50">
        <v>385</v>
      </c>
    </row>
    <row r="6" spans="1:13">
      <c r="A6" s="68">
        <v>43983</v>
      </c>
      <c r="B6" s="69">
        <v>335</v>
      </c>
      <c r="D6" s="68">
        <v>44287</v>
      </c>
      <c r="E6" s="69">
        <v>350</v>
      </c>
      <c r="G6" s="49">
        <v>44652</v>
      </c>
      <c r="H6" s="50">
        <v>385</v>
      </c>
    </row>
    <row r="7" spans="1:13">
      <c r="A7" s="68">
        <v>44013</v>
      </c>
      <c r="B7" s="69">
        <v>335</v>
      </c>
      <c r="D7" s="68">
        <v>44317</v>
      </c>
      <c r="E7" s="69">
        <v>350</v>
      </c>
      <c r="G7" s="49">
        <v>44682</v>
      </c>
      <c r="H7" s="50">
        <v>385</v>
      </c>
    </row>
    <row r="8" spans="1:13">
      <c r="A8" s="68">
        <v>44044</v>
      </c>
      <c r="B8" s="69">
        <v>335</v>
      </c>
      <c r="D8" s="68">
        <v>44348</v>
      </c>
      <c r="E8" s="69">
        <v>350</v>
      </c>
      <c r="G8" s="49">
        <v>44713</v>
      </c>
      <c r="H8" s="50">
        <v>385</v>
      </c>
    </row>
    <row r="9" spans="1:13">
      <c r="A9" s="68">
        <v>44075</v>
      </c>
      <c r="B9" s="69">
        <v>335</v>
      </c>
      <c r="D9" s="68">
        <v>44378</v>
      </c>
      <c r="E9" s="69">
        <v>350</v>
      </c>
      <c r="G9" s="49">
        <v>44743</v>
      </c>
      <c r="H9" s="50">
        <v>385</v>
      </c>
    </row>
    <row r="10" spans="1:13">
      <c r="A10" s="68">
        <v>44105</v>
      </c>
      <c r="B10" s="69">
        <v>335</v>
      </c>
      <c r="D10" s="68">
        <v>44409</v>
      </c>
      <c r="E10" s="69">
        <v>350</v>
      </c>
      <c r="G10" s="49">
        <v>44774</v>
      </c>
      <c r="H10" s="50">
        <v>385</v>
      </c>
    </row>
    <row r="11" spans="1:13">
      <c r="A11" s="68">
        <v>44136</v>
      </c>
      <c r="B11" s="69">
        <v>670</v>
      </c>
      <c r="D11" s="68">
        <v>44440</v>
      </c>
      <c r="E11" s="69">
        <v>350</v>
      </c>
      <c r="G11" s="49">
        <v>44805</v>
      </c>
      <c r="H11" s="50">
        <v>385</v>
      </c>
    </row>
    <row r="12" spans="1:13">
      <c r="A12" s="68">
        <v>44166</v>
      </c>
      <c r="B12" s="69">
        <v>335</v>
      </c>
      <c r="D12" s="49">
        <v>44470</v>
      </c>
      <c r="E12" s="50">
        <v>350</v>
      </c>
      <c r="F12" s="50">
        <v>36.32</v>
      </c>
    </row>
    <row r="13" spans="1:13">
      <c r="D13" s="49">
        <v>44501</v>
      </c>
      <c r="E13" s="50">
        <v>700</v>
      </c>
      <c r="F13" s="50">
        <v>700</v>
      </c>
    </row>
    <row r="14" spans="1:13">
      <c r="D14" s="49">
        <v>44531</v>
      </c>
      <c r="E14" s="50">
        <v>350</v>
      </c>
      <c r="F14" s="50">
        <v>350</v>
      </c>
    </row>
    <row r="15" spans="1:13">
      <c r="B15" s="50">
        <f>SUM(B3:B14)</f>
        <v>3650</v>
      </c>
      <c r="D15" s="49"/>
      <c r="E15" s="50">
        <f>SUM(E3:E14)</f>
        <v>4550</v>
      </c>
      <c r="F15" s="50">
        <f>F12+F13+F14</f>
        <v>1086.3200000000002</v>
      </c>
      <c r="H15" s="50">
        <f>SUM(H3:H14)</f>
        <v>3465</v>
      </c>
      <c r="I15" s="143">
        <f>F15+H15</f>
        <v>4551.32</v>
      </c>
    </row>
    <row r="16" spans="1:13">
      <c r="D16" s="49"/>
    </row>
    <row r="17" spans="1:6">
      <c r="A17" s="681" t="s">
        <v>131</v>
      </c>
      <c r="B17" s="681"/>
      <c r="C17" s="681"/>
      <c r="D17" s="681"/>
      <c r="E17" s="681"/>
      <c r="F17" s="51">
        <f>SUM(15:15)</f>
        <v>17302.64</v>
      </c>
    </row>
    <row r="19" spans="1:6">
      <c r="A19" s="680" t="s">
        <v>284</v>
      </c>
      <c r="B19" s="680"/>
      <c r="C19" s="680"/>
      <c r="D19" s="52">
        <v>44572</v>
      </c>
      <c r="E19" s="51">
        <v>2636.68</v>
      </c>
    </row>
    <row r="20" spans="1:6">
      <c r="A20" s="680"/>
      <c r="B20" s="680"/>
      <c r="C20" s="680"/>
      <c r="D20" s="52">
        <v>44584</v>
      </c>
      <c r="E20" s="51">
        <v>500</v>
      </c>
    </row>
    <row r="21" spans="1:6">
      <c r="A21" s="680"/>
      <c r="B21" s="680"/>
      <c r="C21" s="680"/>
      <c r="D21" s="52">
        <v>44592</v>
      </c>
      <c r="E21" s="51">
        <v>800</v>
      </c>
    </row>
    <row r="22" spans="1:6">
      <c r="A22" s="680"/>
      <c r="B22" s="680"/>
      <c r="C22" s="680"/>
      <c r="D22" s="52">
        <v>44658</v>
      </c>
      <c r="E22" s="51">
        <v>3966.42</v>
      </c>
    </row>
    <row r="23" spans="1:6">
      <c r="A23" s="682" t="s">
        <v>131</v>
      </c>
      <c r="B23" s="683"/>
      <c r="C23" s="683"/>
      <c r="D23" s="684"/>
      <c r="E23" s="51">
        <f>SUM(E19:E22)</f>
        <v>7903.1</v>
      </c>
    </row>
  </sheetData>
  <mergeCells count="6">
    <mergeCell ref="K1:M1"/>
    <mergeCell ref="A1:C1"/>
    <mergeCell ref="A19:C22"/>
    <mergeCell ref="A17:E17"/>
    <mergeCell ref="A23:D23"/>
    <mergeCell ref="G1:I1"/>
  </mergeCells>
  <hyperlinks>
    <hyperlink ref="A1:C1" location="dashboard!A1" display="RETONAR AO DASHBOARD" xr:uid="{00000000-0004-0000-1200-000000000000}"/>
    <hyperlink ref="G1:I1" location="'2022'!A1" display="'2022'!A1" xr:uid="{00000000-0004-0000-1200-000001000000}"/>
    <hyperlink ref="K1:M1" location="'2023'!A1" display="'2023'!A1" xr:uid="{00000000-0004-0000-1200-000002000000}"/>
    <hyperlink ref="E1" location="'2021'!A1" display="'2021'!A1" xr:uid="{00000000-0004-0000-1200-000003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/>
  <dimension ref="A1:L12"/>
  <sheetViews>
    <sheetView workbookViewId="0">
      <pane ySplit="1" topLeftCell="A2" activePane="bottomLeft" state="frozen"/>
      <selection pane="bottomLeft" sqref="A1:C1"/>
    </sheetView>
  </sheetViews>
  <sheetFormatPr defaultColWidth="9.140625" defaultRowHeight="15"/>
  <cols>
    <col min="1" max="1" width="7.5703125" style="5" customWidth="1"/>
    <col min="2" max="2" width="13.7109375" style="5" customWidth="1"/>
    <col min="3" max="3" width="32" style="5" customWidth="1"/>
    <col min="4" max="4" width="36" style="5" customWidth="1"/>
    <col min="5" max="5" width="2.28515625" style="5" customWidth="1"/>
    <col min="6" max="6" width="9.140625" style="5"/>
    <col min="7" max="7" width="3.140625" style="5" customWidth="1"/>
    <col min="8" max="8" width="9.140625" style="5" hidden="1" customWidth="1"/>
    <col min="9" max="9" width="9.140625" style="5"/>
    <col min="10" max="10" width="4.5703125" style="5" customWidth="1"/>
    <col min="11" max="11" width="9.140625" style="5" hidden="1" customWidth="1"/>
    <col min="12" max="12" width="5.5703125" style="5" customWidth="1"/>
    <col min="13" max="16384" width="9.140625" style="5"/>
  </cols>
  <sheetData>
    <row r="1" spans="1:12" s="142" customFormat="1" ht="22.5" customHeight="1" thickBot="1">
      <c r="A1" s="679" t="s">
        <v>406</v>
      </c>
      <c r="B1" s="679"/>
      <c r="C1" s="679"/>
      <c r="D1" s="141">
        <v>2021</v>
      </c>
      <c r="F1" s="679">
        <v>2022</v>
      </c>
      <c r="G1" s="679"/>
      <c r="H1" s="679"/>
      <c r="J1" s="679">
        <v>2023</v>
      </c>
      <c r="K1" s="679"/>
      <c r="L1" s="679"/>
    </row>
    <row r="3" spans="1:12">
      <c r="B3" s="54"/>
      <c r="C3" s="55">
        <v>2021</v>
      </c>
      <c r="D3" s="55">
        <v>2022</v>
      </c>
    </row>
    <row r="4" spans="1:12">
      <c r="B4" s="685" t="s">
        <v>287</v>
      </c>
      <c r="C4" s="56">
        <v>1240</v>
      </c>
      <c r="D4" s="56">
        <v>3410</v>
      </c>
    </row>
    <row r="5" spans="1:12">
      <c r="B5" s="685"/>
      <c r="C5" s="54" t="s">
        <v>289</v>
      </c>
      <c r="D5" s="54" t="s">
        <v>293</v>
      </c>
    </row>
    <row r="6" spans="1:12">
      <c r="B6" s="685"/>
      <c r="C6" s="54" t="s">
        <v>290</v>
      </c>
      <c r="D6" s="54" t="s">
        <v>294</v>
      </c>
    </row>
    <row r="7" spans="1:12">
      <c r="B7" s="685" t="s">
        <v>41</v>
      </c>
      <c r="C7" s="56">
        <v>8260</v>
      </c>
      <c r="D7" s="56">
        <v>1150</v>
      </c>
    </row>
    <row r="8" spans="1:12">
      <c r="B8" s="685"/>
      <c r="C8" s="54" t="s">
        <v>291</v>
      </c>
      <c r="D8" s="54" t="s">
        <v>295</v>
      </c>
    </row>
    <row r="9" spans="1:12">
      <c r="B9" s="685"/>
      <c r="C9" s="54" t="s">
        <v>290</v>
      </c>
      <c r="D9" s="54" t="s">
        <v>296</v>
      </c>
    </row>
    <row r="10" spans="1:12">
      <c r="B10" s="685" t="s">
        <v>288</v>
      </c>
      <c r="C10" s="56">
        <v>3450</v>
      </c>
      <c r="D10" s="56">
        <v>2530</v>
      </c>
    </row>
    <row r="11" spans="1:12">
      <c r="B11" s="685"/>
      <c r="C11" s="54" t="s">
        <v>292</v>
      </c>
      <c r="D11" s="54" t="s">
        <v>297</v>
      </c>
    </row>
    <row r="12" spans="1:12">
      <c r="B12" s="685"/>
      <c r="C12" s="54"/>
      <c r="D12" s="54" t="s">
        <v>294</v>
      </c>
    </row>
  </sheetData>
  <mergeCells count="6">
    <mergeCell ref="J1:L1"/>
    <mergeCell ref="A1:C1"/>
    <mergeCell ref="B4:B6"/>
    <mergeCell ref="B7:B9"/>
    <mergeCell ref="B10:B12"/>
    <mergeCell ref="F1:H1"/>
  </mergeCells>
  <hyperlinks>
    <hyperlink ref="A1:C1" location="dashboard!A1" display="RETONAR AO DASHBOARD" xr:uid="{00000000-0004-0000-1300-000000000000}"/>
    <hyperlink ref="F1:H1" location="'2022'!A1" display="'2022'!A1" xr:uid="{00000000-0004-0000-1300-000001000000}"/>
    <hyperlink ref="J1:L1" location="'2023'!A1" display="'2023'!A1" xr:uid="{00000000-0004-0000-1300-000002000000}"/>
    <hyperlink ref="D1" location="'2021'!A1" display="'2021'!A1" xr:uid="{00000000-0004-0000-1300-000003000000}"/>
  </hyperlink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/>
  <dimension ref="A1:M112"/>
  <sheetViews>
    <sheetView zoomScale="82" zoomScaleNormal="82" workbookViewId="0">
      <pane ySplit="1" topLeftCell="A2" activePane="bottomLeft" state="frozen"/>
      <selection pane="bottomLeft" sqref="A1:XFD1"/>
    </sheetView>
  </sheetViews>
  <sheetFormatPr defaultRowHeight="15"/>
  <cols>
    <col min="1" max="1" width="17.140625" style="5" customWidth="1"/>
    <col min="2" max="2" width="18" style="53" customWidth="1"/>
    <col min="3" max="3" width="1.42578125" customWidth="1"/>
    <col min="4" max="4" width="4.7109375" customWidth="1"/>
    <col min="5" max="5" width="31.5703125" customWidth="1"/>
    <col min="6" max="6" width="15.42578125" customWidth="1"/>
    <col min="10" max="10" width="13.140625" style="5" customWidth="1"/>
  </cols>
  <sheetData>
    <row r="1" spans="1:13" s="142" customFormat="1" ht="22.5" customHeight="1" thickBot="1">
      <c r="A1" s="679" t="s">
        <v>406</v>
      </c>
      <c r="B1" s="679"/>
      <c r="C1" s="679"/>
      <c r="D1" s="140"/>
      <c r="E1" s="141">
        <v>2021</v>
      </c>
      <c r="G1" s="679">
        <v>2022</v>
      </c>
      <c r="H1" s="679"/>
      <c r="I1" s="679"/>
      <c r="K1" s="679">
        <v>2023</v>
      </c>
      <c r="L1" s="679"/>
      <c r="M1" s="679"/>
    </row>
    <row r="2" spans="1:13">
      <c r="A2" s="54">
        <v>2019</v>
      </c>
      <c r="B2" s="57">
        <v>4107</v>
      </c>
      <c r="H2" s="688" t="s">
        <v>309</v>
      </c>
      <c r="I2" s="688"/>
      <c r="J2" s="688"/>
      <c r="K2" s="688"/>
    </row>
    <row r="3" spans="1:13">
      <c r="A3" s="54">
        <v>2020</v>
      </c>
      <c r="B3" s="57">
        <v>13000</v>
      </c>
      <c r="E3" s="47" t="s">
        <v>299</v>
      </c>
      <c r="F3" s="48">
        <v>1200</v>
      </c>
      <c r="H3" s="688"/>
      <c r="I3" s="688"/>
      <c r="J3" s="688"/>
      <c r="K3" s="688"/>
    </row>
    <row r="4" spans="1:13">
      <c r="A4" s="54">
        <v>2021</v>
      </c>
      <c r="B4" s="57">
        <v>18360</v>
      </c>
      <c r="E4" s="59" t="s">
        <v>300</v>
      </c>
      <c r="F4" s="60">
        <v>1200</v>
      </c>
      <c r="H4" s="688"/>
      <c r="I4" s="688"/>
      <c r="J4" s="688"/>
      <c r="K4" s="688"/>
    </row>
    <row r="5" spans="1:13">
      <c r="A5" s="54" t="s">
        <v>1040</v>
      </c>
      <c r="B5" s="57">
        <v>12500</v>
      </c>
      <c r="H5" s="688"/>
      <c r="I5" s="688"/>
      <c r="J5" s="688"/>
      <c r="K5" s="688"/>
    </row>
    <row r="6" spans="1:13">
      <c r="A6" s="55" t="s">
        <v>131</v>
      </c>
      <c r="B6" s="58">
        <f>SUM(B2:B5)</f>
        <v>47967</v>
      </c>
    </row>
    <row r="8" spans="1:13" ht="18.75">
      <c r="A8" s="685" t="s">
        <v>298</v>
      </c>
      <c r="B8" s="685"/>
      <c r="E8" s="62" t="s">
        <v>307</v>
      </c>
      <c r="G8" s="482" t="s">
        <v>306</v>
      </c>
      <c r="H8" s="482"/>
      <c r="I8" s="482"/>
    </row>
    <row r="9" spans="1:13" ht="18.75">
      <c r="A9" s="64">
        <v>44824</v>
      </c>
      <c r="B9" s="67">
        <v>1000</v>
      </c>
      <c r="C9" s="61">
        <f>SUM(B9:B209)</f>
        <v>3000</v>
      </c>
      <c r="E9" s="63">
        <f>B6-C9</f>
        <v>44967</v>
      </c>
      <c r="G9" s="66">
        <v>44805</v>
      </c>
      <c r="H9" s="687">
        <v>1540</v>
      </c>
      <c r="I9" s="687"/>
      <c r="J9" s="70">
        <v>44845</v>
      </c>
    </row>
    <row r="10" spans="1:13">
      <c r="A10" s="64">
        <v>44831</v>
      </c>
      <c r="B10" s="67">
        <v>1000</v>
      </c>
      <c r="G10" s="66">
        <v>44835</v>
      </c>
      <c r="H10" s="687">
        <v>1540</v>
      </c>
      <c r="I10" s="687"/>
      <c r="J10" s="70">
        <v>44881</v>
      </c>
    </row>
    <row r="11" spans="1:13">
      <c r="A11" s="64">
        <v>44865</v>
      </c>
      <c r="B11" s="67">
        <v>1000</v>
      </c>
      <c r="G11" s="66">
        <v>44866</v>
      </c>
      <c r="H11" s="687">
        <v>1540</v>
      </c>
      <c r="I11" s="687"/>
      <c r="J11" s="70">
        <v>44925</v>
      </c>
    </row>
    <row r="12" spans="1:13">
      <c r="A12" s="54"/>
      <c r="B12" s="57"/>
      <c r="G12" s="66">
        <v>44896</v>
      </c>
      <c r="H12" s="687">
        <v>1540</v>
      </c>
      <c r="I12" s="687"/>
      <c r="J12" s="95">
        <v>44981</v>
      </c>
    </row>
    <row r="13" spans="1:13">
      <c r="A13" s="54"/>
      <c r="B13" s="57"/>
      <c r="G13" s="66">
        <v>44927</v>
      </c>
      <c r="H13" s="687">
        <v>1655</v>
      </c>
      <c r="I13" s="687"/>
      <c r="J13" s="95">
        <v>45028</v>
      </c>
    </row>
    <row r="14" spans="1:13">
      <c r="A14" s="54"/>
      <c r="B14" s="57"/>
      <c r="G14" s="66">
        <v>44958</v>
      </c>
      <c r="H14" s="687">
        <v>1655</v>
      </c>
      <c r="I14" s="687"/>
      <c r="J14" s="95">
        <v>45070</v>
      </c>
    </row>
    <row r="15" spans="1:13">
      <c r="A15" s="54"/>
      <c r="B15" s="57"/>
      <c r="G15" s="66">
        <v>44986</v>
      </c>
      <c r="H15" s="686">
        <v>1655</v>
      </c>
      <c r="I15" s="686"/>
    </row>
    <row r="16" spans="1:13">
      <c r="A16" s="54"/>
      <c r="B16" s="57"/>
      <c r="G16" s="66">
        <v>45017</v>
      </c>
      <c r="H16" s="686"/>
      <c r="I16" s="686"/>
    </row>
    <row r="17" spans="1:9">
      <c r="A17" s="54"/>
      <c r="B17" s="57"/>
      <c r="G17" s="66">
        <v>45047</v>
      </c>
      <c r="H17" s="686"/>
      <c r="I17" s="686"/>
    </row>
    <row r="18" spans="1:9">
      <c r="A18" s="54"/>
      <c r="B18" s="57"/>
      <c r="G18" s="66">
        <v>45078</v>
      </c>
      <c r="H18" s="686"/>
      <c r="I18" s="686"/>
    </row>
    <row r="19" spans="1:9">
      <c r="A19" s="54"/>
      <c r="B19" s="57"/>
      <c r="G19" s="66">
        <v>45108</v>
      </c>
      <c r="H19" s="686"/>
      <c r="I19" s="686"/>
    </row>
    <row r="20" spans="1:9">
      <c r="A20" s="54"/>
      <c r="B20" s="57"/>
      <c r="G20" s="66">
        <v>45139</v>
      </c>
      <c r="H20" s="686"/>
      <c r="I20" s="686"/>
    </row>
    <row r="21" spans="1:9">
      <c r="A21" s="54"/>
      <c r="B21" s="57"/>
      <c r="G21" s="66">
        <v>45170</v>
      </c>
      <c r="H21" s="686"/>
      <c r="I21" s="686"/>
    </row>
    <row r="22" spans="1:9">
      <c r="A22" s="54"/>
      <c r="B22" s="57"/>
      <c r="G22" s="66">
        <v>45200</v>
      </c>
      <c r="H22" s="686"/>
      <c r="I22" s="686"/>
    </row>
    <row r="23" spans="1:9">
      <c r="A23" s="54"/>
      <c r="B23" s="57"/>
      <c r="G23" s="66">
        <v>45231</v>
      </c>
      <c r="H23" s="686"/>
      <c r="I23" s="686"/>
    </row>
    <row r="24" spans="1:9">
      <c r="A24" s="54"/>
      <c r="B24" s="57"/>
      <c r="G24" s="66">
        <v>45261</v>
      </c>
      <c r="H24" s="686"/>
      <c r="I24" s="686"/>
    </row>
    <row r="25" spans="1:9">
      <c r="A25" s="54"/>
      <c r="B25" s="57"/>
    </row>
    <row r="26" spans="1:9">
      <c r="A26" s="54"/>
      <c r="B26" s="57"/>
    </row>
    <row r="27" spans="1:9">
      <c r="A27" s="54"/>
      <c r="B27" s="57"/>
    </row>
    <row r="28" spans="1:9">
      <c r="A28" s="54"/>
      <c r="B28" s="57"/>
    </row>
    <row r="29" spans="1:9">
      <c r="A29" s="54"/>
      <c r="B29" s="57"/>
    </row>
    <row r="30" spans="1:9">
      <c r="A30" s="54"/>
      <c r="B30" s="57"/>
    </row>
    <row r="31" spans="1:9">
      <c r="A31" s="54"/>
      <c r="B31" s="57"/>
    </row>
    <row r="32" spans="1:9">
      <c r="A32" s="54"/>
      <c r="B32" s="57"/>
    </row>
    <row r="33" spans="1:2">
      <c r="A33" s="54"/>
      <c r="B33" s="57"/>
    </row>
    <row r="34" spans="1:2">
      <c r="A34" s="54"/>
      <c r="B34" s="57"/>
    </row>
    <row r="35" spans="1:2">
      <c r="A35" s="54"/>
      <c r="B35" s="57"/>
    </row>
    <row r="36" spans="1:2">
      <c r="A36" s="54"/>
      <c r="B36" s="57"/>
    </row>
    <row r="37" spans="1:2">
      <c r="A37" s="54"/>
      <c r="B37" s="57"/>
    </row>
    <row r="38" spans="1:2">
      <c r="A38" s="54"/>
      <c r="B38" s="57"/>
    </row>
    <row r="39" spans="1:2">
      <c r="A39" s="54"/>
      <c r="B39" s="57"/>
    </row>
    <row r="40" spans="1:2">
      <c r="A40" s="54"/>
      <c r="B40" s="57"/>
    </row>
    <row r="41" spans="1:2">
      <c r="A41" s="54"/>
      <c r="B41" s="57"/>
    </row>
    <row r="42" spans="1:2">
      <c r="A42" s="54"/>
      <c r="B42" s="57"/>
    </row>
    <row r="43" spans="1:2">
      <c r="A43" s="54"/>
      <c r="B43" s="57"/>
    </row>
    <row r="44" spans="1:2">
      <c r="A44" s="54"/>
      <c r="B44" s="57"/>
    </row>
    <row r="45" spans="1:2">
      <c r="A45" s="54"/>
      <c r="B45" s="57"/>
    </row>
    <row r="46" spans="1:2">
      <c r="A46" s="54"/>
      <c r="B46" s="57"/>
    </row>
    <row r="47" spans="1:2">
      <c r="A47" s="54"/>
      <c r="B47" s="57"/>
    </row>
    <row r="48" spans="1:2">
      <c r="A48" s="54"/>
      <c r="B48" s="57"/>
    </row>
    <row r="49" spans="1:2">
      <c r="A49" s="54"/>
      <c r="B49" s="57"/>
    </row>
    <row r="50" spans="1:2">
      <c r="A50" s="54"/>
      <c r="B50" s="57"/>
    </row>
    <row r="51" spans="1:2">
      <c r="A51" s="54"/>
      <c r="B51" s="57"/>
    </row>
    <row r="52" spans="1:2">
      <c r="A52" s="54"/>
      <c r="B52" s="57"/>
    </row>
    <row r="53" spans="1:2">
      <c r="A53" s="54"/>
      <c r="B53" s="57"/>
    </row>
    <row r="54" spans="1:2">
      <c r="A54" s="54"/>
      <c r="B54" s="57"/>
    </row>
    <row r="55" spans="1:2">
      <c r="A55" s="54"/>
      <c r="B55" s="57"/>
    </row>
    <row r="56" spans="1:2">
      <c r="A56" s="54"/>
      <c r="B56" s="57"/>
    </row>
    <row r="57" spans="1:2">
      <c r="A57" s="54"/>
      <c r="B57" s="57"/>
    </row>
    <row r="58" spans="1:2">
      <c r="A58" s="54"/>
      <c r="B58" s="57"/>
    </row>
    <row r="59" spans="1:2">
      <c r="A59" s="54"/>
      <c r="B59" s="57"/>
    </row>
    <row r="60" spans="1:2">
      <c r="A60" s="54"/>
      <c r="B60" s="57"/>
    </row>
    <row r="61" spans="1:2">
      <c r="A61" s="54"/>
      <c r="B61" s="57"/>
    </row>
    <row r="62" spans="1:2">
      <c r="A62" s="54"/>
      <c r="B62" s="57"/>
    </row>
    <row r="63" spans="1:2">
      <c r="A63" s="54"/>
      <c r="B63" s="57"/>
    </row>
    <row r="64" spans="1:2">
      <c r="A64" s="54"/>
      <c r="B64" s="57"/>
    </row>
    <row r="65" spans="1:2">
      <c r="A65" s="54"/>
      <c r="B65" s="57"/>
    </row>
    <row r="66" spans="1:2">
      <c r="A66" s="54"/>
      <c r="B66" s="57"/>
    </row>
    <row r="67" spans="1:2">
      <c r="A67" s="54"/>
      <c r="B67" s="57"/>
    </row>
    <row r="68" spans="1:2">
      <c r="A68" s="54"/>
      <c r="B68" s="57"/>
    </row>
    <row r="69" spans="1:2">
      <c r="A69" s="54"/>
      <c r="B69" s="57"/>
    </row>
    <row r="70" spans="1:2">
      <c r="A70" s="54"/>
      <c r="B70" s="57"/>
    </row>
    <row r="71" spans="1:2">
      <c r="A71" s="54"/>
      <c r="B71" s="57"/>
    </row>
    <row r="72" spans="1:2">
      <c r="A72" s="54"/>
      <c r="B72" s="57"/>
    </row>
    <row r="73" spans="1:2">
      <c r="A73" s="54"/>
      <c r="B73" s="57"/>
    </row>
    <row r="74" spans="1:2">
      <c r="A74" s="54"/>
      <c r="B74" s="57"/>
    </row>
    <row r="75" spans="1:2">
      <c r="A75" s="54"/>
      <c r="B75" s="57"/>
    </row>
    <row r="76" spans="1:2">
      <c r="A76" s="54"/>
      <c r="B76" s="57"/>
    </row>
    <row r="77" spans="1:2">
      <c r="A77" s="54"/>
      <c r="B77" s="57"/>
    </row>
    <row r="78" spans="1:2">
      <c r="A78" s="54"/>
      <c r="B78" s="57"/>
    </row>
    <row r="79" spans="1:2">
      <c r="A79" s="54"/>
      <c r="B79" s="57"/>
    </row>
    <row r="80" spans="1:2">
      <c r="A80" s="54"/>
      <c r="B80" s="57"/>
    </row>
    <row r="81" spans="1:2">
      <c r="A81" s="54"/>
      <c r="B81" s="57"/>
    </row>
    <row r="82" spans="1:2">
      <c r="A82" s="54"/>
      <c r="B82" s="57"/>
    </row>
    <row r="83" spans="1:2">
      <c r="A83" s="54"/>
      <c r="B83" s="57"/>
    </row>
    <row r="84" spans="1:2">
      <c r="A84" s="54"/>
      <c r="B84" s="57"/>
    </row>
    <row r="85" spans="1:2">
      <c r="A85" s="54"/>
      <c r="B85" s="57"/>
    </row>
    <row r="86" spans="1:2">
      <c r="A86" s="54"/>
      <c r="B86" s="57"/>
    </row>
    <row r="87" spans="1:2">
      <c r="A87" s="54"/>
      <c r="B87" s="57"/>
    </row>
    <row r="88" spans="1:2">
      <c r="A88" s="54"/>
      <c r="B88" s="57"/>
    </row>
    <row r="89" spans="1:2">
      <c r="A89" s="54"/>
      <c r="B89" s="57"/>
    </row>
    <row r="90" spans="1:2">
      <c r="A90" s="54"/>
      <c r="B90" s="57"/>
    </row>
    <row r="91" spans="1:2">
      <c r="A91" s="54"/>
      <c r="B91" s="57"/>
    </row>
    <row r="92" spans="1:2">
      <c r="A92" s="54"/>
      <c r="B92" s="57"/>
    </row>
    <row r="93" spans="1:2">
      <c r="A93" s="54"/>
      <c r="B93" s="57"/>
    </row>
    <row r="94" spans="1:2">
      <c r="A94" s="54"/>
      <c r="B94" s="57"/>
    </row>
    <row r="95" spans="1:2">
      <c r="A95" s="54"/>
      <c r="B95" s="57"/>
    </row>
    <row r="96" spans="1:2">
      <c r="A96" s="54"/>
      <c r="B96" s="57"/>
    </row>
    <row r="97" spans="1:2">
      <c r="A97" s="54"/>
      <c r="B97" s="57"/>
    </row>
    <row r="98" spans="1:2">
      <c r="A98" s="54"/>
      <c r="B98" s="57"/>
    </row>
    <row r="99" spans="1:2">
      <c r="A99" s="54"/>
      <c r="B99" s="57"/>
    </row>
    <row r="100" spans="1:2">
      <c r="A100" s="54"/>
      <c r="B100" s="57"/>
    </row>
    <row r="101" spans="1:2">
      <c r="A101" s="54"/>
      <c r="B101" s="57"/>
    </row>
    <row r="102" spans="1:2">
      <c r="A102" s="54"/>
      <c r="B102" s="57"/>
    </row>
    <row r="103" spans="1:2">
      <c r="A103" s="54"/>
      <c r="B103" s="57"/>
    </row>
    <row r="104" spans="1:2">
      <c r="A104" s="54"/>
      <c r="B104" s="57"/>
    </row>
    <row r="105" spans="1:2">
      <c r="A105" s="54"/>
      <c r="B105" s="57"/>
    </row>
    <row r="106" spans="1:2">
      <c r="A106" s="54"/>
      <c r="B106" s="57"/>
    </row>
    <row r="107" spans="1:2">
      <c r="A107" s="54"/>
      <c r="B107" s="57"/>
    </row>
    <row r="108" spans="1:2">
      <c r="A108" s="54"/>
      <c r="B108" s="57"/>
    </row>
    <row r="109" spans="1:2">
      <c r="A109" s="54"/>
      <c r="B109" s="57"/>
    </row>
    <row r="110" spans="1:2">
      <c r="A110" s="54"/>
      <c r="B110" s="57"/>
    </row>
    <row r="111" spans="1:2">
      <c r="A111" s="54"/>
      <c r="B111" s="57"/>
    </row>
    <row r="112" spans="1:2">
      <c r="A112" s="54"/>
      <c r="B112" s="57"/>
    </row>
  </sheetData>
  <mergeCells count="22">
    <mergeCell ref="H23:I23"/>
    <mergeCell ref="H24:I24"/>
    <mergeCell ref="H17:I17"/>
    <mergeCell ref="H18:I18"/>
    <mergeCell ref="H19:I19"/>
    <mergeCell ref="H20:I20"/>
    <mergeCell ref="H21:I21"/>
    <mergeCell ref="G1:I1"/>
    <mergeCell ref="K1:M1"/>
    <mergeCell ref="A1:C1"/>
    <mergeCell ref="H16:I16"/>
    <mergeCell ref="H22:I22"/>
    <mergeCell ref="H11:I11"/>
    <mergeCell ref="H12:I12"/>
    <mergeCell ref="H13:I13"/>
    <mergeCell ref="H14:I14"/>
    <mergeCell ref="H15:I15"/>
    <mergeCell ref="H2:K5"/>
    <mergeCell ref="A8:B8"/>
    <mergeCell ref="G8:I8"/>
    <mergeCell ref="H9:I9"/>
    <mergeCell ref="H10:I10"/>
  </mergeCells>
  <hyperlinks>
    <hyperlink ref="A1:C1" location="dashboard!A1" display="RETONAR AO DASHBOARD" xr:uid="{00000000-0004-0000-1400-000000000000}"/>
    <hyperlink ref="G1:I1" location="'2022'!A1" display="'2022'!A1" xr:uid="{00000000-0004-0000-1400-000001000000}"/>
    <hyperlink ref="K1:M1" location="'2023'!A1" display="'2023'!A1" xr:uid="{00000000-0004-0000-1400-000002000000}"/>
    <hyperlink ref="E1" location="'2021'!A1" display="'2021'!A1" xr:uid="{00000000-0004-0000-1400-000003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8"/>
  <dimension ref="A1:M27"/>
  <sheetViews>
    <sheetView workbookViewId="0">
      <pane ySplit="1" topLeftCell="A2" activePane="bottomLeft" state="frozen"/>
      <selection pane="bottomLeft" sqref="A1:C1"/>
    </sheetView>
  </sheetViews>
  <sheetFormatPr defaultRowHeight="15"/>
  <cols>
    <col min="1" max="1" width="5" customWidth="1"/>
    <col min="3" max="3" width="18" customWidth="1"/>
    <col min="4" max="4" width="14.140625" customWidth="1"/>
    <col min="6" max="6" width="15" customWidth="1"/>
    <col min="7" max="7" width="14.5703125" customWidth="1"/>
    <col min="9" max="9" width="21.7109375" customWidth="1"/>
  </cols>
  <sheetData>
    <row r="1" spans="1:13" s="142" customFormat="1" ht="22.5" customHeight="1" thickBot="1">
      <c r="A1" s="679" t="s">
        <v>406</v>
      </c>
      <c r="B1" s="679"/>
      <c r="C1" s="679"/>
      <c r="D1" s="140"/>
      <c r="E1" s="141">
        <v>2021</v>
      </c>
      <c r="G1" s="679">
        <v>2022</v>
      </c>
      <c r="H1" s="679"/>
      <c r="I1" s="679"/>
      <c r="K1" s="679">
        <v>2023</v>
      </c>
      <c r="L1" s="679"/>
      <c r="M1" s="679"/>
    </row>
    <row r="2" spans="1:13">
      <c r="E2" s="689" t="s">
        <v>345</v>
      </c>
      <c r="F2" s="689"/>
      <c r="G2" s="689"/>
      <c r="H2" s="689"/>
    </row>
    <row r="3" spans="1:13">
      <c r="E3" s="689"/>
      <c r="F3" s="689"/>
      <c r="G3" s="689"/>
      <c r="H3" s="689"/>
    </row>
    <row r="4" spans="1:13">
      <c r="A4" s="61">
        <f>SUM(G8:G33)</f>
        <v>500</v>
      </c>
    </row>
    <row r="5" spans="1:13">
      <c r="F5" s="101" t="s">
        <v>1002</v>
      </c>
      <c r="G5" s="109">
        <v>25610</v>
      </c>
    </row>
    <row r="6" spans="1:13">
      <c r="C6" s="442" t="s">
        <v>1038</v>
      </c>
      <c r="D6" s="443"/>
      <c r="G6" s="50"/>
    </row>
    <row r="7" spans="1:13">
      <c r="C7" s="47">
        <v>2019</v>
      </c>
      <c r="D7" s="48"/>
      <c r="F7" s="445" t="s">
        <v>310</v>
      </c>
      <c r="G7" s="445"/>
      <c r="I7" s="59" t="s">
        <v>1022</v>
      </c>
    </row>
    <row r="8" spans="1:13">
      <c r="C8" s="47">
        <v>2020</v>
      </c>
      <c r="D8" s="48">
        <v>7800</v>
      </c>
      <c r="F8" s="108">
        <v>44866</v>
      </c>
      <c r="G8" s="109">
        <v>500</v>
      </c>
      <c r="I8" s="107">
        <f>G5-A4</f>
        <v>25110</v>
      </c>
    </row>
    <row r="9" spans="1:13">
      <c r="C9" s="47">
        <v>2021</v>
      </c>
      <c r="D9" s="48">
        <v>8450</v>
      </c>
      <c r="F9" s="108"/>
      <c r="G9" s="109"/>
    </row>
    <row r="10" spans="1:13">
      <c r="C10" s="47">
        <v>2022</v>
      </c>
      <c r="D10" s="48">
        <v>7150</v>
      </c>
      <c r="F10" s="108"/>
      <c r="G10" s="109"/>
    </row>
    <row r="11" spans="1:13">
      <c r="F11" s="108"/>
      <c r="G11" s="109"/>
    </row>
    <row r="12" spans="1:13">
      <c r="C12" s="101" t="s">
        <v>1041</v>
      </c>
      <c r="D12" s="277">
        <f>SUM(D9:D10)</f>
        <v>15600</v>
      </c>
      <c r="F12" s="108"/>
      <c r="G12" s="109"/>
    </row>
    <row r="13" spans="1:13">
      <c r="C13" s="104"/>
      <c r="D13" s="106"/>
      <c r="F13" s="101"/>
      <c r="G13" s="109"/>
    </row>
    <row r="14" spans="1:13">
      <c r="C14" s="47">
        <v>2023</v>
      </c>
      <c r="D14" s="48" t="s">
        <v>1042</v>
      </c>
      <c r="F14" s="101"/>
      <c r="G14" s="109"/>
    </row>
    <row r="15" spans="1:13">
      <c r="C15" s="47" t="s">
        <v>1008</v>
      </c>
      <c r="D15" s="48">
        <v>16370</v>
      </c>
      <c r="F15" s="101"/>
      <c r="G15" s="109"/>
    </row>
    <row r="16" spans="1:13">
      <c r="C16" s="47" t="s">
        <v>1009</v>
      </c>
      <c r="D16" s="48">
        <v>17140</v>
      </c>
      <c r="F16" s="101"/>
      <c r="G16" s="109"/>
    </row>
    <row r="17" spans="3:7">
      <c r="C17" s="47" t="s">
        <v>1010</v>
      </c>
      <c r="D17" s="48">
        <v>17910</v>
      </c>
      <c r="F17" s="101"/>
      <c r="G17" s="109"/>
    </row>
    <row r="18" spans="3:7">
      <c r="C18" s="47" t="s">
        <v>1011</v>
      </c>
      <c r="D18" s="48">
        <v>18680</v>
      </c>
      <c r="F18" s="101"/>
      <c r="G18" s="109"/>
    </row>
    <row r="19" spans="3:7">
      <c r="C19" s="47" t="s">
        <v>1012</v>
      </c>
      <c r="D19" s="48">
        <v>19450</v>
      </c>
      <c r="F19" s="101"/>
      <c r="G19" s="109"/>
    </row>
    <row r="20" spans="3:7">
      <c r="C20" s="47" t="s">
        <v>882</v>
      </c>
      <c r="D20" s="48">
        <v>20220</v>
      </c>
      <c r="F20" s="101"/>
      <c r="G20" s="109"/>
    </row>
    <row r="21" spans="3:7">
      <c r="C21" s="47" t="s">
        <v>1013</v>
      </c>
      <c r="D21" s="48">
        <v>20990</v>
      </c>
      <c r="F21" s="101"/>
      <c r="G21" s="109"/>
    </row>
    <row r="22" spans="3:7">
      <c r="C22" s="47" t="s">
        <v>1014</v>
      </c>
      <c r="D22" s="48">
        <v>21760</v>
      </c>
      <c r="F22" s="101"/>
      <c r="G22" s="109"/>
    </row>
    <row r="23" spans="3:7">
      <c r="C23" s="47" t="s">
        <v>1015</v>
      </c>
      <c r="D23" s="48">
        <v>22530</v>
      </c>
      <c r="F23" s="101"/>
      <c r="G23" s="109"/>
    </row>
    <row r="24" spans="3:7">
      <c r="C24" s="47" t="s">
        <v>1016</v>
      </c>
      <c r="D24" s="48">
        <v>23300</v>
      </c>
      <c r="F24" s="101"/>
      <c r="G24" s="109"/>
    </row>
    <row r="25" spans="3:7">
      <c r="C25" s="47" t="s">
        <v>1017</v>
      </c>
      <c r="D25" s="48">
        <v>24070</v>
      </c>
      <c r="F25" s="101"/>
      <c r="G25" s="109"/>
    </row>
    <row r="26" spans="3:7">
      <c r="C26" s="47" t="s">
        <v>1018</v>
      </c>
      <c r="D26" s="48">
        <v>24840</v>
      </c>
      <c r="F26" s="101"/>
      <c r="G26" s="109"/>
    </row>
    <row r="27" spans="3:7">
      <c r="C27" s="47" t="s">
        <v>1019</v>
      </c>
      <c r="D27" s="48">
        <v>25610</v>
      </c>
      <c r="F27" s="101"/>
      <c r="G27" s="109"/>
    </row>
  </sheetData>
  <mergeCells count="6">
    <mergeCell ref="G1:I1"/>
    <mergeCell ref="K1:M1"/>
    <mergeCell ref="A1:C1"/>
    <mergeCell ref="C6:D6"/>
    <mergeCell ref="F7:G7"/>
    <mergeCell ref="E2:H3"/>
  </mergeCells>
  <hyperlinks>
    <hyperlink ref="A1:C1" location="dashboard!A1" display="RETONAR AO DASHBOARD" xr:uid="{00000000-0004-0000-1500-000000000000}"/>
    <hyperlink ref="G1:I1" location="'2022'!A1" display="'2022'!A1" xr:uid="{00000000-0004-0000-1500-000001000000}"/>
    <hyperlink ref="K1:M1" location="'2023'!A1" display="'2023'!A1" xr:uid="{00000000-0004-0000-1500-000002000000}"/>
    <hyperlink ref="E1" location="'2021'!A1" display="'2021'!A1" xr:uid="{00000000-0004-0000-1500-000003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9"/>
  <dimension ref="A1:M31"/>
  <sheetViews>
    <sheetView workbookViewId="0">
      <pane ySplit="1" topLeftCell="A5" activePane="bottomLeft" state="frozen"/>
      <selection pane="bottomLeft" sqref="A1:C1"/>
    </sheetView>
  </sheetViews>
  <sheetFormatPr defaultColWidth="9.140625" defaultRowHeight="15"/>
  <cols>
    <col min="1" max="1" width="12.140625" style="5" customWidth="1"/>
    <col min="2" max="2" width="2.42578125" style="53" customWidth="1"/>
    <col min="3" max="3" width="17.28515625" style="5" customWidth="1"/>
    <col min="4" max="4" width="13.28515625" style="5" bestFit="1" customWidth="1"/>
    <col min="5" max="5" width="9.140625" style="5"/>
    <col min="6" max="7" width="18" style="5" customWidth="1"/>
    <col min="8" max="8" width="9.140625" style="5"/>
    <col min="9" max="9" width="14" style="5" customWidth="1"/>
    <col min="10" max="10" width="11.85546875" style="5" customWidth="1"/>
    <col min="11" max="11" width="11.7109375" style="5" customWidth="1"/>
    <col min="12" max="16384" width="9.140625" style="5"/>
  </cols>
  <sheetData>
    <row r="1" spans="1:13" s="139" customFormat="1" ht="22.5" customHeight="1" thickBot="1">
      <c r="A1" s="621" t="s">
        <v>406</v>
      </c>
      <c r="B1" s="621"/>
      <c r="C1" s="621"/>
      <c r="D1" s="137"/>
      <c r="E1" s="138">
        <v>2021</v>
      </c>
      <c r="G1" s="621">
        <v>2022</v>
      </c>
      <c r="H1" s="621"/>
      <c r="I1" s="621"/>
      <c r="K1" s="621">
        <v>2023</v>
      </c>
      <c r="L1" s="621"/>
      <c r="M1" s="621"/>
    </row>
    <row r="6" spans="1:13">
      <c r="A6" s="104"/>
      <c r="B6" s="106"/>
      <c r="C6"/>
      <c r="D6"/>
      <c r="E6" s="613" t="s">
        <v>1049</v>
      </c>
      <c r="F6" s="613"/>
      <c r="G6" s="613"/>
      <c r="H6" s="613"/>
    </row>
    <row r="7" spans="1:13">
      <c r="A7" s="104"/>
      <c r="B7" s="106"/>
      <c r="C7"/>
      <c r="D7"/>
      <c r="E7" s="613"/>
      <c r="F7" s="613"/>
      <c r="G7" s="613"/>
      <c r="H7" s="613"/>
    </row>
    <row r="8" spans="1:13">
      <c r="A8" s="61">
        <f>SUM(G12:G37)</f>
        <v>10440</v>
      </c>
      <c r="B8"/>
      <c r="C8"/>
      <c r="D8"/>
      <c r="E8"/>
      <c r="F8"/>
      <c r="G8"/>
      <c r="H8"/>
    </row>
    <row r="9" spans="1:13">
      <c r="A9" s="109">
        <v>16325</v>
      </c>
      <c r="B9"/>
      <c r="C9"/>
      <c r="D9"/>
      <c r="E9"/>
      <c r="F9" s="282" t="s">
        <v>1047</v>
      </c>
      <c r="G9" s="107">
        <f>A9-A8</f>
        <v>5885</v>
      </c>
      <c r="H9"/>
    </row>
    <row r="10" spans="1:13">
      <c r="A10"/>
      <c r="B10"/>
      <c r="C10" s="442" t="s">
        <v>1038</v>
      </c>
      <c r="D10" s="443"/>
      <c r="E10"/>
      <c r="F10"/>
      <c r="G10" s="50"/>
      <c r="H10"/>
    </row>
    <row r="11" spans="1:13">
      <c r="A11"/>
      <c r="B11"/>
      <c r="C11" s="47" t="s">
        <v>1048</v>
      </c>
      <c r="D11" s="48">
        <v>11825</v>
      </c>
      <c r="E11"/>
      <c r="F11" s="690" t="s">
        <v>1044</v>
      </c>
      <c r="G11" s="690"/>
      <c r="H11" s="287" t="s">
        <v>303</v>
      </c>
    </row>
    <row r="12" spans="1:13">
      <c r="A12"/>
      <c r="B12"/>
      <c r="C12" s="47">
        <v>2020</v>
      </c>
      <c r="D12" s="48" t="s">
        <v>998</v>
      </c>
      <c r="E12"/>
      <c r="F12" s="65">
        <v>44623</v>
      </c>
      <c r="G12" s="57">
        <v>1160</v>
      </c>
      <c r="H12" s="66">
        <v>44593</v>
      </c>
    </row>
    <row r="13" spans="1:13">
      <c r="A13"/>
      <c r="B13"/>
      <c r="C13" s="47">
        <v>2021</v>
      </c>
      <c r="D13" s="48">
        <v>4500</v>
      </c>
      <c r="E13"/>
      <c r="F13" s="65">
        <v>44642</v>
      </c>
      <c r="G13" s="57">
        <v>1160</v>
      </c>
      <c r="H13" s="66">
        <v>44621</v>
      </c>
    </row>
    <row r="14" spans="1:13">
      <c r="A14"/>
      <c r="B14"/>
      <c r="C14" s="47">
        <v>2022</v>
      </c>
      <c r="D14" s="48" t="s">
        <v>998</v>
      </c>
      <c r="E14"/>
      <c r="F14" s="65">
        <v>44683</v>
      </c>
      <c r="G14" s="57">
        <v>1160</v>
      </c>
      <c r="H14" s="66">
        <v>44652</v>
      </c>
    </row>
    <row r="15" spans="1:13">
      <c r="A15"/>
      <c r="B15"/>
      <c r="C15"/>
      <c r="D15"/>
      <c r="E15"/>
      <c r="F15" s="65">
        <v>44741</v>
      </c>
      <c r="G15" s="57">
        <v>1160</v>
      </c>
      <c r="H15" s="66">
        <v>44682</v>
      </c>
    </row>
    <row r="16" spans="1:13">
      <c r="A16"/>
      <c r="B16"/>
      <c r="C16" s="101" t="s">
        <v>1041</v>
      </c>
      <c r="D16" s="277">
        <f>SUM(D11:D14)</f>
        <v>16325</v>
      </c>
      <c r="E16"/>
      <c r="F16" s="65">
        <v>44765</v>
      </c>
      <c r="G16" s="57">
        <v>1160</v>
      </c>
      <c r="H16" s="66">
        <v>44713</v>
      </c>
    </row>
    <row r="17" spans="1:8">
      <c r="A17"/>
      <c r="B17"/>
      <c r="C17" s="104"/>
      <c r="D17" s="106"/>
      <c r="E17"/>
      <c r="F17" s="65">
        <v>44802</v>
      </c>
      <c r="G17" s="57">
        <v>1160</v>
      </c>
      <c r="H17" s="66">
        <v>44743</v>
      </c>
    </row>
    <row r="18" spans="1:8">
      <c r="A18"/>
      <c r="B18"/>
      <c r="C18" s="47">
        <v>2023</v>
      </c>
      <c r="D18" s="48" t="s">
        <v>1046</v>
      </c>
      <c r="E18"/>
      <c r="F18" s="65">
        <v>44834</v>
      </c>
      <c r="G18" s="57">
        <v>1160</v>
      </c>
      <c r="H18" s="66">
        <v>44774</v>
      </c>
    </row>
    <row r="19" spans="1:8">
      <c r="A19"/>
      <c r="B19"/>
      <c r="C19" s="47" t="s">
        <v>1008</v>
      </c>
      <c r="D19" s="48" t="s">
        <v>998</v>
      </c>
      <c r="E19"/>
      <c r="F19" s="65">
        <v>44868</v>
      </c>
      <c r="G19" s="57">
        <v>1160</v>
      </c>
      <c r="H19" s="66">
        <v>44805</v>
      </c>
    </row>
    <row r="20" spans="1:8">
      <c r="A20"/>
      <c r="B20"/>
      <c r="C20" s="47" t="s">
        <v>1009</v>
      </c>
      <c r="D20" s="48" t="s">
        <v>998</v>
      </c>
      <c r="E20"/>
      <c r="F20" s="65">
        <v>44893</v>
      </c>
      <c r="G20" s="57">
        <v>1160</v>
      </c>
      <c r="H20" s="66">
        <v>44835</v>
      </c>
    </row>
    <row r="21" spans="1:8">
      <c r="A21"/>
      <c r="B21"/>
      <c r="C21" s="47" t="s">
        <v>1010</v>
      </c>
      <c r="D21" s="48" t="s">
        <v>998</v>
      </c>
      <c r="E21"/>
      <c r="F21" s="101"/>
      <c r="G21" s="109"/>
      <c r="H21"/>
    </row>
    <row r="22" spans="1:8">
      <c r="A22"/>
      <c r="B22"/>
      <c r="C22" s="47" t="s">
        <v>1011</v>
      </c>
      <c r="D22" s="48" t="s">
        <v>998</v>
      </c>
      <c r="E22"/>
      <c r="F22" s="101"/>
      <c r="G22" s="109"/>
      <c r="H22"/>
    </row>
    <row r="23" spans="1:8">
      <c r="A23"/>
      <c r="B23"/>
      <c r="C23" s="47" t="s">
        <v>1012</v>
      </c>
      <c r="D23" s="48" t="s">
        <v>998</v>
      </c>
      <c r="E23"/>
      <c r="F23" s="101"/>
      <c r="G23" s="109"/>
      <c r="H23"/>
    </row>
    <row r="24" spans="1:8">
      <c r="A24"/>
      <c r="B24"/>
      <c r="C24" s="47" t="s">
        <v>882</v>
      </c>
      <c r="D24" s="48">
        <v>710</v>
      </c>
      <c r="E24"/>
      <c r="F24" s="101"/>
      <c r="G24" s="109"/>
      <c r="H24"/>
    </row>
    <row r="25" spans="1:8">
      <c r="A25"/>
      <c r="B25"/>
      <c r="C25" s="47" t="s">
        <v>1013</v>
      </c>
      <c r="D25" s="48">
        <v>710</v>
      </c>
      <c r="E25"/>
      <c r="F25" s="101"/>
      <c r="G25" s="109"/>
      <c r="H25"/>
    </row>
    <row r="26" spans="1:8">
      <c r="A26"/>
      <c r="B26"/>
      <c r="C26" s="47" t="s">
        <v>1014</v>
      </c>
      <c r="D26" s="48">
        <v>710</v>
      </c>
      <c r="E26"/>
      <c r="F26" s="101"/>
      <c r="G26" s="109"/>
      <c r="H26"/>
    </row>
    <row r="27" spans="1:8">
      <c r="A27"/>
      <c r="B27"/>
      <c r="C27" s="281" t="s">
        <v>1015</v>
      </c>
      <c r="D27" s="48">
        <v>710</v>
      </c>
      <c r="E27"/>
      <c r="F27" s="101"/>
      <c r="G27" s="109"/>
      <c r="H27"/>
    </row>
    <row r="28" spans="1:8">
      <c r="A28"/>
      <c r="B28"/>
      <c r="C28" s="281" t="s">
        <v>1016</v>
      </c>
      <c r="D28" s="48">
        <v>710</v>
      </c>
      <c r="E28"/>
      <c r="F28" s="101"/>
      <c r="G28" s="109"/>
      <c r="H28"/>
    </row>
    <row r="29" spans="1:8">
      <c r="A29"/>
      <c r="B29" s="279"/>
      <c r="C29" s="47" t="s">
        <v>1017</v>
      </c>
      <c r="D29" s="48">
        <v>710</v>
      </c>
      <c r="E29"/>
      <c r="F29" s="101"/>
      <c r="G29" s="109"/>
      <c r="H29"/>
    </row>
    <row r="30" spans="1:8">
      <c r="A30"/>
      <c r="B30" s="279"/>
      <c r="C30" s="47" t="s">
        <v>1018</v>
      </c>
      <c r="D30" s="48">
        <v>710</v>
      </c>
      <c r="E30"/>
      <c r="F30" s="101"/>
      <c r="G30" s="109"/>
      <c r="H30"/>
    </row>
    <row r="31" spans="1:8">
      <c r="A31"/>
      <c r="B31" s="279"/>
      <c r="C31" s="47" t="s">
        <v>1019</v>
      </c>
      <c r="D31" s="48">
        <v>710</v>
      </c>
      <c r="E31"/>
      <c r="F31" s="101"/>
      <c r="G31" s="109"/>
      <c r="H31"/>
    </row>
  </sheetData>
  <mergeCells count="6">
    <mergeCell ref="F11:G11"/>
    <mergeCell ref="G1:I1"/>
    <mergeCell ref="K1:M1"/>
    <mergeCell ref="A1:C1"/>
    <mergeCell ref="E6:H7"/>
    <mergeCell ref="C10:D10"/>
  </mergeCells>
  <hyperlinks>
    <hyperlink ref="A1:C1" location="dashboard!A1" display="RETONAR AO DASHBOARD" xr:uid="{00000000-0004-0000-1600-000000000000}"/>
    <hyperlink ref="G1:I1" location="'2022'!A1" display="'2022'!A1" xr:uid="{00000000-0004-0000-1600-000001000000}"/>
    <hyperlink ref="K1:M1" location="'2023'!A1" display="'2023'!A1" xr:uid="{00000000-0004-0000-1600-000002000000}"/>
    <hyperlink ref="E1" location="'2021'!A1" display="'2021'!A1" xr:uid="{00000000-0004-0000-1600-000003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0"/>
  <dimension ref="A1:M36"/>
  <sheetViews>
    <sheetView workbookViewId="0">
      <pane ySplit="1" topLeftCell="A10" activePane="bottomLeft" state="frozen"/>
      <selection pane="bottomLeft" sqref="A1:C1"/>
    </sheetView>
  </sheetViews>
  <sheetFormatPr defaultRowHeight="15"/>
  <cols>
    <col min="1" max="1" width="9.140625" style="104"/>
    <col min="2" max="2" width="13.28515625" style="106" bestFit="1" customWidth="1"/>
    <col min="3" max="3" width="18.42578125" customWidth="1"/>
    <col min="4" max="4" width="13.28515625" bestFit="1" customWidth="1"/>
    <col min="5" max="5" width="7.7109375" style="50" customWidth="1"/>
    <col min="6" max="6" width="15.7109375" customWidth="1"/>
    <col min="7" max="7" width="15.85546875" bestFit="1" customWidth="1"/>
    <col min="8" max="8" width="9.140625" customWidth="1"/>
    <col min="9" max="9" width="18.85546875" customWidth="1"/>
  </cols>
  <sheetData>
    <row r="1" spans="1:13" s="139" customFormat="1" ht="22.5" customHeight="1" thickBot="1">
      <c r="A1" s="621" t="s">
        <v>406</v>
      </c>
      <c r="B1" s="621"/>
      <c r="C1" s="621"/>
      <c r="D1" s="137"/>
      <c r="E1" s="138">
        <v>2021</v>
      </c>
      <c r="G1" s="621">
        <v>2022</v>
      </c>
      <c r="H1" s="621"/>
      <c r="I1" s="621"/>
      <c r="K1" s="621">
        <v>2023</v>
      </c>
      <c r="L1" s="621"/>
      <c r="M1" s="621"/>
    </row>
    <row r="2" spans="1:13">
      <c r="E2" s="613" t="s">
        <v>56</v>
      </c>
      <c r="F2" s="613"/>
      <c r="G2" s="613"/>
      <c r="H2" s="613"/>
    </row>
    <row r="3" spans="1:13">
      <c r="E3" s="613"/>
      <c r="F3" s="613"/>
      <c r="G3" s="613"/>
      <c r="H3" s="613"/>
    </row>
    <row r="4" spans="1:13">
      <c r="A4" s="61">
        <f>SUM(G8:G33)</f>
        <v>0</v>
      </c>
      <c r="B4"/>
      <c r="E4"/>
    </row>
    <row r="5" spans="1:13">
      <c r="A5" s="109">
        <v>43285</v>
      </c>
      <c r="B5"/>
      <c r="E5"/>
      <c r="F5" s="282" t="s">
        <v>1047</v>
      </c>
      <c r="G5" s="107">
        <f>A5-A4</f>
        <v>43285</v>
      </c>
    </row>
    <row r="6" spans="1:13">
      <c r="A6"/>
      <c r="B6"/>
      <c r="C6" s="442" t="s">
        <v>1038</v>
      </c>
      <c r="D6" s="443"/>
      <c r="E6"/>
      <c r="G6" s="50"/>
    </row>
    <row r="7" spans="1:13">
      <c r="A7"/>
      <c r="B7"/>
      <c r="C7" s="47">
        <v>2019</v>
      </c>
      <c r="D7" s="48"/>
      <c r="E7"/>
      <c r="F7" s="445" t="s">
        <v>1044</v>
      </c>
      <c r="G7" s="445"/>
    </row>
    <row r="8" spans="1:13">
      <c r="A8"/>
      <c r="B8"/>
      <c r="C8" s="47">
        <v>2020</v>
      </c>
      <c r="D8" s="48">
        <v>14300</v>
      </c>
      <c r="E8"/>
      <c r="F8" s="108"/>
      <c r="G8" s="109"/>
    </row>
    <row r="9" spans="1:13">
      <c r="A9"/>
      <c r="B9"/>
      <c r="C9" s="47">
        <v>2021</v>
      </c>
      <c r="D9" s="48">
        <v>15015</v>
      </c>
      <c r="E9"/>
      <c r="F9" s="108"/>
      <c r="G9" s="109"/>
    </row>
    <row r="10" spans="1:13">
      <c r="A10"/>
      <c r="B10"/>
      <c r="C10" s="47">
        <v>2022</v>
      </c>
      <c r="D10" s="48">
        <v>13970</v>
      </c>
      <c r="E10"/>
      <c r="F10" s="108"/>
      <c r="G10" s="109"/>
    </row>
    <row r="11" spans="1:13">
      <c r="A11"/>
      <c r="B11"/>
      <c r="E11"/>
      <c r="F11" s="108"/>
      <c r="G11" s="109"/>
    </row>
    <row r="12" spans="1:13">
      <c r="A12"/>
      <c r="B12"/>
      <c r="C12" s="101" t="s">
        <v>1041</v>
      </c>
      <c r="D12" s="277">
        <f>SUM(D7:D10)</f>
        <v>43285</v>
      </c>
      <c r="E12"/>
      <c r="F12" s="108"/>
      <c r="G12" s="109"/>
    </row>
    <row r="13" spans="1:13">
      <c r="A13"/>
      <c r="B13"/>
      <c r="C13" s="104"/>
      <c r="D13" s="106"/>
      <c r="E13"/>
      <c r="F13" s="101"/>
      <c r="G13" s="109"/>
    </row>
    <row r="14" spans="1:13">
      <c r="A14"/>
      <c r="B14"/>
      <c r="C14" s="47">
        <v>2023</v>
      </c>
      <c r="D14" s="48" t="s">
        <v>1046</v>
      </c>
      <c r="E14"/>
      <c r="F14" s="101"/>
      <c r="G14" s="109"/>
    </row>
    <row r="15" spans="1:13">
      <c r="A15"/>
      <c r="B15"/>
      <c r="C15" s="47" t="s">
        <v>1008</v>
      </c>
      <c r="D15" s="48" t="s">
        <v>998</v>
      </c>
      <c r="E15"/>
      <c r="F15" s="101"/>
      <c r="G15" s="109"/>
    </row>
    <row r="16" spans="1:13">
      <c r="A16"/>
      <c r="B16"/>
      <c r="C16" s="47" t="s">
        <v>1009</v>
      </c>
      <c r="D16" s="48" t="s">
        <v>998</v>
      </c>
      <c r="E16"/>
      <c r="F16" s="101"/>
      <c r="G16" s="109"/>
    </row>
    <row r="17" spans="1:7">
      <c r="A17"/>
      <c r="B17"/>
      <c r="C17" s="47" t="s">
        <v>1010</v>
      </c>
      <c r="D17" s="48" t="s">
        <v>998</v>
      </c>
      <c r="E17"/>
      <c r="F17" s="101"/>
      <c r="G17" s="109"/>
    </row>
    <row r="18" spans="1:7">
      <c r="A18"/>
      <c r="B18"/>
      <c r="C18" s="47" t="s">
        <v>1011</v>
      </c>
      <c r="D18" s="48" t="s">
        <v>998</v>
      </c>
      <c r="E18"/>
      <c r="F18" s="101"/>
      <c r="G18" s="109"/>
    </row>
    <row r="19" spans="1:7">
      <c r="A19"/>
      <c r="B19"/>
      <c r="C19" s="47" t="s">
        <v>1012</v>
      </c>
      <c r="D19" s="48" t="s">
        <v>998</v>
      </c>
      <c r="E19"/>
      <c r="F19" s="101"/>
      <c r="G19" s="109"/>
    </row>
    <row r="20" spans="1:7">
      <c r="A20"/>
      <c r="B20"/>
      <c r="C20" s="47" t="s">
        <v>882</v>
      </c>
      <c r="D20" s="48">
        <v>1500</v>
      </c>
      <c r="E20"/>
      <c r="F20" s="101"/>
      <c r="G20" s="109"/>
    </row>
    <row r="21" spans="1:7">
      <c r="A21"/>
      <c r="B21"/>
      <c r="C21" s="47" t="s">
        <v>1013</v>
      </c>
      <c r="D21" s="48">
        <v>1500</v>
      </c>
      <c r="E21"/>
      <c r="F21" s="101"/>
      <c r="G21" s="109"/>
    </row>
    <row r="22" spans="1:7">
      <c r="A22"/>
      <c r="B22"/>
      <c r="C22" s="47" t="s">
        <v>1014</v>
      </c>
      <c r="D22" s="48">
        <v>1500</v>
      </c>
      <c r="E22"/>
      <c r="F22" s="101"/>
      <c r="G22" s="109"/>
    </row>
    <row r="23" spans="1:7">
      <c r="A23"/>
      <c r="B23"/>
      <c r="C23" s="281" t="s">
        <v>1015</v>
      </c>
      <c r="D23" s="280">
        <v>1500</v>
      </c>
      <c r="E23"/>
      <c r="F23" s="101"/>
      <c r="G23" s="109"/>
    </row>
    <row r="24" spans="1:7">
      <c r="A24"/>
      <c r="B24"/>
      <c r="C24" s="281" t="s">
        <v>1016</v>
      </c>
      <c r="D24" s="280">
        <v>1500</v>
      </c>
      <c r="E24"/>
      <c r="F24" s="101"/>
      <c r="G24" s="109"/>
    </row>
    <row r="25" spans="1:7">
      <c r="A25"/>
      <c r="B25" s="279"/>
      <c r="C25" s="47" t="s">
        <v>1017</v>
      </c>
      <c r="D25" s="280">
        <v>1500</v>
      </c>
      <c r="E25"/>
      <c r="F25" s="101"/>
      <c r="G25" s="109"/>
    </row>
    <row r="26" spans="1:7">
      <c r="A26"/>
      <c r="B26" s="279"/>
      <c r="C26" s="47" t="s">
        <v>1018</v>
      </c>
      <c r="D26" s="280">
        <v>1500</v>
      </c>
      <c r="E26"/>
      <c r="F26" s="101"/>
      <c r="G26" s="109"/>
    </row>
    <row r="27" spans="1:7">
      <c r="A27"/>
      <c r="B27" s="279"/>
      <c r="C27" s="47" t="s">
        <v>1019</v>
      </c>
      <c r="D27" s="48">
        <v>1500</v>
      </c>
      <c r="E27"/>
      <c r="F27" s="101"/>
      <c r="G27" s="109"/>
    </row>
    <row r="28" spans="1:7">
      <c r="B28" s="104"/>
      <c r="C28" s="268"/>
      <c r="E28"/>
      <c r="F28" s="269"/>
    </row>
    <row r="29" spans="1:7">
      <c r="B29" s="104"/>
      <c r="C29" s="268"/>
      <c r="E29"/>
      <c r="F29" s="269"/>
    </row>
    <row r="30" spans="1:7">
      <c r="B30" s="104"/>
      <c r="C30" s="268"/>
      <c r="E30"/>
      <c r="F30" s="269"/>
    </row>
    <row r="31" spans="1:7">
      <c r="B31" s="104"/>
      <c r="C31" s="268"/>
      <c r="E31"/>
      <c r="F31" s="269"/>
    </row>
    <row r="32" spans="1:7">
      <c r="B32" s="104"/>
      <c r="C32" s="268"/>
      <c r="E32"/>
      <c r="F32" s="269"/>
    </row>
    <row r="33" spans="2:6">
      <c r="B33" s="104"/>
      <c r="C33" s="268"/>
      <c r="E33"/>
      <c r="F33" s="269"/>
    </row>
    <row r="34" spans="2:6">
      <c r="B34" s="104"/>
      <c r="C34" s="268"/>
      <c r="E34"/>
      <c r="F34" s="269"/>
    </row>
    <row r="35" spans="2:6">
      <c r="B35" s="104"/>
      <c r="C35" s="268"/>
      <c r="E35"/>
      <c r="F35" s="269"/>
    </row>
    <row r="36" spans="2:6">
      <c r="B36" s="268"/>
      <c r="E36" s="269"/>
    </row>
  </sheetData>
  <mergeCells count="6">
    <mergeCell ref="G1:I1"/>
    <mergeCell ref="K1:M1"/>
    <mergeCell ref="A1:C1"/>
    <mergeCell ref="C6:D6"/>
    <mergeCell ref="F7:G7"/>
    <mergeCell ref="E2:H3"/>
  </mergeCells>
  <hyperlinks>
    <hyperlink ref="A1:C1" location="dashboard!A1" display="RETONAR AO DASHBOARD" xr:uid="{00000000-0004-0000-1700-000000000000}"/>
    <hyperlink ref="G1:I1" location="'2022'!A1" display="'2022'!A1" xr:uid="{00000000-0004-0000-1700-000001000000}"/>
    <hyperlink ref="K1:M1" location="'2023'!A1" display="'2023'!A1" xr:uid="{00000000-0004-0000-1700-000002000000}"/>
    <hyperlink ref="E1" location="'2021'!A1" display="'2021'!A1" xr:uid="{00000000-0004-0000-1700-000003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1"/>
  <dimension ref="A1:M56"/>
  <sheetViews>
    <sheetView workbookViewId="0">
      <pane ySplit="1" topLeftCell="A29" activePane="bottomLeft" state="frozen"/>
      <selection pane="bottomLeft" sqref="A1:C1"/>
    </sheetView>
  </sheetViews>
  <sheetFormatPr defaultColWidth="9.140625" defaultRowHeight="15"/>
  <cols>
    <col min="1" max="1" width="18.28515625" style="104" customWidth="1"/>
    <col min="2" max="2" width="15.42578125" style="117" customWidth="1"/>
    <col min="3" max="4" width="18.28515625" style="104" customWidth="1"/>
    <col min="5" max="5" width="13.42578125" style="104" customWidth="1"/>
    <col min="6" max="6" width="16.42578125" style="104" customWidth="1"/>
    <col min="7" max="7" width="14.5703125" style="104" customWidth="1"/>
    <col min="8" max="8" width="9.140625" style="104"/>
    <col min="9" max="9" width="3.5703125" style="104" hidden="1" customWidth="1"/>
    <col min="10" max="11" width="9.140625" style="104"/>
    <col min="12" max="12" width="7.28515625" style="104" customWidth="1"/>
    <col min="13" max="13" width="9.140625" style="104" hidden="1" customWidth="1"/>
    <col min="14" max="16384" width="9.140625" style="104"/>
  </cols>
  <sheetData>
    <row r="1" spans="1:13" s="131" customFormat="1" ht="22.5" customHeight="1" thickBot="1">
      <c r="A1" s="627" t="s">
        <v>406</v>
      </c>
      <c r="B1" s="627"/>
      <c r="C1" s="627"/>
      <c r="D1" s="135"/>
      <c r="E1" s="136">
        <v>2021</v>
      </c>
      <c r="G1" s="628">
        <v>2022</v>
      </c>
      <c r="H1" s="628"/>
      <c r="I1" s="628"/>
      <c r="K1" s="629">
        <v>2023</v>
      </c>
      <c r="L1" s="629"/>
      <c r="M1" s="629"/>
    </row>
    <row r="2" spans="1:13" ht="30.75" customHeight="1" thickTop="1" thickBot="1">
      <c r="A2" s="691" t="s">
        <v>379</v>
      </c>
      <c r="B2" s="692"/>
      <c r="C2" s="693"/>
      <c r="D2" s="133"/>
      <c r="E2" s="133"/>
    </row>
    <row r="3" spans="1:13" s="110" customFormat="1" ht="16.5" thickTop="1" thickBot="1">
      <c r="A3" s="111" t="s">
        <v>301</v>
      </c>
      <c r="B3" s="115" t="s">
        <v>302</v>
      </c>
      <c r="C3" s="111" t="s">
        <v>378</v>
      </c>
      <c r="D3" s="134"/>
      <c r="E3" s="134"/>
    </row>
    <row r="4" spans="1:13" ht="16.5" thickTop="1" thickBot="1">
      <c r="A4" s="112">
        <v>45019</v>
      </c>
      <c r="B4" s="116">
        <v>1811.36</v>
      </c>
      <c r="C4" s="113" t="s">
        <v>380</v>
      </c>
    </row>
    <row r="5" spans="1:13" ht="16.5" thickTop="1" thickBot="1">
      <c r="A5" s="112">
        <v>45019</v>
      </c>
      <c r="B5" s="116">
        <v>570</v>
      </c>
      <c r="C5" s="113" t="s">
        <v>380</v>
      </c>
    </row>
    <row r="6" spans="1:13" ht="16.5" thickTop="1" thickBot="1">
      <c r="A6" s="112">
        <v>45077</v>
      </c>
      <c r="B6" s="116">
        <v>2381.36</v>
      </c>
      <c r="C6" s="113" t="s">
        <v>380</v>
      </c>
    </row>
    <row r="7" spans="1:13" ht="16.5" thickTop="1" thickBot="1">
      <c r="A7" s="229">
        <v>44617</v>
      </c>
      <c r="B7" s="116">
        <v>1710.9</v>
      </c>
      <c r="C7" s="113"/>
    </row>
    <row r="8" spans="1:13" ht="16.5" thickTop="1" thickBot="1">
      <c r="A8" s="229">
        <v>44742</v>
      </c>
      <c r="B8" s="116">
        <v>1876.47</v>
      </c>
      <c r="C8" s="113"/>
    </row>
    <row r="9" spans="1:13" ht="16.5" thickTop="1" thickBot="1">
      <c r="A9" s="229">
        <v>44865</v>
      </c>
      <c r="B9" s="116">
        <v>2015</v>
      </c>
      <c r="C9" s="113"/>
    </row>
    <row r="10" spans="1:13" ht="16.5" thickTop="1" thickBot="1">
      <c r="A10" s="114"/>
      <c r="B10" s="116"/>
      <c r="C10" s="113"/>
    </row>
    <row r="11" spans="1:13" ht="16.5" thickTop="1" thickBot="1">
      <c r="A11" s="114"/>
      <c r="B11" s="116"/>
      <c r="C11" s="113"/>
    </row>
    <row r="12" spans="1:13" ht="16.5" thickTop="1" thickBot="1">
      <c r="A12" s="114"/>
      <c r="B12" s="116"/>
      <c r="C12" s="113"/>
    </row>
    <row r="13" spans="1:13" ht="16.5" thickTop="1" thickBot="1">
      <c r="A13" s="114"/>
      <c r="B13" s="116"/>
      <c r="C13" s="113"/>
    </row>
    <row r="14" spans="1:13" ht="16.5" thickTop="1" thickBot="1">
      <c r="A14" s="114"/>
      <c r="B14" s="116"/>
      <c r="C14" s="113"/>
    </row>
    <row r="15" spans="1:13" ht="16.5" thickTop="1" thickBot="1">
      <c r="A15" s="114"/>
      <c r="B15" s="116"/>
      <c r="C15" s="113"/>
    </row>
    <row r="16" spans="1:13" ht="16.5" thickTop="1" thickBot="1">
      <c r="A16" s="114"/>
      <c r="B16" s="116"/>
      <c r="C16" s="113"/>
    </row>
    <row r="17" spans="1:8" ht="16.5" thickTop="1" thickBot="1">
      <c r="A17" s="114"/>
      <c r="B17" s="116"/>
      <c r="C17" s="113"/>
    </row>
    <row r="18" spans="1:8" ht="16.5" thickTop="1" thickBot="1">
      <c r="A18" s="114"/>
      <c r="B18" s="116"/>
      <c r="C18" s="113"/>
    </row>
    <row r="19" spans="1:8" ht="16.5" thickTop="1" thickBot="1">
      <c r="A19" s="114"/>
      <c r="B19" s="116"/>
      <c r="C19" s="113"/>
    </row>
    <row r="20" spans="1:8" ht="16.5" thickTop="1" thickBot="1">
      <c r="A20" s="114"/>
      <c r="B20" s="116"/>
      <c r="C20" s="113"/>
    </row>
    <row r="21" spans="1:8" ht="16.5" thickTop="1" thickBot="1">
      <c r="A21" s="114"/>
      <c r="B21" s="116"/>
      <c r="C21" s="113"/>
    </row>
    <row r="22" spans="1:8" ht="16.5" thickTop="1" thickBot="1">
      <c r="A22" s="114"/>
      <c r="B22" s="116"/>
      <c r="C22" s="113"/>
    </row>
    <row r="23" spans="1:8" ht="16.5" thickTop="1" thickBot="1">
      <c r="A23" s="114"/>
      <c r="B23" s="116"/>
      <c r="C23" s="113"/>
    </row>
    <row r="24" spans="1:8" ht="16.5" thickTop="1" thickBot="1">
      <c r="A24" s="114"/>
      <c r="B24" s="116"/>
      <c r="C24" s="113"/>
    </row>
    <row r="25" spans="1:8" ht="15.75" thickTop="1"/>
    <row r="30" spans="1:8">
      <c r="B30" s="106"/>
      <c r="C30"/>
      <c r="D30"/>
      <c r="E30" s="613"/>
      <c r="F30" s="613"/>
      <c r="G30" s="613"/>
      <c r="H30" s="613"/>
    </row>
    <row r="31" spans="1:8">
      <c r="B31" s="106"/>
      <c r="C31"/>
      <c r="D31"/>
      <c r="E31" s="613"/>
      <c r="F31" s="613"/>
      <c r="G31" s="613"/>
      <c r="H31" s="613"/>
    </row>
    <row r="32" spans="1:8">
      <c r="A32" s="61">
        <f>SUM(G36:G61)</f>
        <v>10365.089999999998</v>
      </c>
      <c r="B32"/>
      <c r="C32"/>
      <c r="D32"/>
      <c r="E32"/>
      <c r="F32"/>
      <c r="G32"/>
      <c r="H32"/>
    </row>
    <row r="33" spans="1:8">
      <c r="A33" s="109">
        <v>0</v>
      </c>
      <c r="B33"/>
      <c r="C33"/>
      <c r="D33"/>
      <c r="E33"/>
      <c r="F33" s="282" t="s">
        <v>1047</v>
      </c>
      <c r="G33" s="107">
        <f>A33-A32</f>
        <v>-10365.089999999998</v>
      </c>
      <c r="H33"/>
    </row>
    <row r="34" spans="1:8">
      <c r="A34"/>
      <c r="B34"/>
      <c r="C34" s="442" t="s">
        <v>1038</v>
      </c>
      <c r="D34" s="443"/>
      <c r="E34"/>
      <c r="F34"/>
      <c r="G34" s="50"/>
      <c r="H34"/>
    </row>
    <row r="35" spans="1:8">
      <c r="A35"/>
      <c r="B35"/>
      <c r="C35" s="47">
        <v>2019</v>
      </c>
      <c r="D35" s="48"/>
      <c r="E35"/>
      <c r="F35" s="690" t="s">
        <v>1044</v>
      </c>
      <c r="G35" s="690"/>
      <c r="H35"/>
    </row>
    <row r="36" spans="1:8">
      <c r="A36"/>
      <c r="B36"/>
      <c r="C36" s="47">
        <v>2020</v>
      </c>
      <c r="D36" s="48" t="s">
        <v>998</v>
      </c>
      <c r="E36"/>
      <c r="F36" s="284">
        <v>45019</v>
      </c>
      <c r="G36" s="278">
        <v>1811.36</v>
      </c>
      <c r="H36"/>
    </row>
    <row r="37" spans="1:8">
      <c r="A37"/>
      <c r="B37"/>
      <c r="C37" s="47">
        <v>2021</v>
      </c>
      <c r="D37" s="48" t="s">
        <v>998</v>
      </c>
      <c r="E37"/>
      <c r="F37" s="284">
        <v>45019</v>
      </c>
      <c r="G37" s="278">
        <v>570</v>
      </c>
      <c r="H37"/>
    </row>
    <row r="38" spans="1:8">
      <c r="A38"/>
      <c r="B38"/>
      <c r="C38" s="47">
        <v>2022</v>
      </c>
      <c r="D38" s="48" t="s">
        <v>998</v>
      </c>
      <c r="E38"/>
      <c r="F38" s="284">
        <v>45077</v>
      </c>
      <c r="G38" s="278">
        <v>2381.36</v>
      </c>
      <c r="H38"/>
    </row>
    <row r="39" spans="1:8">
      <c r="A39"/>
      <c r="B39"/>
      <c r="C39"/>
      <c r="D39"/>
      <c r="E39"/>
      <c r="F39" s="285">
        <v>44617</v>
      </c>
      <c r="G39" s="278">
        <v>1710.9</v>
      </c>
      <c r="H39"/>
    </row>
    <row r="40" spans="1:8">
      <c r="A40"/>
      <c r="B40"/>
      <c r="C40" s="101" t="s">
        <v>1041</v>
      </c>
      <c r="D40" s="277">
        <f>SUM(D35:D38)</f>
        <v>0</v>
      </c>
      <c r="E40"/>
      <c r="F40" s="285">
        <v>44742</v>
      </c>
      <c r="G40" s="278">
        <v>1876.47</v>
      </c>
      <c r="H40"/>
    </row>
    <row r="41" spans="1:8">
      <c r="A41"/>
      <c r="B41"/>
      <c r="D41" s="106"/>
      <c r="E41"/>
      <c r="F41" s="285">
        <v>44865</v>
      </c>
      <c r="G41" s="278">
        <v>2015</v>
      </c>
      <c r="H41"/>
    </row>
    <row r="42" spans="1:8">
      <c r="A42"/>
      <c r="B42"/>
      <c r="C42" s="47">
        <v>2023</v>
      </c>
      <c r="D42" s="48" t="s">
        <v>1046</v>
      </c>
      <c r="E42"/>
      <c r="F42" s="283"/>
      <c r="G42" s="286"/>
      <c r="H42"/>
    </row>
    <row r="43" spans="1:8">
      <c r="A43"/>
      <c r="B43"/>
      <c r="C43" s="47" t="s">
        <v>1008</v>
      </c>
      <c r="D43" s="48" t="s">
        <v>998</v>
      </c>
      <c r="E43"/>
      <c r="F43" s="101"/>
      <c r="G43" s="109"/>
      <c r="H43"/>
    </row>
    <row r="44" spans="1:8">
      <c r="A44"/>
      <c r="B44"/>
      <c r="C44" s="47" t="s">
        <v>1009</v>
      </c>
      <c r="D44" s="48" t="s">
        <v>998</v>
      </c>
      <c r="E44"/>
      <c r="F44" s="101"/>
      <c r="G44" s="109"/>
      <c r="H44"/>
    </row>
    <row r="45" spans="1:8">
      <c r="A45"/>
      <c r="B45"/>
      <c r="C45" s="47" t="s">
        <v>1010</v>
      </c>
      <c r="D45" s="48" t="s">
        <v>998</v>
      </c>
      <c r="E45"/>
      <c r="F45" s="101"/>
      <c r="G45" s="109"/>
      <c r="H45"/>
    </row>
    <row r="46" spans="1:8">
      <c r="A46"/>
      <c r="B46"/>
      <c r="C46" s="47" t="s">
        <v>1011</v>
      </c>
      <c r="D46" s="48" t="s">
        <v>998</v>
      </c>
      <c r="E46"/>
      <c r="F46" s="101"/>
      <c r="G46" s="109"/>
      <c r="H46"/>
    </row>
    <row r="47" spans="1:8">
      <c r="A47"/>
      <c r="B47"/>
      <c r="C47" s="47" t="s">
        <v>1012</v>
      </c>
      <c r="D47" s="48"/>
      <c r="E47"/>
      <c r="F47" s="101"/>
      <c r="G47" s="109"/>
      <c r="H47"/>
    </row>
    <row r="48" spans="1:8">
      <c r="A48"/>
      <c r="B48"/>
      <c r="C48" s="47" t="s">
        <v>882</v>
      </c>
      <c r="D48" s="48" t="s">
        <v>998</v>
      </c>
      <c r="E48"/>
      <c r="F48" s="101"/>
      <c r="G48" s="109"/>
      <c r="H48"/>
    </row>
    <row r="49" spans="1:8">
      <c r="A49"/>
      <c r="B49"/>
      <c r="C49" s="47" t="s">
        <v>1013</v>
      </c>
      <c r="D49" s="48" t="s">
        <v>998</v>
      </c>
      <c r="E49"/>
      <c r="F49" s="101"/>
      <c r="G49" s="109"/>
      <c r="H49"/>
    </row>
    <row r="50" spans="1:8">
      <c r="A50"/>
      <c r="B50"/>
      <c r="C50" s="47" t="s">
        <v>1014</v>
      </c>
      <c r="D50" s="48" t="s">
        <v>998</v>
      </c>
      <c r="E50"/>
      <c r="F50" s="101"/>
      <c r="G50" s="109"/>
      <c r="H50"/>
    </row>
    <row r="51" spans="1:8">
      <c r="A51"/>
      <c r="B51"/>
      <c r="C51" s="281" t="s">
        <v>1015</v>
      </c>
      <c r="D51" s="48">
        <v>785</v>
      </c>
      <c r="E51"/>
      <c r="F51" s="101"/>
      <c r="G51" s="109"/>
      <c r="H51"/>
    </row>
    <row r="52" spans="1:8">
      <c r="A52"/>
      <c r="B52"/>
      <c r="C52" s="281" t="s">
        <v>1016</v>
      </c>
      <c r="D52" s="48">
        <v>785</v>
      </c>
      <c r="E52"/>
      <c r="F52" s="101"/>
      <c r="G52" s="109"/>
      <c r="H52"/>
    </row>
    <row r="53" spans="1:8">
      <c r="A53"/>
      <c r="B53" s="279"/>
      <c r="C53" s="47" t="s">
        <v>1017</v>
      </c>
      <c r="D53" s="48">
        <v>785</v>
      </c>
      <c r="E53"/>
      <c r="F53" s="101"/>
      <c r="G53" s="109"/>
      <c r="H53"/>
    </row>
    <row r="54" spans="1:8">
      <c r="A54"/>
      <c r="B54" s="279"/>
      <c r="C54" s="47" t="s">
        <v>1018</v>
      </c>
      <c r="D54" s="48">
        <v>785</v>
      </c>
      <c r="E54"/>
      <c r="F54" s="101"/>
      <c r="G54" s="109"/>
      <c r="H54"/>
    </row>
    <row r="55" spans="1:8">
      <c r="A55"/>
      <c r="B55" s="279"/>
      <c r="C55" s="47" t="s">
        <v>1019</v>
      </c>
      <c r="D55" s="48">
        <v>785</v>
      </c>
      <c r="E55"/>
      <c r="F55" s="101"/>
      <c r="G55" s="109"/>
      <c r="H55"/>
    </row>
    <row r="56" spans="1:8">
      <c r="B56" s="104"/>
      <c r="C56" s="268"/>
      <c r="D56"/>
      <c r="E56"/>
      <c r="F56" s="269"/>
      <c r="G56"/>
      <c r="H56"/>
    </row>
  </sheetData>
  <mergeCells count="7">
    <mergeCell ref="K1:M1"/>
    <mergeCell ref="E30:H31"/>
    <mergeCell ref="C34:D34"/>
    <mergeCell ref="F35:G35"/>
    <mergeCell ref="A2:C2"/>
    <mergeCell ref="A1:C1"/>
    <mergeCell ref="G1:I1"/>
  </mergeCells>
  <hyperlinks>
    <hyperlink ref="A1:C1" location="dashboard!A1" display="RETONAR AO DASHBOARD" xr:uid="{00000000-0004-0000-1800-000000000000}"/>
    <hyperlink ref="G1:I1" location="'2022'!A1" display="'2022'!A1" xr:uid="{00000000-0004-0000-1800-000001000000}"/>
    <hyperlink ref="K1:M1" location="'2023'!A1" display="'2023'!A1" xr:uid="{00000000-0004-0000-1800-000002000000}"/>
    <hyperlink ref="E1" location="'2021'!A1" display="'2021'!A1" xr:uid="{00000000-0004-0000-1800-000003000000}"/>
  </hyperlinks>
  <pageMargins left="0.511811024" right="0.511811024" top="0.78740157499999996" bottom="0.78740157499999996" header="0.31496062000000002" footer="0.31496062000000002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12"/>
  <dimension ref="A1:M89"/>
  <sheetViews>
    <sheetView workbookViewId="0">
      <pane ySplit="1" topLeftCell="A2" activePane="bottomLeft" state="frozen"/>
      <selection pane="bottomLeft" sqref="A1:C1"/>
    </sheetView>
  </sheetViews>
  <sheetFormatPr defaultColWidth="9.140625" defaultRowHeight="15"/>
  <cols>
    <col min="1" max="1" width="0.85546875" style="5" customWidth="1"/>
    <col min="2" max="2" width="8.5703125" style="53" customWidth="1"/>
    <col min="3" max="3" width="14.85546875" style="5" customWidth="1"/>
    <col min="4" max="4" width="13.140625" style="5" customWidth="1"/>
    <col min="5" max="5" width="12.7109375" style="5" customWidth="1"/>
    <col min="6" max="6" width="12.140625" style="5" bestFit="1" customWidth="1"/>
    <col min="7" max="7" width="13.28515625" style="5" customWidth="1"/>
    <col min="8" max="8" width="9.140625" style="5"/>
    <col min="9" max="9" width="16.140625" style="5" customWidth="1"/>
    <col min="10" max="10" width="12.140625" style="5" bestFit="1" customWidth="1"/>
    <col min="11" max="16384" width="9.140625" style="5"/>
  </cols>
  <sheetData>
    <row r="1" spans="1:13" s="131" customFormat="1" ht="22.5" customHeight="1" thickBot="1">
      <c r="A1" s="627" t="s">
        <v>406</v>
      </c>
      <c r="B1" s="627"/>
      <c r="C1" s="627"/>
      <c r="D1" s="135"/>
      <c r="E1" s="136">
        <v>2021</v>
      </c>
      <c r="G1" s="628">
        <v>2022</v>
      </c>
      <c r="H1" s="628"/>
      <c r="I1" s="628"/>
      <c r="K1" s="629">
        <v>2023</v>
      </c>
      <c r="L1" s="629"/>
      <c r="M1" s="629"/>
    </row>
    <row r="2" spans="1:13" ht="18.75">
      <c r="A2" s="61">
        <f>SUM(G6:G31)</f>
        <v>0</v>
      </c>
      <c r="B2"/>
      <c r="C2"/>
      <c r="D2"/>
      <c r="E2"/>
      <c r="F2" s="694" t="s">
        <v>57</v>
      </c>
      <c r="G2" s="694"/>
      <c r="H2"/>
      <c r="I2"/>
    </row>
    <row r="3" spans="1:13">
      <c r="A3"/>
      <c r="B3"/>
      <c r="C3"/>
      <c r="D3"/>
      <c r="E3"/>
      <c r="F3" s="101" t="s">
        <v>1002</v>
      </c>
      <c r="G3" s="109">
        <v>32150</v>
      </c>
      <c r="H3"/>
      <c r="I3"/>
    </row>
    <row r="4" spans="1:13">
      <c r="A4"/>
      <c r="B4"/>
      <c r="C4" s="442" t="s">
        <v>1038</v>
      </c>
      <c r="D4" s="443"/>
      <c r="E4"/>
      <c r="F4"/>
      <c r="G4" s="50"/>
      <c r="H4"/>
      <c r="I4"/>
    </row>
    <row r="5" spans="1:13">
      <c r="A5"/>
      <c r="B5"/>
      <c r="C5" s="47">
        <v>2019</v>
      </c>
      <c r="D5" s="48"/>
      <c r="E5"/>
      <c r="F5" s="445" t="s">
        <v>1044</v>
      </c>
      <c r="G5" s="445"/>
      <c r="H5"/>
      <c r="I5" s="59" t="s">
        <v>1022</v>
      </c>
    </row>
    <row r="6" spans="1:13">
      <c r="A6"/>
      <c r="B6"/>
      <c r="C6" s="47">
        <v>2020</v>
      </c>
      <c r="D6" s="48"/>
      <c r="E6"/>
      <c r="F6" s="108"/>
      <c r="G6" s="109"/>
      <c r="H6"/>
      <c r="I6" s="107">
        <f>G3-A2</f>
        <v>32150</v>
      </c>
    </row>
    <row r="7" spans="1:13">
      <c r="A7"/>
      <c r="B7"/>
      <c r="C7" s="47">
        <v>2021</v>
      </c>
      <c r="D7" s="48">
        <v>12650</v>
      </c>
      <c r="E7"/>
      <c r="F7" s="108"/>
      <c r="G7" s="109"/>
      <c r="H7"/>
      <c r="I7"/>
    </row>
    <row r="8" spans="1:13">
      <c r="A8"/>
      <c r="B8"/>
      <c r="C8" s="47">
        <v>2022</v>
      </c>
      <c r="D8" s="48">
        <v>19500</v>
      </c>
      <c r="E8"/>
      <c r="F8" s="108"/>
      <c r="G8" s="109"/>
      <c r="H8"/>
      <c r="I8" s="442" t="s">
        <v>1045</v>
      </c>
      <c r="J8" s="443"/>
    </row>
    <row r="9" spans="1:13">
      <c r="A9"/>
      <c r="B9"/>
      <c r="C9"/>
      <c r="D9"/>
      <c r="E9"/>
      <c r="F9" s="108"/>
      <c r="G9" s="109"/>
      <c r="H9"/>
      <c r="I9" s="108">
        <v>44986</v>
      </c>
      <c r="J9" s="57">
        <v>1615</v>
      </c>
    </row>
    <row r="10" spans="1:13">
      <c r="A10"/>
      <c r="B10"/>
      <c r="C10" s="101" t="s">
        <v>1041</v>
      </c>
      <c r="D10" s="277">
        <f>SUM(D7:D8)</f>
        <v>32150</v>
      </c>
      <c r="E10"/>
      <c r="F10" s="108"/>
      <c r="G10" s="109"/>
      <c r="H10"/>
      <c r="I10" s="108">
        <v>44998</v>
      </c>
      <c r="J10" s="57">
        <v>1615</v>
      </c>
    </row>
    <row r="11" spans="1:13">
      <c r="A11"/>
      <c r="B11"/>
      <c r="C11" s="104"/>
      <c r="D11" s="106"/>
      <c r="E11"/>
      <c r="F11" s="101"/>
      <c r="G11" s="109"/>
      <c r="H11"/>
      <c r="I11" s="108">
        <v>45043</v>
      </c>
      <c r="J11" s="57">
        <v>1615</v>
      </c>
    </row>
    <row r="12" spans="1:13">
      <c r="A12"/>
      <c r="B12"/>
      <c r="C12" s="47" t="s">
        <v>1043</v>
      </c>
      <c r="D12" s="48">
        <v>1615</v>
      </c>
      <c r="E12"/>
      <c r="F12" s="101"/>
      <c r="G12" s="109"/>
      <c r="H12"/>
      <c r="I12" s="108">
        <v>45068</v>
      </c>
      <c r="J12" s="57">
        <v>1615</v>
      </c>
    </row>
    <row r="13" spans="1:13">
      <c r="A13"/>
      <c r="B13"/>
      <c r="C13" s="47" t="s">
        <v>1008</v>
      </c>
      <c r="D13" s="48" t="s">
        <v>998</v>
      </c>
      <c r="E13"/>
      <c r="F13" s="101"/>
      <c r="G13" s="109"/>
      <c r="H13"/>
      <c r="I13" s="108">
        <v>45097</v>
      </c>
      <c r="J13" s="57">
        <v>1615</v>
      </c>
    </row>
    <row r="14" spans="1:13">
      <c r="A14"/>
      <c r="B14"/>
      <c r="C14" s="47" t="s">
        <v>1009</v>
      </c>
      <c r="D14" s="48" t="s">
        <v>998</v>
      </c>
      <c r="E14"/>
      <c r="F14" s="101"/>
      <c r="G14" s="109"/>
      <c r="H14"/>
      <c r="I14" s="101"/>
      <c r="J14" s="54"/>
    </row>
    <row r="15" spans="1:13">
      <c r="A15"/>
      <c r="B15"/>
      <c r="C15" s="47" t="s">
        <v>1010</v>
      </c>
      <c r="D15" s="48" t="s">
        <v>998</v>
      </c>
      <c r="E15"/>
      <c r="F15" s="101"/>
      <c r="G15" s="109"/>
      <c r="H15"/>
      <c r="I15" s="101"/>
      <c r="J15" s="54"/>
    </row>
    <row r="16" spans="1:13">
      <c r="A16"/>
      <c r="B16"/>
      <c r="C16" s="47" t="s">
        <v>1011</v>
      </c>
      <c r="D16" s="48" t="s">
        <v>998</v>
      </c>
      <c r="E16"/>
      <c r="F16" s="101"/>
      <c r="G16" s="109"/>
      <c r="H16"/>
      <c r="I16" s="101"/>
      <c r="J16" s="54"/>
    </row>
    <row r="17" spans="1:10">
      <c r="A17"/>
      <c r="B17"/>
      <c r="C17" s="47" t="s">
        <v>1012</v>
      </c>
      <c r="D17" s="48" t="s">
        <v>998</v>
      </c>
      <c r="E17"/>
      <c r="F17" s="101"/>
      <c r="G17" s="109"/>
      <c r="H17"/>
      <c r="I17" s="101"/>
      <c r="J17" s="54"/>
    </row>
    <row r="18" spans="1:10">
      <c r="A18"/>
      <c r="B18"/>
      <c r="C18" s="47" t="s">
        <v>882</v>
      </c>
      <c r="D18" s="48">
        <v>1615</v>
      </c>
      <c r="E18"/>
      <c r="F18" s="101"/>
      <c r="G18" s="109"/>
      <c r="H18"/>
      <c r="I18" s="101"/>
      <c r="J18" s="54"/>
    </row>
    <row r="19" spans="1:10">
      <c r="A19"/>
      <c r="B19"/>
      <c r="C19" s="47" t="s">
        <v>1013</v>
      </c>
      <c r="D19" s="48">
        <v>1615</v>
      </c>
      <c r="E19"/>
      <c r="F19" s="101"/>
      <c r="G19" s="109"/>
      <c r="H19"/>
      <c r="I19" s="101"/>
      <c r="J19" s="54"/>
    </row>
    <row r="20" spans="1:10">
      <c r="A20"/>
      <c r="B20"/>
      <c r="C20" s="47" t="s">
        <v>1014</v>
      </c>
      <c r="D20" s="48">
        <v>1615</v>
      </c>
      <c r="E20"/>
      <c r="F20" s="101"/>
      <c r="G20" s="109"/>
      <c r="H20"/>
      <c r="I20" s="101"/>
      <c r="J20" s="54"/>
    </row>
    <row r="21" spans="1:10">
      <c r="A21"/>
      <c r="B21"/>
      <c r="C21" s="47" t="s">
        <v>1015</v>
      </c>
      <c r="D21" s="48">
        <v>1615</v>
      </c>
      <c r="E21"/>
      <c r="F21" s="101"/>
      <c r="G21" s="109"/>
      <c r="H21"/>
      <c r="I21" s="101"/>
      <c r="J21" s="54"/>
    </row>
    <row r="22" spans="1:10">
      <c r="A22"/>
      <c r="B22"/>
      <c r="C22" s="47" t="s">
        <v>1016</v>
      </c>
      <c r="D22" s="48">
        <v>1615</v>
      </c>
      <c r="E22"/>
      <c r="F22" s="101"/>
      <c r="G22" s="109"/>
      <c r="H22"/>
      <c r="I22"/>
    </row>
    <row r="23" spans="1:10">
      <c r="A23"/>
      <c r="B23"/>
      <c r="C23" s="47" t="s">
        <v>1017</v>
      </c>
      <c r="D23" s="48">
        <v>1615</v>
      </c>
      <c r="E23"/>
      <c r="F23" s="101"/>
      <c r="G23" s="109"/>
      <c r="H23"/>
      <c r="I23"/>
    </row>
    <row r="24" spans="1:10">
      <c r="A24"/>
      <c r="B24"/>
      <c r="C24" s="47" t="s">
        <v>1018</v>
      </c>
      <c r="D24" s="48">
        <v>1615</v>
      </c>
      <c r="E24"/>
      <c r="F24" s="101"/>
      <c r="G24" s="109"/>
      <c r="H24"/>
      <c r="I24"/>
      <c r="J24"/>
    </row>
    <row r="25" spans="1:10">
      <c r="A25"/>
      <c r="B25"/>
      <c r="C25" s="47" t="s">
        <v>1019</v>
      </c>
      <c r="D25" s="48">
        <v>1615</v>
      </c>
      <c r="E25"/>
      <c r="F25" s="101"/>
      <c r="G25" s="109"/>
      <c r="H25"/>
      <c r="I25"/>
      <c r="J25"/>
    </row>
    <row r="26" spans="1:10">
      <c r="E26"/>
      <c r="F26"/>
      <c r="G26"/>
      <c r="H26"/>
      <c r="I26"/>
      <c r="J26"/>
    </row>
    <row r="27" spans="1:10">
      <c r="E27"/>
      <c r="F27"/>
      <c r="G27"/>
      <c r="H27"/>
      <c r="I27"/>
      <c r="J27"/>
    </row>
    <row r="28" spans="1:10">
      <c r="E28"/>
      <c r="F28"/>
      <c r="G28"/>
      <c r="H28"/>
      <c r="I28"/>
      <c r="J28"/>
    </row>
    <row r="29" spans="1:10">
      <c r="H29"/>
      <c r="I29"/>
      <c r="J29"/>
    </row>
    <row r="30" spans="1:10">
      <c r="H30"/>
      <c r="I30"/>
      <c r="J30"/>
    </row>
    <row r="31" spans="1:10">
      <c r="H31"/>
      <c r="I31"/>
      <c r="J31"/>
    </row>
    <row r="37" spans="5:7">
      <c r="E37"/>
      <c r="F37"/>
      <c r="G37"/>
    </row>
    <row r="38" spans="5:7">
      <c r="E38"/>
      <c r="F38"/>
      <c r="G38"/>
    </row>
    <row r="39" spans="5:7">
      <c r="E39"/>
      <c r="F39"/>
      <c r="G39"/>
    </row>
    <row r="40" spans="5:7">
      <c r="E40"/>
      <c r="F40"/>
      <c r="G40"/>
    </row>
    <row r="41" spans="5:7">
      <c r="E41"/>
      <c r="F41"/>
      <c r="G41"/>
    </row>
    <row r="42" spans="5:7">
      <c r="E42"/>
      <c r="F42"/>
      <c r="G42"/>
    </row>
    <row r="43" spans="5:7">
      <c r="E43"/>
      <c r="F43"/>
      <c r="G43"/>
    </row>
    <row r="44" spans="5:7">
      <c r="E44"/>
      <c r="F44"/>
      <c r="G44"/>
    </row>
    <row r="45" spans="5:7">
      <c r="E45"/>
      <c r="F45"/>
      <c r="G45"/>
    </row>
    <row r="46" spans="5:7">
      <c r="E46"/>
      <c r="F46"/>
      <c r="G46"/>
    </row>
    <row r="47" spans="5:7">
      <c r="E47"/>
      <c r="F47"/>
      <c r="G47"/>
    </row>
    <row r="48" spans="5:7">
      <c r="E48"/>
      <c r="F48"/>
      <c r="G48"/>
    </row>
    <row r="49" spans="5:7">
      <c r="E49"/>
      <c r="F49"/>
      <c r="G49"/>
    </row>
    <row r="50" spans="5:7">
      <c r="E50"/>
      <c r="F50"/>
      <c r="G50"/>
    </row>
    <row r="51" spans="5:7">
      <c r="E51"/>
      <c r="F51"/>
      <c r="G51"/>
    </row>
    <row r="52" spans="5:7">
      <c r="E52"/>
      <c r="F52"/>
      <c r="G52"/>
    </row>
    <row r="53" spans="5:7">
      <c r="E53"/>
      <c r="F53"/>
      <c r="G53"/>
    </row>
    <row r="54" spans="5:7">
      <c r="E54"/>
      <c r="F54"/>
      <c r="G54"/>
    </row>
    <row r="55" spans="5:7">
      <c r="E55"/>
      <c r="F55"/>
      <c r="G55"/>
    </row>
    <row r="56" spans="5:7">
      <c r="E56"/>
      <c r="F56"/>
      <c r="G56"/>
    </row>
    <row r="57" spans="5:7">
      <c r="E57"/>
      <c r="F57"/>
      <c r="G57"/>
    </row>
    <row r="58" spans="5:7">
      <c r="E58"/>
      <c r="F58"/>
      <c r="G58"/>
    </row>
    <row r="59" spans="5:7">
      <c r="E59"/>
      <c r="F59"/>
      <c r="G59"/>
    </row>
    <row r="60" spans="5:7">
      <c r="E60"/>
      <c r="F60"/>
      <c r="G60"/>
    </row>
    <row r="61" spans="5:7">
      <c r="E61"/>
      <c r="F61"/>
      <c r="G61"/>
    </row>
    <row r="62" spans="5:7">
      <c r="E62"/>
      <c r="F62"/>
      <c r="G62"/>
    </row>
    <row r="63" spans="5:7">
      <c r="E63"/>
      <c r="F63"/>
      <c r="G63"/>
    </row>
    <row r="64" spans="5:7">
      <c r="E64"/>
      <c r="F64"/>
      <c r="G64"/>
    </row>
    <row r="65" spans="5:7">
      <c r="E65"/>
      <c r="F65"/>
      <c r="G65"/>
    </row>
    <row r="66" spans="5:7">
      <c r="E66"/>
      <c r="F66"/>
      <c r="G66"/>
    </row>
    <row r="67" spans="5:7">
      <c r="E67"/>
      <c r="F67"/>
      <c r="G67"/>
    </row>
    <row r="68" spans="5:7">
      <c r="E68"/>
      <c r="F68"/>
      <c r="G68"/>
    </row>
    <row r="69" spans="5:7">
      <c r="E69"/>
      <c r="F69"/>
      <c r="G69"/>
    </row>
    <row r="70" spans="5:7">
      <c r="E70"/>
      <c r="F70"/>
      <c r="G70"/>
    </row>
    <row r="71" spans="5:7">
      <c r="E71"/>
      <c r="F71"/>
      <c r="G71"/>
    </row>
    <row r="72" spans="5:7">
      <c r="E72"/>
      <c r="F72"/>
      <c r="G72"/>
    </row>
    <row r="73" spans="5:7">
      <c r="E73"/>
      <c r="F73"/>
      <c r="G73"/>
    </row>
    <row r="74" spans="5:7">
      <c r="E74"/>
      <c r="F74"/>
      <c r="G74"/>
    </row>
    <row r="75" spans="5:7">
      <c r="E75"/>
      <c r="F75"/>
      <c r="G75"/>
    </row>
    <row r="76" spans="5:7">
      <c r="E76"/>
      <c r="F76"/>
      <c r="G76"/>
    </row>
    <row r="77" spans="5:7">
      <c r="E77"/>
      <c r="F77"/>
      <c r="G77"/>
    </row>
    <row r="78" spans="5:7">
      <c r="E78"/>
      <c r="F78"/>
      <c r="G78"/>
    </row>
    <row r="79" spans="5:7">
      <c r="E79"/>
      <c r="F79"/>
      <c r="G79"/>
    </row>
    <row r="80" spans="5:7">
      <c r="E80"/>
      <c r="F80"/>
      <c r="G80"/>
    </row>
    <row r="81" spans="5:7">
      <c r="E81"/>
      <c r="F81"/>
      <c r="G81"/>
    </row>
    <row r="82" spans="5:7">
      <c r="E82"/>
      <c r="F82"/>
      <c r="G82"/>
    </row>
    <row r="83" spans="5:7">
      <c r="E83"/>
      <c r="F83"/>
      <c r="G83"/>
    </row>
    <row r="84" spans="5:7">
      <c r="E84"/>
      <c r="F84"/>
      <c r="G84"/>
    </row>
    <row r="85" spans="5:7">
      <c r="E85"/>
      <c r="F85"/>
      <c r="G85"/>
    </row>
    <row r="86" spans="5:7">
      <c r="E86"/>
      <c r="F86"/>
      <c r="G86"/>
    </row>
    <row r="87" spans="5:7">
      <c r="E87"/>
      <c r="F87"/>
      <c r="G87"/>
    </row>
    <row r="88" spans="5:7">
      <c r="E88"/>
      <c r="F88"/>
      <c r="G88"/>
    </row>
    <row r="89" spans="5:7">
      <c r="E89"/>
      <c r="F89"/>
      <c r="G89"/>
    </row>
  </sheetData>
  <mergeCells count="7">
    <mergeCell ref="K1:M1"/>
    <mergeCell ref="A1:C1"/>
    <mergeCell ref="C4:D4"/>
    <mergeCell ref="F5:G5"/>
    <mergeCell ref="I8:J8"/>
    <mergeCell ref="F2:G2"/>
    <mergeCell ref="G1:I1"/>
  </mergeCells>
  <hyperlinks>
    <hyperlink ref="A1:C1" location="dashboard!A1" display="RETONAR AO DASHBOARD" xr:uid="{00000000-0004-0000-1900-000000000000}"/>
    <hyperlink ref="G1:I1" location="'2022'!A1" display="'2022'!A1" xr:uid="{00000000-0004-0000-1900-000001000000}"/>
    <hyperlink ref="K1:M1" location="'2023'!A1" display="'2023'!A1" xr:uid="{00000000-0004-0000-1900-000002000000}"/>
    <hyperlink ref="E1" location="'2021'!A1" display="'2021'!A1" xr:uid="{00000000-0004-0000-1900-000003000000}"/>
  </hyperlink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13"/>
  <dimension ref="A1:M66"/>
  <sheetViews>
    <sheetView workbookViewId="0">
      <pane ySplit="1" topLeftCell="A14" activePane="bottomLeft" state="frozen"/>
      <selection pane="bottomLeft" sqref="A1:C1"/>
    </sheetView>
  </sheetViews>
  <sheetFormatPr defaultRowHeight="15"/>
  <cols>
    <col min="2" max="2" width="11" style="228" customWidth="1"/>
    <col min="3" max="3" width="22.28515625" customWidth="1"/>
    <col min="4" max="4" width="9.28515625" style="130" customWidth="1"/>
    <col min="5" max="5" width="18.85546875" customWidth="1"/>
    <col min="6" max="7" width="12.140625" bestFit="1" customWidth="1"/>
    <col min="8" max="8" width="18.28515625" bestFit="1" customWidth="1"/>
    <col min="9" max="9" width="12.85546875" customWidth="1"/>
    <col min="13" max="13" width="6.42578125" customWidth="1"/>
  </cols>
  <sheetData>
    <row r="1" spans="1:13" s="131" customFormat="1" ht="22.5" customHeight="1">
      <c r="A1" s="447" t="s">
        <v>406</v>
      </c>
      <c r="B1" s="447"/>
      <c r="C1" s="447"/>
      <c r="D1" s="135"/>
      <c r="E1" s="136">
        <v>2021</v>
      </c>
      <c r="G1" s="695">
        <v>2022</v>
      </c>
      <c r="H1" s="695"/>
      <c r="I1" s="695"/>
      <c r="K1" s="696">
        <v>2023</v>
      </c>
      <c r="L1" s="696"/>
      <c r="M1" s="696"/>
    </row>
    <row r="3" spans="1:13">
      <c r="E3" s="274" t="s">
        <v>1023</v>
      </c>
    </row>
    <row r="4" spans="1:13" ht="27.75">
      <c r="B4" s="697" t="s">
        <v>401</v>
      </c>
      <c r="C4" s="697"/>
      <c r="D4" s="697"/>
      <c r="E4" s="334">
        <v>26525</v>
      </c>
      <c r="G4" s="272" t="s">
        <v>1024</v>
      </c>
      <c r="H4" s="273">
        <f>E4-F66</f>
        <v>22136.83</v>
      </c>
    </row>
    <row r="5" spans="1:13" ht="15" customHeight="1">
      <c r="B5" s="108" t="s">
        <v>396</v>
      </c>
      <c r="C5" s="101" t="s">
        <v>397</v>
      </c>
      <c r="D5" s="238" t="s">
        <v>398</v>
      </c>
      <c r="E5" s="101" t="s">
        <v>400</v>
      </c>
    </row>
    <row r="6" spans="1:13" ht="15" customHeight="1">
      <c r="B6" s="108">
        <v>44602</v>
      </c>
      <c r="C6" s="101" t="s">
        <v>399</v>
      </c>
      <c r="D6" s="238">
        <v>100</v>
      </c>
      <c r="E6" s="335">
        <v>43466</v>
      </c>
      <c r="H6" s="130"/>
    </row>
    <row r="7" spans="1:13">
      <c r="B7" s="108">
        <v>44634</v>
      </c>
      <c r="C7" s="101" t="s">
        <v>399</v>
      </c>
      <c r="D7" s="238">
        <v>100</v>
      </c>
      <c r="E7" s="335">
        <v>43497</v>
      </c>
      <c r="G7" s="275">
        <v>2023</v>
      </c>
      <c r="H7" s="275" t="s">
        <v>1025</v>
      </c>
    </row>
    <row r="8" spans="1:13">
      <c r="B8" s="108">
        <v>44636</v>
      </c>
      <c r="C8" s="101" t="s">
        <v>399</v>
      </c>
      <c r="D8" s="238">
        <v>100</v>
      </c>
      <c r="E8" s="335">
        <v>43525</v>
      </c>
      <c r="G8" s="275" t="s">
        <v>1026</v>
      </c>
      <c r="H8" s="276" t="s">
        <v>998</v>
      </c>
    </row>
    <row r="9" spans="1:13">
      <c r="B9" s="108">
        <v>44670</v>
      </c>
      <c r="C9" s="101" t="s">
        <v>399</v>
      </c>
      <c r="D9" s="238">
        <v>458.4</v>
      </c>
      <c r="E9" s="335">
        <v>43525</v>
      </c>
      <c r="G9" s="275" t="s">
        <v>1027</v>
      </c>
      <c r="H9" s="276">
        <v>890</v>
      </c>
    </row>
    <row r="10" spans="1:13">
      <c r="B10" s="108">
        <v>44680</v>
      </c>
      <c r="C10" s="101" t="s">
        <v>399</v>
      </c>
      <c r="D10" s="238">
        <v>200</v>
      </c>
      <c r="E10" s="335">
        <v>43556</v>
      </c>
      <c r="G10" s="275" t="s">
        <v>1028</v>
      </c>
      <c r="H10" s="276">
        <v>890</v>
      </c>
    </row>
    <row r="11" spans="1:13">
      <c r="B11" s="108">
        <v>44713</v>
      </c>
      <c r="C11" s="101" t="s">
        <v>399</v>
      </c>
      <c r="D11" s="238">
        <v>100</v>
      </c>
      <c r="E11" s="335">
        <v>43556</v>
      </c>
      <c r="G11" s="275" t="s">
        <v>1029</v>
      </c>
      <c r="H11" s="276">
        <v>890</v>
      </c>
    </row>
    <row r="12" spans="1:13">
      <c r="B12" s="108">
        <v>44719</v>
      </c>
      <c r="C12" s="101" t="s">
        <v>399</v>
      </c>
      <c r="D12" s="238">
        <v>120</v>
      </c>
      <c r="E12" s="335">
        <v>43556</v>
      </c>
      <c r="G12" s="275" t="s">
        <v>1030</v>
      </c>
      <c r="H12" s="276">
        <v>890</v>
      </c>
    </row>
    <row r="13" spans="1:13">
      <c r="B13" s="108">
        <v>44720</v>
      </c>
      <c r="C13" s="101" t="s">
        <v>399</v>
      </c>
      <c r="D13" s="238">
        <v>150</v>
      </c>
      <c r="E13" s="335">
        <v>43556</v>
      </c>
      <c r="G13" s="275" t="s">
        <v>1031</v>
      </c>
      <c r="H13" s="276">
        <v>890</v>
      </c>
    </row>
    <row r="14" spans="1:13">
      <c r="B14" s="108">
        <v>44706</v>
      </c>
      <c r="C14" s="101" t="s">
        <v>399</v>
      </c>
      <c r="D14" s="238">
        <v>100</v>
      </c>
      <c r="E14" s="335">
        <v>43586</v>
      </c>
      <c r="G14" s="275" t="s">
        <v>1032</v>
      </c>
      <c r="H14" s="276">
        <v>890</v>
      </c>
    </row>
    <row r="15" spans="1:13">
      <c r="B15" s="108">
        <v>44741</v>
      </c>
      <c r="C15" s="101" t="s">
        <v>399</v>
      </c>
      <c r="D15" s="238">
        <v>100</v>
      </c>
      <c r="E15" s="335">
        <v>43586</v>
      </c>
      <c r="G15" s="275" t="s">
        <v>1033</v>
      </c>
      <c r="H15" s="276">
        <v>890</v>
      </c>
    </row>
    <row r="16" spans="1:13">
      <c r="B16" s="108">
        <v>44840</v>
      </c>
      <c r="C16" s="101" t="s">
        <v>399</v>
      </c>
      <c r="D16" s="238">
        <v>100</v>
      </c>
      <c r="E16" s="335">
        <v>43617</v>
      </c>
      <c r="G16" s="275" t="s">
        <v>1034</v>
      </c>
      <c r="H16" s="276">
        <v>890</v>
      </c>
    </row>
    <row r="17" spans="2:8">
      <c r="B17" s="108">
        <v>44847</v>
      </c>
      <c r="C17" s="101" t="s">
        <v>399</v>
      </c>
      <c r="D17" s="238">
        <v>100</v>
      </c>
      <c r="E17" s="335">
        <v>43617</v>
      </c>
      <c r="G17" s="275" t="s">
        <v>1035</v>
      </c>
      <c r="H17" s="276">
        <v>890</v>
      </c>
    </row>
    <row r="18" spans="2:8">
      <c r="B18" s="108">
        <v>44859</v>
      </c>
      <c r="C18" s="101" t="s">
        <v>399</v>
      </c>
      <c r="D18" s="238">
        <v>200</v>
      </c>
      <c r="E18" s="335">
        <v>43617</v>
      </c>
      <c r="G18" s="275" t="s">
        <v>1036</v>
      </c>
      <c r="H18" s="276">
        <v>890</v>
      </c>
    </row>
    <row r="19" spans="2:8">
      <c r="B19" s="108">
        <v>44868</v>
      </c>
      <c r="C19" s="101" t="s">
        <v>399</v>
      </c>
      <c r="D19" s="238">
        <v>270</v>
      </c>
      <c r="E19" s="335">
        <v>43617</v>
      </c>
      <c r="G19" s="275" t="s">
        <v>1037</v>
      </c>
      <c r="H19" s="276">
        <v>890</v>
      </c>
    </row>
    <row r="20" spans="2:8">
      <c r="B20" s="108">
        <v>44650</v>
      </c>
      <c r="C20" s="101" t="s">
        <v>399</v>
      </c>
      <c r="D20" s="238">
        <v>170</v>
      </c>
      <c r="E20" s="335">
        <v>43647</v>
      </c>
      <c r="G20" s="275" t="s">
        <v>1019</v>
      </c>
      <c r="H20" s="276">
        <v>890</v>
      </c>
    </row>
    <row r="21" spans="2:8">
      <c r="B21" s="108">
        <v>44883</v>
      </c>
      <c r="C21" s="101" t="s">
        <v>399</v>
      </c>
      <c r="D21" s="238">
        <v>100</v>
      </c>
      <c r="E21" s="335">
        <v>43647</v>
      </c>
    </row>
    <row r="22" spans="2:8">
      <c r="B22" s="108">
        <v>44901</v>
      </c>
      <c r="C22" s="101" t="s">
        <v>399</v>
      </c>
      <c r="D22" s="238">
        <v>200</v>
      </c>
      <c r="E22" s="335">
        <v>43647</v>
      </c>
    </row>
    <row r="23" spans="2:8">
      <c r="B23" s="108">
        <v>44925</v>
      </c>
      <c r="C23" s="101" t="s">
        <v>399</v>
      </c>
      <c r="D23" s="238">
        <v>200</v>
      </c>
      <c r="E23" s="335">
        <v>43647</v>
      </c>
    </row>
    <row r="24" spans="2:8">
      <c r="B24" s="108">
        <v>44974</v>
      </c>
      <c r="C24" s="101" t="s">
        <v>399</v>
      </c>
      <c r="D24" s="238">
        <v>524.33000000000004</v>
      </c>
      <c r="E24" s="101"/>
    </row>
    <row r="25" spans="2:8">
      <c r="B25" s="108">
        <v>45187</v>
      </c>
      <c r="C25" s="101" t="s">
        <v>1189</v>
      </c>
      <c r="D25" s="238">
        <v>150.02000000000001</v>
      </c>
      <c r="E25" s="101"/>
    </row>
    <row r="26" spans="2:8">
      <c r="B26" s="108">
        <v>45188</v>
      </c>
      <c r="C26" s="101" t="s">
        <v>1189</v>
      </c>
      <c r="D26" s="238">
        <v>845.42</v>
      </c>
      <c r="E26" s="101"/>
    </row>
    <row r="27" spans="2:8">
      <c r="B27" s="108"/>
      <c r="C27" s="101"/>
      <c r="D27" s="238"/>
      <c r="E27" s="101"/>
    </row>
    <row r="28" spans="2:8">
      <c r="B28" s="108"/>
      <c r="C28" s="101"/>
      <c r="D28" s="238"/>
      <c r="E28" s="101"/>
    </row>
    <row r="29" spans="2:8">
      <c r="B29" s="108"/>
      <c r="C29" s="101"/>
      <c r="D29" s="238"/>
      <c r="E29" s="101"/>
    </row>
    <row r="30" spans="2:8">
      <c r="B30" s="108"/>
      <c r="C30" s="101"/>
      <c r="D30" s="238"/>
      <c r="E30" s="101"/>
    </row>
    <row r="31" spans="2:8">
      <c r="B31" s="108"/>
      <c r="C31" s="101"/>
      <c r="D31" s="238"/>
      <c r="E31" s="101"/>
    </row>
    <row r="32" spans="2:8">
      <c r="B32" s="108"/>
      <c r="C32" s="101"/>
      <c r="D32" s="238"/>
      <c r="E32" s="101"/>
    </row>
    <row r="33" spans="2:5">
      <c r="B33" s="108"/>
      <c r="C33" s="101"/>
      <c r="D33" s="238"/>
      <c r="E33" s="101"/>
    </row>
    <row r="34" spans="2:5">
      <c r="B34" s="108"/>
      <c r="C34" s="101"/>
      <c r="D34" s="238"/>
      <c r="E34" s="101"/>
    </row>
    <row r="35" spans="2:5">
      <c r="B35" s="108"/>
      <c r="C35" s="101"/>
      <c r="D35" s="238"/>
      <c r="E35" s="101"/>
    </row>
    <row r="36" spans="2:5">
      <c r="B36" s="108"/>
      <c r="C36" s="101"/>
      <c r="D36" s="238"/>
      <c r="E36" s="101"/>
    </row>
    <row r="37" spans="2:5">
      <c r="B37" s="108"/>
      <c r="C37" s="101"/>
      <c r="D37" s="238"/>
      <c r="E37" s="101"/>
    </row>
    <row r="38" spans="2:5">
      <c r="B38" s="108"/>
      <c r="C38" s="101"/>
      <c r="D38" s="238"/>
      <c r="E38" s="101"/>
    </row>
    <row r="39" spans="2:5">
      <c r="B39" s="108"/>
      <c r="C39" s="101"/>
      <c r="D39" s="238"/>
      <c r="E39" s="101"/>
    </row>
    <row r="40" spans="2:5">
      <c r="B40" s="108"/>
      <c r="C40" s="101"/>
      <c r="D40" s="238"/>
      <c r="E40" s="101"/>
    </row>
    <row r="41" spans="2:5">
      <c r="B41" s="108"/>
      <c r="C41" s="101"/>
      <c r="D41" s="238"/>
      <c r="E41" s="101"/>
    </row>
    <row r="42" spans="2:5">
      <c r="B42" s="108"/>
      <c r="C42" s="101"/>
      <c r="D42" s="238"/>
      <c r="E42" s="101"/>
    </row>
    <row r="43" spans="2:5">
      <c r="B43" s="108"/>
      <c r="C43" s="101"/>
      <c r="D43" s="238"/>
      <c r="E43" s="101"/>
    </row>
    <row r="44" spans="2:5">
      <c r="B44" s="108"/>
      <c r="C44" s="101"/>
      <c r="D44" s="238"/>
      <c r="E44" s="101"/>
    </row>
    <row r="45" spans="2:5">
      <c r="B45" s="108"/>
      <c r="C45" s="101"/>
      <c r="D45" s="238"/>
      <c r="E45" s="101"/>
    </row>
    <row r="46" spans="2:5">
      <c r="B46" s="108"/>
      <c r="C46" s="101"/>
      <c r="D46" s="238"/>
      <c r="E46" s="101"/>
    </row>
    <row r="47" spans="2:5">
      <c r="B47" s="108"/>
      <c r="C47" s="101"/>
      <c r="D47" s="238"/>
      <c r="E47" s="101"/>
    </row>
    <row r="48" spans="2:5">
      <c r="B48" s="108"/>
      <c r="C48" s="101"/>
      <c r="D48" s="238"/>
      <c r="E48" s="101"/>
    </row>
    <row r="49" spans="2:5">
      <c r="B49" s="108"/>
      <c r="C49" s="101"/>
      <c r="D49" s="238"/>
      <c r="E49" s="101"/>
    </row>
    <row r="50" spans="2:5">
      <c r="B50" s="108"/>
      <c r="C50" s="101"/>
      <c r="D50" s="238"/>
      <c r="E50" s="101"/>
    </row>
    <row r="51" spans="2:5">
      <c r="B51" s="108"/>
      <c r="C51" s="101"/>
      <c r="D51" s="238"/>
      <c r="E51" s="101"/>
    </row>
    <row r="52" spans="2:5">
      <c r="B52" s="108"/>
      <c r="C52" s="101"/>
      <c r="D52" s="238"/>
      <c r="E52" s="101"/>
    </row>
    <row r="53" spans="2:5">
      <c r="B53" s="108"/>
      <c r="C53" s="101"/>
      <c r="D53" s="238"/>
      <c r="E53" s="101"/>
    </row>
    <row r="54" spans="2:5">
      <c r="B54" s="108"/>
      <c r="C54" s="101"/>
      <c r="D54" s="238"/>
      <c r="E54" s="101"/>
    </row>
    <row r="55" spans="2:5">
      <c r="B55" s="108"/>
      <c r="C55" s="101"/>
      <c r="D55" s="238"/>
      <c r="E55" s="101"/>
    </row>
    <row r="56" spans="2:5">
      <c r="B56" s="108"/>
      <c r="C56" s="101"/>
      <c r="D56" s="238"/>
      <c r="E56" s="101"/>
    </row>
    <row r="57" spans="2:5">
      <c r="B57" s="108"/>
      <c r="C57" s="101"/>
      <c r="D57" s="238"/>
      <c r="E57" s="101"/>
    </row>
    <row r="58" spans="2:5">
      <c r="B58" s="108"/>
      <c r="C58" s="101"/>
      <c r="D58" s="238"/>
      <c r="E58" s="101"/>
    </row>
    <row r="59" spans="2:5">
      <c r="B59" s="108"/>
      <c r="C59" s="101"/>
      <c r="D59" s="238"/>
      <c r="E59" s="101"/>
    </row>
    <row r="60" spans="2:5">
      <c r="B60" s="108"/>
      <c r="C60" s="101"/>
      <c r="D60" s="238"/>
      <c r="E60" s="101"/>
    </row>
    <row r="61" spans="2:5">
      <c r="B61" s="108"/>
      <c r="C61" s="101"/>
      <c r="D61" s="238"/>
      <c r="E61" s="101"/>
    </row>
    <row r="66" spans="6:6">
      <c r="F66" s="50">
        <f>SUM(Tabela1[Valor])</f>
        <v>4388.17</v>
      </c>
    </row>
  </sheetData>
  <mergeCells count="4">
    <mergeCell ref="G1:I1"/>
    <mergeCell ref="K1:M1"/>
    <mergeCell ref="A1:C1"/>
    <mergeCell ref="B4:D4"/>
  </mergeCells>
  <hyperlinks>
    <hyperlink ref="A1:C1" location="dashboard!A1" display="RETONAR AO DASHBOARD" xr:uid="{00000000-0004-0000-1A00-000000000000}"/>
    <hyperlink ref="G1:I1" location="'2022'!A1" display="'2022'!A1" xr:uid="{00000000-0004-0000-1A00-000001000000}"/>
    <hyperlink ref="K1:M1" location="'2023'!A1" display="'2023'!A1" xr:uid="{00000000-0004-0000-1A00-000002000000}"/>
    <hyperlink ref="E1" location="'2021'!A1" display="'2021'!A1" xr:uid="{00000000-0004-0000-1A00-000003000000}"/>
  </hyperlinks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14"/>
  <dimension ref="A2:M34"/>
  <sheetViews>
    <sheetView topLeftCell="A4" workbookViewId="0">
      <pane ySplit="1" topLeftCell="A5" activePane="bottomLeft" state="frozen"/>
      <selection activeCell="A4" sqref="A4"/>
      <selection pane="bottomLeft" activeCell="A4" sqref="A4:C4"/>
    </sheetView>
  </sheetViews>
  <sheetFormatPr defaultRowHeight="15"/>
  <cols>
    <col min="1" max="1" width="12.140625" bestFit="1" customWidth="1"/>
    <col min="3" max="3" width="13.140625" customWidth="1"/>
    <col min="4" max="4" width="13" customWidth="1"/>
    <col min="5" max="6" width="14.85546875" customWidth="1"/>
    <col min="7" max="7" width="14.28515625" customWidth="1"/>
    <col min="9" max="9" width="15" customWidth="1"/>
  </cols>
  <sheetData>
    <row r="2" spans="1:13">
      <c r="C2" s="698" t="s">
        <v>58</v>
      </c>
      <c r="D2" s="698"/>
      <c r="E2" s="698"/>
      <c r="F2" s="698"/>
      <c r="G2" s="698"/>
      <c r="H2" s="698"/>
      <c r="I2" s="698"/>
    </row>
    <row r="3" spans="1:13">
      <c r="C3" s="698"/>
      <c r="D3" s="698"/>
      <c r="E3" s="698"/>
      <c r="F3" s="698"/>
      <c r="G3" s="698"/>
      <c r="H3" s="698"/>
      <c r="I3" s="698"/>
    </row>
    <row r="4" spans="1:13" s="131" customFormat="1" ht="22.5" customHeight="1" thickBot="1">
      <c r="A4" s="679" t="s">
        <v>406</v>
      </c>
      <c r="B4" s="679"/>
      <c r="C4" s="679"/>
      <c r="D4" s="135"/>
      <c r="E4" s="136">
        <v>2021</v>
      </c>
      <c r="G4" s="628">
        <v>2022</v>
      </c>
      <c r="H4" s="628"/>
      <c r="I4" s="628"/>
      <c r="K4" s="629">
        <v>2023</v>
      </c>
      <c r="L4" s="629"/>
      <c r="M4" s="629"/>
    </row>
    <row r="5" spans="1:13">
      <c r="A5" s="61">
        <f>SUM(G9:G34)</f>
        <v>3844</v>
      </c>
    </row>
    <row r="6" spans="1:13" hidden="1">
      <c r="F6" s="101" t="s">
        <v>1002</v>
      </c>
      <c r="G6" s="109">
        <v>30615</v>
      </c>
    </row>
    <row r="7" spans="1:13">
      <c r="C7" s="442" t="s">
        <v>1038</v>
      </c>
      <c r="D7" s="443"/>
      <c r="G7" s="50"/>
    </row>
    <row r="8" spans="1:13">
      <c r="C8" s="47">
        <v>2019</v>
      </c>
      <c r="D8" s="48"/>
      <c r="F8" s="445" t="s">
        <v>310</v>
      </c>
      <c r="G8" s="445"/>
      <c r="I8" s="59" t="s">
        <v>1022</v>
      </c>
    </row>
    <row r="9" spans="1:13">
      <c r="C9" s="47">
        <v>2020</v>
      </c>
      <c r="D9" s="48"/>
      <c r="F9" s="108">
        <v>43466</v>
      </c>
      <c r="G9" s="109">
        <v>669</v>
      </c>
      <c r="I9" s="107">
        <f>G6-A5</f>
        <v>26771</v>
      </c>
    </row>
    <row r="10" spans="1:13">
      <c r="C10" s="47">
        <v>2021</v>
      </c>
      <c r="D10" s="48">
        <v>9295</v>
      </c>
      <c r="F10" s="108">
        <v>43727</v>
      </c>
      <c r="G10" s="109">
        <v>625</v>
      </c>
    </row>
    <row r="11" spans="1:13">
      <c r="C11" s="47">
        <v>2022</v>
      </c>
      <c r="D11" s="48">
        <v>10270</v>
      </c>
      <c r="F11" s="108">
        <v>45097</v>
      </c>
      <c r="G11" s="109">
        <v>850</v>
      </c>
    </row>
    <row r="12" spans="1:13">
      <c r="F12" s="108">
        <v>45127</v>
      </c>
      <c r="G12" s="109">
        <v>850</v>
      </c>
    </row>
    <row r="13" spans="1:13">
      <c r="C13" s="101" t="s">
        <v>1039</v>
      </c>
      <c r="D13" s="277">
        <f>SUM(D10:D11)</f>
        <v>19565</v>
      </c>
      <c r="F13" s="108">
        <v>45158</v>
      </c>
      <c r="G13" s="109">
        <v>850</v>
      </c>
    </row>
    <row r="14" spans="1:13">
      <c r="C14" s="104"/>
      <c r="D14" s="106"/>
      <c r="F14" s="101"/>
      <c r="G14" s="109"/>
    </row>
    <row r="15" spans="1:13">
      <c r="C15" s="47">
        <v>2023</v>
      </c>
      <c r="D15" s="48"/>
      <c r="F15" s="101"/>
      <c r="G15" s="109"/>
    </row>
    <row r="16" spans="1:13">
      <c r="C16" s="47" t="s">
        <v>1008</v>
      </c>
      <c r="D16" s="48">
        <v>20415</v>
      </c>
      <c r="F16" s="101"/>
      <c r="G16" s="109"/>
    </row>
    <row r="17" spans="3:7">
      <c r="C17" s="47" t="s">
        <v>1009</v>
      </c>
      <c r="D17" s="48">
        <v>21265</v>
      </c>
      <c r="F17" s="101"/>
      <c r="G17" s="109"/>
    </row>
    <row r="18" spans="3:7">
      <c r="C18" s="47" t="s">
        <v>1010</v>
      </c>
      <c r="D18" s="48">
        <v>22115</v>
      </c>
      <c r="F18" s="101"/>
      <c r="G18" s="109"/>
    </row>
    <row r="19" spans="3:7">
      <c r="C19" s="47" t="s">
        <v>1011</v>
      </c>
      <c r="D19" s="48">
        <v>22965</v>
      </c>
      <c r="F19" s="101"/>
      <c r="G19" s="109"/>
    </row>
    <row r="20" spans="3:7">
      <c r="C20" s="47" t="s">
        <v>1012</v>
      </c>
      <c r="D20" s="48">
        <v>23815</v>
      </c>
      <c r="F20" s="101"/>
      <c r="G20" s="109"/>
    </row>
    <row r="21" spans="3:7">
      <c r="C21" s="47" t="s">
        <v>882</v>
      </c>
      <c r="D21" s="48">
        <v>24665</v>
      </c>
      <c r="F21" s="101"/>
      <c r="G21" s="109"/>
    </row>
    <row r="22" spans="3:7">
      <c r="C22" s="47" t="s">
        <v>1013</v>
      </c>
      <c r="D22" s="48">
        <v>25515</v>
      </c>
      <c r="F22" s="101"/>
      <c r="G22" s="109"/>
    </row>
    <row r="23" spans="3:7">
      <c r="C23" s="47" t="s">
        <v>1014</v>
      </c>
      <c r="D23" s="48">
        <v>26365</v>
      </c>
      <c r="F23" s="101"/>
      <c r="G23" s="109"/>
    </row>
    <row r="24" spans="3:7">
      <c r="C24" s="47" t="s">
        <v>1015</v>
      </c>
      <c r="D24" s="48">
        <v>27215</v>
      </c>
      <c r="F24" s="101"/>
      <c r="G24" s="109"/>
    </row>
    <row r="25" spans="3:7">
      <c r="C25" s="47" t="s">
        <v>1016</v>
      </c>
      <c r="D25" s="48">
        <v>28065</v>
      </c>
      <c r="F25" s="101"/>
      <c r="G25" s="109"/>
    </row>
    <row r="26" spans="3:7">
      <c r="C26" s="47" t="s">
        <v>1017</v>
      </c>
      <c r="D26" s="48">
        <v>28915</v>
      </c>
      <c r="F26" s="101"/>
      <c r="G26" s="109"/>
    </row>
    <row r="27" spans="3:7">
      <c r="C27" s="47" t="s">
        <v>1018</v>
      </c>
      <c r="D27" s="48">
        <v>29765</v>
      </c>
      <c r="F27" s="101"/>
      <c r="G27" s="109"/>
    </row>
    <row r="28" spans="3:7">
      <c r="C28" s="47" t="s">
        <v>1019</v>
      </c>
      <c r="D28" s="48">
        <v>30615</v>
      </c>
      <c r="F28" s="101"/>
      <c r="G28" s="109"/>
    </row>
    <row r="29" spans="3:7">
      <c r="C29" s="104"/>
      <c r="D29" s="106"/>
      <c r="F29" s="101"/>
      <c r="G29" s="109"/>
    </row>
    <row r="30" spans="3:7">
      <c r="C30" s="104"/>
      <c r="D30" s="106"/>
      <c r="F30" s="101"/>
      <c r="G30" s="109"/>
    </row>
    <row r="31" spans="3:7">
      <c r="F31" s="101"/>
      <c r="G31" s="109"/>
    </row>
    <row r="32" spans="3:7">
      <c r="F32" s="101"/>
      <c r="G32" s="109"/>
    </row>
    <row r="33" spans="6:7">
      <c r="F33" s="101"/>
      <c r="G33" s="109"/>
    </row>
    <row r="34" spans="6:7">
      <c r="F34" s="101"/>
      <c r="G34" s="109"/>
    </row>
  </sheetData>
  <mergeCells count="6">
    <mergeCell ref="F8:G8"/>
    <mergeCell ref="C2:I3"/>
    <mergeCell ref="G4:I4"/>
    <mergeCell ref="K4:M4"/>
    <mergeCell ref="A4:C4"/>
    <mergeCell ref="C7:D7"/>
  </mergeCells>
  <hyperlinks>
    <hyperlink ref="A4:C4" location="dashboard!A1" display="RETONAR AO DASHBOARD" xr:uid="{00000000-0004-0000-1B00-000000000000}"/>
    <hyperlink ref="G4:I4" location="'2022'!A1" display="'2022'!A1" xr:uid="{00000000-0004-0000-1B00-000001000000}"/>
    <hyperlink ref="K4:M4" location="'2023'!A1" display="'2023'!A1" xr:uid="{00000000-0004-0000-1B00-000002000000}"/>
    <hyperlink ref="E4" location="'2021'!A1" display="'2021'!A1" xr:uid="{00000000-0004-0000-1B00-000003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Plan1</vt:lpstr>
      <vt:lpstr>CONTROLE DE ALTERAÇÃO</vt:lpstr>
      <vt:lpstr>PAGAMENTO</vt:lpstr>
      <vt:lpstr>dashboard</vt:lpstr>
      <vt:lpstr>2025</vt:lpstr>
      <vt:lpstr>SENHA DO GOV</vt:lpstr>
      <vt:lpstr>2024</vt:lpstr>
      <vt:lpstr>CLIPP</vt:lpstr>
      <vt:lpstr>NFSE</vt:lpstr>
      <vt:lpstr>VENILTON</vt:lpstr>
      <vt:lpstr>AGENDA</vt:lpstr>
      <vt:lpstr>CHEQUES</vt:lpstr>
      <vt:lpstr>SILEIMAR, CASA DO PASTEL</vt:lpstr>
      <vt:lpstr>CLAUDIA MARQUES</vt:lpstr>
      <vt:lpstr>CONTROLE MEI</vt:lpstr>
      <vt:lpstr>2021</vt:lpstr>
      <vt:lpstr>2022</vt:lpstr>
      <vt:lpstr>2023</vt:lpstr>
      <vt:lpstr>silmar</vt:lpstr>
      <vt:lpstr>ewbank</vt:lpstr>
      <vt:lpstr>PETISCOS</vt:lpstr>
      <vt:lpstr>YES</vt:lpstr>
      <vt:lpstr>CARLOS EDUARDO</vt:lpstr>
      <vt:lpstr>VIAÇÃO PIRES</vt:lpstr>
      <vt:lpstr>INACLIN</vt:lpstr>
      <vt:lpstr>VIAÇÃO SÃO MIGUEL</vt:lpstr>
      <vt:lpstr>JORGE LUIZ FERREIRA RIBEIRO</vt:lpstr>
      <vt:lpstr>FLORIPES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Paula</dc:creator>
  <cp:lastModifiedBy>User</cp:lastModifiedBy>
  <cp:lastPrinted>2022-08-01T12:14:47Z</cp:lastPrinted>
  <dcterms:created xsi:type="dcterms:W3CDTF">2021-07-28T13:02:03Z</dcterms:created>
  <dcterms:modified xsi:type="dcterms:W3CDTF">2026-01-06T20:27:07Z</dcterms:modified>
</cp:coreProperties>
</file>